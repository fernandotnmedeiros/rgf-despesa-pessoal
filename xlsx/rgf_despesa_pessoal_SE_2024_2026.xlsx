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6A1CB60BDA72D83520FCD873A4C8551FA7092E22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2" l="1"/>
  <c r="A49" i="2"/>
  <c r="K48" i="2"/>
  <c r="A48" i="2"/>
  <c r="K47" i="2"/>
  <c r="A47" i="2"/>
  <c r="K46" i="2"/>
  <c r="A46" i="2"/>
  <c r="K45" i="2"/>
  <c r="A45" i="2"/>
  <c r="K44" i="2"/>
  <c r="A44" i="2"/>
  <c r="K43" i="2"/>
  <c r="A43" i="2"/>
  <c r="K42" i="2"/>
  <c r="A42" i="2"/>
  <c r="M41" i="2"/>
  <c r="K41" i="2"/>
  <c r="T41" i="2" s="1"/>
  <c r="A41" i="2"/>
  <c r="M40" i="2"/>
  <c r="K40" i="2"/>
  <c r="T40" i="2" s="1"/>
  <c r="A40" i="2"/>
  <c r="M39" i="2"/>
  <c r="K39" i="2"/>
  <c r="T39" i="2" s="1"/>
  <c r="A39" i="2"/>
  <c r="M38" i="2"/>
  <c r="K38" i="2"/>
  <c r="T38" i="2" s="1"/>
  <c r="A38" i="2"/>
  <c r="M37" i="2"/>
  <c r="K37" i="2"/>
  <c r="T37" i="2" s="1"/>
  <c r="A37" i="2"/>
  <c r="M36" i="2"/>
  <c r="K36" i="2"/>
  <c r="T36" i="2" s="1"/>
  <c r="A36" i="2"/>
  <c r="M35" i="2"/>
  <c r="K35" i="2"/>
  <c r="T35" i="2" s="1"/>
  <c r="A35" i="2"/>
  <c r="M34" i="2"/>
  <c r="K34" i="2"/>
  <c r="T34" i="2" s="1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I19" i="1" s="1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D20" i="1" s="1"/>
  <c r="K4" i="2"/>
  <c r="A4" i="2"/>
  <c r="K3" i="2"/>
  <c r="A3" i="2"/>
  <c r="K2" i="2"/>
  <c r="A2" i="2"/>
  <c r="C20" i="1"/>
  <c r="J19" i="1"/>
  <c r="H19" i="1"/>
  <c r="G19" i="1"/>
  <c r="F19" i="1"/>
  <c r="E19" i="1"/>
  <c r="D19" i="1"/>
  <c r="C19" i="1"/>
  <c r="J18" i="1"/>
  <c r="I18" i="1"/>
  <c r="H18" i="1"/>
  <c r="G18" i="1"/>
  <c r="F18" i="1"/>
  <c r="E18" i="1"/>
  <c r="D18" i="1"/>
  <c r="C18" i="1"/>
  <c r="J17" i="1"/>
  <c r="I17" i="1"/>
  <c r="H17" i="1"/>
  <c r="G17" i="1"/>
  <c r="F17" i="1"/>
  <c r="E17" i="1"/>
  <c r="D17" i="1"/>
  <c r="E16" i="1"/>
  <c r="D16" i="1"/>
  <c r="C16" i="1"/>
  <c r="J12" i="1"/>
  <c r="I12" i="1"/>
  <c r="H12" i="1"/>
  <c r="G12" i="1"/>
  <c r="F12" i="1"/>
  <c r="E12" i="1"/>
  <c r="D12" i="1"/>
  <c r="C12" i="1"/>
  <c r="K10" i="1"/>
  <c r="J10" i="1"/>
  <c r="I10" i="1"/>
  <c r="H10" i="1"/>
  <c r="G10" i="1"/>
  <c r="F10" i="1"/>
  <c r="E10" i="1"/>
  <c r="D10" i="1"/>
  <c r="C10" i="1"/>
  <c r="K9" i="1"/>
  <c r="J9" i="1"/>
  <c r="I9" i="1"/>
  <c r="H9" i="1"/>
  <c r="G9" i="1"/>
  <c r="F9" i="1"/>
  <c r="E9" i="1"/>
  <c r="D9" i="1"/>
  <c r="C9" i="1"/>
  <c r="K8" i="1"/>
  <c r="J8" i="1"/>
  <c r="I8" i="1"/>
  <c r="H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  <c r="K6" i="1"/>
  <c r="I6" i="1"/>
  <c r="H6" i="1"/>
  <c r="G6" i="1"/>
  <c r="F6" i="1"/>
  <c r="E6" i="1"/>
  <c r="D6" i="1"/>
  <c r="C6" i="1"/>
  <c r="M43" i="2" l="1"/>
  <c r="T43" i="2"/>
  <c r="M30" i="2"/>
  <c r="T30" i="2"/>
  <c r="T24" i="2"/>
  <c r="M24" i="2"/>
  <c r="T13" i="2"/>
  <c r="M13" i="2"/>
  <c r="T11" i="2"/>
  <c r="M11" i="2"/>
  <c r="T49" i="2"/>
  <c r="M49" i="2"/>
  <c r="T48" i="2"/>
  <c r="M48" i="2"/>
  <c r="T47" i="2"/>
  <c r="M47" i="2"/>
  <c r="T46" i="2"/>
  <c r="M46" i="2"/>
  <c r="T45" i="2"/>
  <c r="M45" i="2"/>
  <c r="T44" i="2"/>
  <c r="M44" i="2"/>
  <c r="L11" i="1"/>
  <c r="I11" i="1"/>
  <c r="G11" i="1"/>
  <c r="H21" i="1"/>
  <c r="J11" i="1"/>
  <c r="F11" i="1"/>
  <c r="H11" i="1"/>
  <c r="K11" i="1"/>
  <c r="E11" i="1"/>
  <c r="T42" i="2"/>
  <c r="M42" i="2"/>
  <c r="T33" i="2"/>
  <c r="L9" i="1" s="1"/>
  <c r="M33" i="2"/>
  <c r="M32" i="2"/>
  <c r="T32" i="2"/>
  <c r="T31" i="2"/>
  <c r="M31" i="2"/>
  <c r="T29" i="2"/>
  <c r="M29" i="2"/>
  <c r="T28" i="2"/>
  <c r="M28" i="2"/>
  <c r="T27" i="2"/>
  <c r="M27" i="2"/>
  <c r="T26" i="2"/>
  <c r="M26" i="2"/>
  <c r="T25" i="2"/>
  <c r="L8" i="1" s="1"/>
  <c r="M25" i="2"/>
  <c r="T23" i="2"/>
  <c r="M23" i="2"/>
  <c r="M22" i="2"/>
  <c r="T22" i="2"/>
  <c r="T21" i="2"/>
  <c r="M21" i="2"/>
  <c r="T20" i="2"/>
  <c r="M20" i="2"/>
  <c r="T19" i="2"/>
  <c r="M19" i="2"/>
  <c r="T18" i="2"/>
  <c r="M18" i="2"/>
  <c r="T17" i="2"/>
  <c r="L7" i="1" s="1"/>
  <c r="M17" i="2"/>
  <c r="M16" i="2"/>
  <c r="T16" i="2"/>
  <c r="T15" i="2"/>
  <c r="M15" i="2"/>
  <c r="M14" i="2"/>
  <c r="T14" i="2"/>
  <c r="E20" i="1"/>
  <c r="D21" i="1"/>
  <c r="F21" i="1"/>
  <c r="C21" i="1"/>
  <c r="H20" i="1"/>
  <c r="I21" i="1"/>
  <c r="F20" i="1"/>
  <c r="G21" i="1"/>
  <c r="E21" i="1"/>
  <c r="D11" i="1"/>
  <c r="C11" i="1"/>
  <c r="L10" i="1"/>
  <c r="J20" i="1"/>
  <c r="G20" i="1"/>
  <c r="J21" i="1"/>
  <c r="I20" i="1"/>
  <c r="M12" i="2"/>
  <c r="T12" i="2"/>
  <c r="T10" i="2"/>
  <c r="M10" i="2"/>
  <c r="T9" i="2"/>
  <c r="L6" i="1" s="1"/>
  <c r="M9" i="2"/>
  <c r="J6" i="1"/>
  <c r="T8" i="2"/>
  <c r="M8" i="2"/>
  <c r="T7" i="2"/>
  <c r="M7" i="2"/>
  <c r="M6" i="2"/>
  <c r="T6" i="2"/>
  <c r="T5" i="2"/>
  <c r="M5" i="2"/>
  <c r="T4" i="2"/>
  <c r="M4" i="2"/>
  <c r="M3" i="2"/>
  <c r="T3" i="2"/>
  <c r="T2" i="2"/>
  <c r="M2" i="2"/>
  <c r="C17" i="1"/>
  <c r="J16" i="1"/>
  <c r="I16" i="1"/>
  <c r="H16" i="1"/>
  <c r="G16" i="1"/>
  <c r="F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<sst xmlns="http://schemas.openxmlformats.org/spreadsheetml/2006/main" count="427" uniqueCount="83">
  <si>
    <t>Despesa total com pessoal - Sergipe (SE)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</si>
  <si>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</si>
  <si>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</si>
  <si>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</si>
  <si>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</si>
  <si>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</si>
  <si>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</si>
  <si>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</si>
  <si>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</si>
  <si>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</si>
  <si>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</si>
  <si>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</si>
  <si>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</si>
  <si>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</si>
  <si>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</si>
  <si>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</si>
  <si>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</si>
  <si>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</si>
  <si>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</si>
  <si>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</si>
  <si>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</si>
  <si>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</si>
  <si>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</si>
  <si>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</si>
  <si>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</si>
  <si>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</si>
  <si>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</si>
  <si>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</si>
  <si>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</si>
  <si>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</si>
  <si>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</si>
  <si>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</si>
  <si>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</si>
  <si>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</si>
  <si>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</si>
  <si>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</si>
  <si>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</si>
  <si>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</si>
  <si>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</si>
  <si>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</si>
  <si>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</si>
  <si>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</si>
  <si>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</si>
  <si>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</si>
  <si>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</si>
  <si>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</si>
  <si>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</si>
  <si>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de Sergipe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</si>
  <si>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</si>
  <si>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</si>
  <si>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</si>
  <si>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</si>
  <si>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</si>
  <si>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</si>
  <si>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</si>
  <si>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</si>
  <si>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</si>
  <si>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</si>
  <si>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</si>
  <si>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</si>
  <si>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de Sergipe</t>
  </si>
  <si>
    <t>Tribunal de Justiça do Estado de Sergipe</t>
  </si>
  <si>
    <t>Tribunal de Contas do Estado de Sergipe</t>
  </si>
  <si>
    <t>Defensoria Pública do Estado de Sergipe</t>
  </si>
  <si>
    <t>Calculado (despesa líquida / RCL Ajustada do Executivo)</t>
  </si>
  <si>
    <t>Ministério Público do Estado de Sergipe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</si>
  <si>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</si>
  <si>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</si>
  <si>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</si>
  <si>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</si>
  <si>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Sergipe (SE).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</si>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</sst>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IFERROR(IF(INDEX(Dados!$K$2:$K$49,MATCH($A6&amp;"|"&amp;C$5,Dados!$A$2:$A$49,0))="","",INDEX(Dados!$K$2:$K$49,MATCH($A6&amp;"|"&amp;C$5,Dados!$A$2:$A$49,0))),"")</f>
        <v>0.43594172508786377</v>
      </c>
      <c r="D6" s="7">
        <f>IFERROR(IF(INDEX(Dados!$K$2:$K$49,MATCH($A6&amp;"|"&amp;D$5,Dados!$A$2:$A$49,0))="","",INDEX(Dados!$K$2:$K$49,MATCH($A6&amp;"|"&amp;D$5,Dados!$A$2:$A$49,0))),"")</f>
        <v>0.43306624940140054</v>
      </c>
      <c r="E6" s="7">
        <f>IFERROR(IF(INDEX(Dados!$K$2:$K$49,MATCH($A6&amp;"|"&amp;E$5,Dados!$A$2:$A$49,0))="","",INDEX(Dados!$K$2:$K$49,MATCH($A6&amp;"|"&amp;E$5,Dados!$A$2:$A$49,0))),"")</f>
        <v>0.4036972471536811</v>
      </c>
      <c r="F6" s="7">
        <f>IFERROR(IF(INDEX(Dados!$K$2:$K$49,MATCH($A6&amp;"|"&amp;F$5,Dados!$A$2:$A$49,0))="","",INDEX(Dados!$K$2:$K$49,MATCH($A6&amp;"|"&amp;F$5,Dados!$A$2:$A$49,0))),"")</f>
        <v>0.39836563237211248</v>
      </c>
      <c r="G6" s="7">
        <f>IFERROR(IF(INDEX(Dados!$K$2:$K$49,MATCH($A6&amp;"|"&amp;G$5,Dados!$A$2:$A$49,0))="","",INDEX(Dados!$K$2:$K$49,MATCH($A6&amp;"|"&amp;G$5,Dados!$A$2:$A$49,0))),"")</f>
        <v>0.38492919807881615</v>
      </c>
      <c r="H6" s="7">
        <f>IFERROR(IF(INDEX(Dados!$K$2:$K$49,MATCH($A6&amp;"|"&amp;H$5,Dados!$A$2:$A$49,0))="","",INDEX(Dados!$K$2:$K$49,MATCH($A6&amp;"|"&amp;H$5,Dados!$A$2:$A$49,0))),"")</f>
        <v>0.4122763091334542</v>
      </c>
      <c r="I6" s="7">
        <f>IFERROR(IF(INDEX(Dados!$K$2:$K$49,MATCH($A6&amp;"|"&amp;I$5,Dados!$A$2:$A$49,0))="","",INDEX(Dados!$K$2:$K$49,MATCH($A6&amp;"|"&amp;I$5,Dados!$A$2:$A$49,0))),"")</f>
        <v>0.41490273323537169</v>
      </c>
      <c r="J6" s="7">
        <f>IFERROR(IF(INDEX(Dados!$K$2:$K$49,MATCH($A6&amp;"|"&amp;J$5,Dados!$A$2:$A$49,0))="","",INDEX(Dados!$K$2:$K$49,MATCH($A6&amp;"|"&amp;J$5,Dados!$A$2:$A$49,0))),"")</f>
        <v>0.43263813132518153</v>
      </c>
      <c r="K6" s="7">
        <f>IFERROR(IF(INDEX(Dados!$N$2:$N$49,MATCH($A6&amp;"|"&amp;J$5,Dados!$A$2:$A$49,0))=0,"—",INDEX(Dados!$N$2:$N$49,MATCH($A6&amp;"|"&amp;J$5,Dados!$A$2:$A$49,0))),"—")</f>
        <v>0.49</v>
      </c>
      <c r="L6" s="6" t="str">
        <f>IFERROR(IF(INDEX(Dados!$T$2:$T$49,MATCH($A6&amp;"|"&amp;J$5,Dados!$A$2:$A$49,0))="","—",INDEX(Dados!$T$2:$T$49,MATCH($A6&amp;"|"&amp;J$5,Dados!$A$2:$A$49,0))),"—")</f>
        <v>Abaixo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IFERROR(IF(INDEX(Dados!$K$2:$K$49,MATCH($A7&amp;"|"&amp;C$5,Dados!$A$2:$A$49,0))="","",INDEX(Dados!$K$2:$K$49,MATCH($A7&amp;"|"&amp;C$5,Dados!$A$2:$A$49,0))),"")</f>
        <v>1.5455613390497143E-2</v>
      </c>
      <c r="D7" s="10">
        <f>IFERROR(IF(INDEX(Dados!$K$2:$K$49,MATCH($A7&amp;"|"&amp;D$5,Dados!$A$2:$A$49,0))="","",INDEX(Dados!$K$2:$K$49,MATCH($A7&amp;"|"&amp;D$5,Dados!$A$2:$A$49,0))),"")</f>
        <v>1.5330302318375259E-2</v>
      </c>
      <c r="E7" s="10">
        <f>IFERROR(IF(INDEX(Dados!$K$2:$K$49,MATCH($A7&amp;"|"&amp;E$5,Dados!$A$2:$A$49,0))="","",INDEX(Dados!$K$2:$K$49,MATCH($A7&amp;"|"&amp;E$5,Dados!$A$2:$A$49,0))),"")</f>
        <v>1.4118227494077715E-2</v>
      </c>
      <c r="F7" s="10">
        <f>IFERROR(IF(INDEX(Dados!$K$2:$K$49,MATCH($A7&amp;"|"&amp;F$5,Dados!$A$2:$A$49,0))="","",INDEX(Dados!$K$2:$K$49,MATCH($A7&amp;"|"&amp;F$5,Dados!$A$2:$A$49,0))),"")</f>
        <v>1.3689384905639762E-2</v>
      </c>
      <c r="G7" s="10">
        <f>IFERROR(IF(INDEX(Dados!$K$2:$K$49,MATCH($A7&amp;"|"&amp;G$5,Dados!$A$2:$A$49,0))="","",INDEX(Dados!$K$2:$K$49,MATCH($A7&amp;"|"&amp;G$5,Dados!$A$2:$A$49,0))),"")</f>
        <v>1.3068297086321571E-2</v>
      </c>
      <c r="H7" s="10">
        <f>IFERROR(IF(INDEX(Dados!$K$2:$K$49,MATCH($A7&amp;"|"&amp;H$5,Dados!$A$2:$A$49,0))="","",INDEX(Dados!$K$2:$K$49,MATCH($A7&amp;"|"&amp;H$5,Dados!$A$2:$A$49,0))),"")</f>
        <v>1.3726695713152192E-2</v>
      </c>
      <c r="I7" s="10">
        <f>IFERROR(IF(INDEX(Dados!$K$2:$K$49,MATCH($A7&amp;"|"&amp;I$5,Dados!$A$2:$A$49,0))="","",INDEX(Dados!$K$2:$K$49,MATCH($A7&amp;"|"&amp;I$5,Dados!$A$2:$A$49,0))),"")</f>
        <v>1.3571923099326581E-2</v>
      </c>
      <c r="J7" s="10">
        <f>IFERROR(IF(INDEX(Dados!$K$2:$K$49,MATCH($A7&amp;"|"&amp;J$5,Dados!$A$2:$A$49,0))="","",INDEX(Dados!$K$2:$K$49,MATCH($A7&amp;"|"&amp;J$5,Dados!$A$2:$A$49,0))),"")</f>
        <v>1.3698763914076905E-2</v>
      </c>
      <c r="K7" s="10">
        <f>IFERROR(IF(INDEX(Dados!$N$2:$N$49,MATCH($A7&amp;"|"&amp;J$5,Dados!$A$2:$A$49,0))=0,"—",INDEX(Dados!$N$2:$N$49,MATCH($A7&amp;"|"&amp;J$5,Dados!$A$2:$A$49,0))),"—")</f>
        <v>1.84E-2</v>
      </c>
      <c r="L7" s="9" t="str">
        <f>IFERROR(IF(INDEX(Dados!$T$2:$T$49,MATCH($A7&amp;"|"&amp;J$5,Dados!$A$2:$A$49,0))="","—",INDEX(Dados!$T$2:$T$49,MATCH($A7&amp;"|"&amp;J$5,Dados!$A$2:$A$49,0))),"—")</f>
        <v>Abaixo do limite de alerta</v>
      </c>
    </row>
    <row r="8" spans="1:12" x14ac:dyDescent="0.25">
      <c r="A8" s="8" t="s">
        <v>19</v>
      </c>
      <c r="B8" s="9" t="s">
        <v>20</v>
      </c>
      <c r="C8" s="10">
        <f>IFERROR(IF(INDEX(Dados!$K$2:$K$49,MATCH($A8&amp;"|"&amp;C$5,Dados!$A$2:$A$49,0))="","",INDEX(Dados!$K$2:$K$49,MATCH($A8&amp;"|"&amp;C$5,Dados!$A$2:$A$49,0))),"")</f>
        <v>4.573232070498634E-2</v>
      </c>
      <c r="D8" s="10">
        <f>IFERROR(IF(INDEX(Dados!$K$2:$K$49,MATCH($A8&amp;"|"&amp;D$5,Dados!$A$2:$A$49,0))="","",INDEX(Dados!$K$2:$K$49,MATCH($A8&amp;"|"&amp;D$5,Dados!$A$2:$A$49,0))),"")</f>
        <v>4.4671243281887707E-2</v>
      </c>
      <c r="E8" s="10">
        <f>IFERROR(IF(INDEX(Dados!$K$2:$K$49,MATCH($A8&amp;"|"&amp;E$5,Dados!$A$2:$A$49,0))="","",INDEX(Dados!$K$2:$K$49,MATCH($A8&amp;"|"&amp;E$5,Dados!$A$2:$A$49,0))),"")</f>
        <v>4.3731200288161784E-2</v>
      </c>
      <c r="F8" s="10">
        <f>IFERROR(IF(INDEX(Dados!$K$2:$K$49,MATCH($A8&amp;"|"&amp;F$5,Dados!$A$2:$A$49,0))="","",INDEX(Dados!$K$2:$K$49,MATCH($A8&amp;"|"&amp;F$5,Dados!$A$2:$A$49,0))),"")</f>
        <v>4.3461736114767814E-2</v>
      </c>
      <c r="G8" s="10">
        <f>IFERROR(IF(INDEX(Dados!$K$2:$K$49,MATCH($A8&amp;"|"&amp;G$5,Dados!$A$2:$A$49,0))="","",INDEX(Dados!$K$2:$K$49,MATCH($A8&amp;"|"&amp;G$5,Dados!$A$2:$A$49,0))),"")</f>
        <v>4.0855506374220293E-2</v>
      </c>
      <c r="H8" s="10">
        <f>IFERROR(IF(INDEX(Dados!$K$2:$K$49,MATCH($A8&amp;"|"&amp;H$5,Dados!$A$2:$A$49,0))="","",INDEX(Dados!$K$2:$K$49,MATCH($A8&amp;"|"&amp;H$5,Dados!$A$2:$A$49,0))),"")</f>
        <v>4.0338930795613064E-2</v>
      </c>
      <c r="I8" s="10">
        <f>IFERROR(IF(INDEX(Dados!$K$2:$K$49,MATCH($A8&amp;"|"&amp;I$5,Dados!$A$2:$A$49,0))="","",INDEX(Dados!$K$2:$K$49,MATCH($A8&amp;"|"&amp;I$5,Dados!$A$2:$A$49,0))),"")</f>
        <v>4.0125976007946582E-2</v>
      </c>
      <c r="J8" s="10">
        <f>IFERROR(IF(INDEX(Dados!$K$2:$K$49,MATCH($A8&amp;"|"&amp;J$5,Dados!$A$2:$A$49,0))="","",INDEX(Dados!$K$2:$K$49,MATCH($A8&amp;"|"&amp;J$5,Dados!$A$2:$A$49,0))),"")</f>
        <v>4.1497178689634533E-2</v>
      </c>
      <c r="K8" s="10">
        <f>IFERROR(IF(INDEX(Dados!$N$2:$N$49,MATCH($A8&amp;"|"&amp;J$5,Dados!$A$2:$A$49,0))=0,"—",INDEX(Dados!$N$2:$N$49,MATCH($A8&amp;"|"&amp;J$5,Dados!$A$2:$A$49,0))),"—")</f>
        <v>0.06</v>
      </c>
      <c r="L8" s="9" t="str">
        <f>IFERROR(IF(INDEX(Dados!$T$2:$T$49,MATCH($A8&amp;"|"&amp;J$5,Dados!$A$2:$A$49,0))="","—",INDEX(Dados!$T$2:$T$49,MATCH($A8&amp;"|"&amp;J$5,Dados!$A$2:$A$49,0))),"—")</f>
        <v>Abaixo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IFERROR(IF(INDEX(Dados!$K$2:$K$49,MATCH($A9&amp;"|"&amp;C$5,Dados!$A$2:$A$49,0))="","",INDEX(Dados!$K$2:$K$49,MATCH($A9&amp;"|"&amp;C$5,Dados!$A$2:$A$49,0))),"")</f>
        <v>9.8790912099541179E-3</v>
      </c>
      <c r="D9" s="10">
        <f>IFERROR(IF(INDEX(Dados!$K$2:$K$49,MATCH($A9&amp;"|"&amp;D$5,Dados!$A$2:$A$49,0))="","",INDEX(Dados!$K$2:$K$49,MATCH($A9&amp;"|"&amp;D$5,Dados!$A$2:$A$49,0))),"")</f>
        <v>9.7692408309973579E-3</v>
      </c>
      <c r="E9" s="10">
        <f>IFERROR(IF(INDEX(Dados!$K$2:$K$49,MATCH($A9&amp;"|"&amp;E$5,Dados!$A$2:$A$49,0))="","",INDEX(Dados!$K$2:$K$49,MATCH($A9&amp;"|"&amp;E$5,Dados!$A$2:$A$49,0))),"")</f>
        <v>9.1004520196046775E-3</v>
      </c>
      <c r="F9" s="10">
        <f>IFERROR(IF(INDEX(Dados!$K$2:$K$49,MATCH($A9&amp;"|"&amp;F$5,Dados!$A$2:$A$49,0))="","",INDEX(Dados!$K$2:$K$49,MATCH($A9&amp;"|"&amp;F$5,Dados!$A$2:$A$49,0))),"")</f>
        <v>8.9666565632535739E-3</v>
      </c>
      <c r="G9" s="10">
        <f>IFERROR(IF(INDEX(Dados!$K$2:$K$49,MATCH($A9&amp;"|"&amp;G$5,Dados!$A$2:$A$49,0))="","",INDEX(Dados!$K$2:$K$49,MATCH($A9&amp;"|"&amp;G$5,Dados!$A$2:$A$49,0))),"")</f>
        <v>8.6354509337349325E-3</v>
      </c>
      <c r="H9" s="10">
        <f>IFERROR(IF(INDEX(Dados!$K$2:$K$49,MATCH($A9&amp;"|"&amp;H$5,Dados!$A$2:$A$49,0))="","",INDEX(Dados!$K$2:$K$49,MATCH($A9&amp;"|"&amp;H$5,Dados!$A$2:$A$49,0))),"")</f>
        <v>9.2619434259195929E-3</v>
      </c>
      <c r="I9" s="10">
        <f>IFERROR(IF(INDEX(Dados!$K$2:$K$49,MATCH($A9&amp;"|"&amp;I$5,Dados!$A$2:$A$49,0))="","",INDEX(Dados!$K$2:$K$49,MATCH($A9&amp;"|"&amp;I$5,Dados!$A$2:$A$49,0))),"")</f>
        <v>9.4351098397998188E-3</v>
      </c>
      <c r="J9" s="10">
        <f>IFERROR(IF(INDEX(Dados!$K$2:$K$49,MATCH($A9&amp;"|"&amp;J$5,Dados!$A$2:$A$49,0))="","",INDEX(Dados!$K$2:$K$49,MATCH($A9&amp;"|"&amp;J$5,Dados!$A$2:$A$49,0))),"")</f>
        <v>9.9161204344516383E-3</v>
      </c>
      <c r="K9" s="10">
        <f>IFERROR(IF(INDEX(Dados!$N$2:$N$49,MATCH($A9&amp;"|"&amp;J$5,Dados!$A$2:$A$49,0))=0,"—",INDEX(Dados!$N$2:$N$49,MATCH($A9&amp;"|"&amp;J$5,Dados!$A$2:$A$49,0))),"—")</f>
        <v>1.1599999999999999E-2</v>
      </c>
      <c r="L9" s="9" t="str">
        <f>IFERROR(IF(INDEX(Dados!$T$2:$T$49,MATCH($A9&amp;"|"&amp;J$5,Dados!$A$2:$A$49,0))="","—",INDEX(Dados!$T$2:$T$49,MATCH($A9&amp;"|"&amp;J$5,Dados!$A$2:$A$49,0))),"—")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IFERROR(IF(INDEX(Dados!$K$2:$K$49,MATCH($A10&amp;"|"&amp;C$5,Dados!$A$2:$A$49,0))="","",INDEX(Dados!$K$2:$K$49,MATCH($A10&amp;"|"&amp;C$5,Dados!$A$2:$A$49,0))),"")</f>
        <v>5.2932509201218938E-3</v>
      </c>
      <c r="D10" s="10">
        <f>IFERROR(IF(INDEX(Dados!$K$2:$K$49,MATCH($A10&amp;"|"&amp;D$5,Dados!$A$2:$A$49,0))="","",INDEX(Dados!$K$2:$K$49,MATCH($A10&amp;"|"&amp;D$5,Dados!$A$2:$A$49,0))),"")</f>
        <v>5.2099529891449217E-3</v>
      </c>
      <c r="E10" s="10">
        <f>IFERROR(IF(INDEX(Dados!$K$2:$K$49,MATCH($A10&amp;"|"&amp;E$5,Dados!$A$2:$A$49,0))="","",INDEX(Dados!$K$2:$K$49,MATCH($A10&amp;"|"&amp;E$5,Dados!$A$2:$A$49,0))),"")</f>
        <v>4.773333586152442E-3</v>
      </c>
      <c r="F10" s="10">
        <f>IFERROR(IF(INDEX(Dados!$K$2:$K$49,MATCH($A10&amp;"|"&amp;F$5,Dados!$A$2:$A$49,0))="","",INDEX(Dados!$K$2:$K$49,MATCH($A10&amp;"|"&amp;F$5,Dados!$A$2:$A$49,0))),"")</f>
        <v>4.6775037570391783E-3</v>
      </c>
      <c r="G10" s="10">
        <f>IFERROR(IF(INDEX(Dados!$K$2:$K$49,MATCH($A10&amp;"|"&amp;G$5,Dados!$A$2:$A$49,0))="","",INDEX(Dados!$K$2:$K$49,MATCH($A10&amp;"|"&amp;G$5,Dados!$A$2:$A$49,0))),"")</f>
        <v>4.6144978413566332E-3</v>
      </c>
      <c r="H10" s="10">
        <f>IFERROR(IF(INDEX(Dados!$K$2:$K$49,MATCH($A10&amp;"|"&amp;H$5,Dados!$A$2:$A$49,0))="","",INDEX(Dados!$K$2:$K$49,MATCH($A10&amp;"|"&amp;H$5,Dados!$A$2:$A$49,0))),"")</f>
        <v>4.9559877048527979E-3</v>
      </c>
      <c r="I10" s="10">
        <f>IFERROR(IF(INDEX(Dados!$K$2:$K$49,MATCH($A10&amp;"|"&amp;I$5,Dados!$A$2:$A$49,0))="","",INDEX(Dados!$K$2:$K$49,MATCH($A10&amp;"|"&amp;I$5,Dados!$A$2:$A$49,0))),"")</f>
        <v>4.922723018621772E-3</v>
      </c>
      <c r="J10" s="10">
        <f>IFERROR(IF(INDEX(Dados!$K$2:$K$49,MATCH($A10&amp;"|"&amp;J$5,Dados!$A$2:$A$49,0))="","",INDEX(Dados!$K$2:$K$49,MATCH($A10&amp;"|"&amp;J$5,Dados!$A$2:$A$49,0))),"")</f>
        <v>5.4363034551368353E-3</v>
      </c>
      <c r="K10" s="10" t="str">
        <f>IFERROR(IF(INDEX(Dados!$N$2:$N$49,MATCH($A10&amp;"|"&amp;J$5,Dados!$A$2:$A$49,0))=0,"—",INDEX(Dados!$N$2:$N$49,MATCH($A10&amp;"|"&amp;J$5,Dados!$A$2:$A$49,0))),"—")</f>
        <v>—</v>
      </c>
      <c r="L10" s="9" t="str">
        <f>IFERROR(IF(INDEX(Dados!$T$2:$T$49,MATCH($A10&amp;"|"&amp;J$5,Dados!$A$2:$A$49,0))="","—",INDEX(Dados!$T$2:$T$49,MATCH($A10&amp;"|"&amp;J$5,Dados!$A$2:$A$49,0))),"—")</f>
        <v>Sem limite próprio na LRF</v>
      </c>
    </row>
    <row r="11" spans="1:12" x14ac:dyDescent="0.25">
      <c r="A11" s="8" t="s">
        <v>23</v>
      </c>
      <c r="B11" s="9" t="s">
        <v>23</v>
      </c>
      <c r="C11" s="10">
        <f>IFERROR(IF(INDEX(Dados!$K$2:$K$49,MATCH($A11&amp;"|"&amp;C$5,Dados!$A$2:$A$49,0))="","",INDEX(Dados!$K$2:$K$49,MATCH($A11&amp;"|"&amp;C$5,Dados!$A$2:$A$49,0))),"")</f>
        <v>1.3644328840717375E-2</v>
      </c>
      <c r="D11" s="10">
        <f>IFERROR(IF(INDEX(Dados!$K$2:$K$49,MATCH($A11&amp;"|"&amp;D$5,Dados!$A$2:$A$49,0))="","",INDEX(Dados!$K$2:$K$49,MATCH($A11&amp;"|"&amp;D$5,Dados!$A$2:$A$49,0))),"")</f>
        <v>1.330346771227346E-2</v>
      </c>
      <c r="E11" s="10">
        <f>IFERROR(IF(INDEX(Dados!$K$2:$K$49,MATCH($A11&amp;"|"&amp;E$5,Dados!$A$2:$A$49,0))="","",INDEX(Dados!$K$2:$K$49,MATCH($A11&amp;"|"&amp;E$5,Dados!$A$2:$A$49,0))),"")</f>
        <v>1.2346134707916508E-2</v>
      </c>
      <c r="F11" s="10">
        <f>IFERROR(IF(INDEX(Dados!$K$2:$K$49,MATCH($A11&amp;"|"&amp;F$5,Dados!$A$2:$A$49,0))="","",INDEX(Dados!$K$2:$K$49,MATCH($A11&amp;"|"&amp;F$5,Dados!$A$2:$A$49,0))),"")</f>
        <v>1.2147211628741807E-2</v>
      </c>
      <c r="G11" s="10">
        <f>IFERROR(IF(INDEX(Dados!$K$2:$K$49,MATCH($A11&amp;"|"&amp;G$5,Dados!$A$2:$A$49,0))="","",INDEX(Dados!$K$2:$K$49,MATCH($A11&amp;"|"&amp;G$5,Dados!$A$2:$A$49,0))),"")</f>
        <v>1.170871543567303E-2</v>
      </c>
      <c r="H11" s="10">
        <f>IFERROR(IF(INDEX(Dados!$K$2:$K$49,MATCH($A11&amp;"|"&amp;H$5,Dados!$A$2:$A$49,0))="","",INDEX(Dados!$K$2:$K$49,MATCH($A11&amp;"|"&amp;H$5,Dados!$A$2:$A$49,0))),"")</f>
        <v>1.231504306592879E-2</v>
      </c>
      <c r="I11" s="10">
        <f>IFERROR(IF(INDEX(Dados!$K$2:$K$49,MATCH($A11&amp;"|"&amp;I$5,Dados!$A$2:$A$49,0))="","",INDEX(Dados!$K$2:$K$49,MATCH($A11&amp;"|"&amp;I$5,Dados!$A$2:$A$49,0))),"")</f>
        <v>1.221416671200265E-2</v>
      </c>
      <c r="J11" s="10">
        <f>IFERROR(IF(INDEX(Dados!$K$2:$K$49,MATCH($A11&amp;"|"&amp;J$5,Dados!$A$2:$A$49,0))="","",INDEX(Dados!$K$2:$K$49,MATCH($A11&amp;"|"&amp;J$5,Dados!$A$2:$A$49,0))),"")</f>
        <v>1.3003020466631125E-2</v>
      </c>
      <c r="K11" s="10">
        <f>IFERROR(IF(INDEX(Dados!$N$2:$N$49,MATCH($A11&amp;"|"&amp;J$5,Dados!$A$2:$A$49,0))=0,"—",INDEX(Dados!$N$2:$N$49,MATCH($A11&amp;"|"&amp;J$5,Dados!$A$2:$A$49,0))),"—")</f>
        <v>0.02</v>
      </c>
      <c r="L11" s="9" t="str">
        <f>IFERROR(IF(INDEX(Dados!$T$2:$T$49,MATCH($A11&amp;"|"&amp;J$5,Dados!$A$2:$A$49,0))="","—",INDEX(Dados!$T$2:$T$49,MATCH($A11&amp;"|"&amp;J$5,Dados!$A$2:$A$49,0))),"—")</f>
        <v>Abaixo do limite de alerta</v>
      </c>
    </row>
    <row r="12" spans="1:12" x14ac:dyDescent="0.25">
      <c r="A12" s="3" t="s">
        <v>24</v>
      </c>
      <c r="B12" s="11" t="s">
        <v>25</v>
      </c>
      <c r="C12" s="12">
        <f>IFERROR(INDEX(Dados!$J$2:$J$49,MATCH("Governo|"&amp;C$5,Dados!$A$2:$A$49,0))/1000000,"")</f>
        <v>13198.49636155</v>
      </c>
      <c r="D12" s="12">
        <f>IFERROR(INDEX(Dados!$J$2:$J$49,MATCH("Governo|"&amp;D$5,Dados!$A$2:$A$49,0))/1000000,"")</f>
        <v>13716.637547190001</v>
      </c>
      <c r="E12" s="12">
        <f>IFERROR(INDEX(Dados!$J$2:$J$49,MATCH("Governo|"&amp;E$5,Dados!$A$2:$A$49,0))/1000000,"")</f>
        <v>15169.854338290001</v>
      </c>
      <c r="F12" s="12">
        <f>IFERROR(INDEX(Dados!$J$2:$J$49,MATCH("Governo|"&amp;F$5,Dados!$A$2:$A$49,0))/1000000,"")</f>
        <v>15813.158142030001</v>
      </c>
      <c r="G12" s="12">
        <f>IFERROR(INDEX(Dados!$J$2:$J$49,MATCH("Governo|"&amp;G$5,Dados!$A$2:$A$49,0))/1000000,"")</f>
        <v>16819.56364231</v>
      </c>
      <c r="H12" s="12">
        <f>IFERROR(INDEX(Dados!$J$2:$J$49,MATCH("Governo|"&amp;H$5,Dados!$A$2:$A$49,0))/1000000,"")</f>
        <v>16394.897275560001</v>
      </c>
      <c r="I12" s="12">
        <f>IFERROR(INDEX(Dados!$J$2:$J$49,MATCH("Governo|"&amp;I$5,Dados!$A$2:$A$49,0))/1000000,"")</f>
        <v>16743.560628579999</v>
      </c>
      <c r="J12" s="12">
        <f>IFERROR(INDEX(Dados!$J$2:$J$49,MATCH("Governo|"&amp;J$5,Dados!$A$2:$A$49,0))/1000000,"")</f>
        <v>16829.59493616</v>
      </c>
    </row>
    <row r="14" spans="1:12" x14ac:dyDescent="0.25">
      <c r="A14" s="3" t="s">
        <v>26</v>
      </c>
    </row>
    <row r="15" spans="1:12" ht="44.1" customHeight="1" x14ac:dyDescent="0.25">
      <c r="A15" s="4" t="s">
        <v>3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10</v>
      </c>
      <c r="I15" s="4" t="s">
        <v>11</v>
      </c>
      <c r="J15" s="4" t="s">
        <v>12</v>
      </c>
    </row>
    <row r="16" spans="1:12" x14ac:dyDescent="0.25">
      <c r="A16" s="5" t="s">
        <v>15</v>
      </c>
      <c r="B16" s="6" t="s">
        <v>16</v>
      </c>
      <c r="C16" s="13">
        <f>IFERROR(IF(INDEX(Dados!$I$2:$I$49,MATCH($A16&amp;"|"&amp;C$15,Dados!$A$2:$A$49,0))="","",INDEX(Dados!$I$2:$I$49,MATCH($A16&amp;"|"&amp;C$15,Dados!$A$2:$A$49,0))/1000000),"")</f>
        <v>5753.77527242</v>
      </c>
      <c r="D16" s="13">
        <f>IFERROR(IF(INDEX(Dados!$I$2:$I$49,MATCH($A16&amp;"|"&amp;D$15,Dados!$A$2:$A$49,0))="","",INDEX(Dados!$I$2:$I$49,MATCH($A16&amp;"|"&amp;D$15,Dados!$A$2:$A$49,0))/1000000),"")</f>
        <v>5940.2127769600002</v>
      </c>
      <c r="E16" s="13">
        <f>IFERROR(IF(INDEX(Dados!$I$2:$I$49,MATCH($A16&amp;"|"&amp;E$15,Dados!$A$2:$A$49,0))="","",INDEX(Dados!$I$2:$I$49,MATCH($A16&amp;"|"&amp;E$15,Dados!$A$2:$A$49,0))/1000000),"")</f>
        <v>6124.0284360900005</v>
      </c>
      <c r="F16" s="13">
        <f>IFERROR(IF(INDEX(Dados!$I$2:$I$49,MATCH($A16&amp;"|"&amp;F$15,Dados!$A$2:$A$49,0))="","",INDEX(Dados!$I$2:$I$49,MATCH($A16&amp;"|"&amp;F$15,Dados!$A$2:$A$49,0))/1000000),"")</f>
        <v>6299.4187430500006</v>
      </c>
      <c r="G16" s="13">
        <f>IFERROR(IF(INDEX(Dados!$I$2:$I$49,MATCH($A16&amp;"|"&amp;G$15,Dados!$A$2:$A$49,0))="","",INDEX(Dados!$I$2:$I$49,MATCH($A16&amp;"|"&amp;G$15,Dados!$A$2:$A$49,0))/1000000),"")</f>
        <v>6474.3411448699999</v>
      </c>
      <c r="H16" s="13">
        <f>IFERROR(IF(INDEX(Dados!$I$2:$I$49,MATCH($A16&amp;"|"&amp;H$15,Dados!$A$2:$A$49,0))="","",INDEX(Dados!$I$2:$I$49,MATCH($A16&amp;"|"&amp;H$15,Dados!$A$2:$A$49,0))/1000000),"")</f>
        <v>6759.2277373900006</v>
      </c>
      <c r="I16" s="13">
        <f>IFERROR(IF(INDEX(Dados!$I$2:$I$49,MATCH($A16&amp;"|"&amp;I$15,Dados!$A$2:$A$49,0))="","",INDEX(Dados!$I$2:$I$49,MATCH($A16&amp;"|"&amp;I$15,Dados!$A$2:$A$49,0))/1000000),"")</f>
        <v>6946.9490688900005</v>
      </c>
      <c r="J16" s="13">
        <f>IFERROR(IF(INDEX(Dados!$I$2:$I$49,MATCH($A16&amp;"|"&amp;J$15,Dados!$A$2:$A$49,0))="","",INDEX(Dados!$I$2:$I$49,MATCH($A16&amp;"|"&amp;J$15,Dados!$A$2:$A$49,0))/1000000),"")</f>
        <v>7281.1245041400007</v>
      </c>
    </row>
    <row r="17" spans="1:10" x14ac:dyDescent="0.25">
      <c r="A17" s="8" t="s">
        <v>17</v>
      </c>
      <c r="B17" s="9" t="s">
        <v>18</v>
      </c>
      <c r="C17" s="14">
        <f>IFERROR(IF(INDEX(Dados!$I$2:$I$49,MATCH($A17&amp;"|"&amp;C$15,Dados!$A$2:$A$49,0))="","",INDEX(Dados!$I$2:$I$49,MATCH($A17&amp;"|"&amp;C$15,Dados!$A$2:$A$49,0))/1000000),"")</f>
        <v>203.9908571</v>
      </c>
      <c r="D17" s="14">
        <f>IFERROR(IF(INDEX(Dados!$I$2:$I$49,MATCH($A17&amp;"|"&amp;D$15,Dados!$A$2:$A$49,0))="","",INDEX(Dados!$I$2:$I$49,MATCH($A17&amp;"|"&amp;D$15,Dados!$A$2:$A$49,0))/1000000),"")</f>
        <v>210.28020038999998</v>
      </c>
      <c r="E17" s="14">
        <f>IFERROR(IF(INDEX(Dados!$I$2:$I$49,MATCH($A17&amp;"|"&amp;E$15,Dados!$A$2:$A$49,0))="","",INDEX(Dados!$I$2:$I$49,MATCH($A17&amp;"|"&amp;E$15,Dados!$A$2:$A$49,0))/1000000),"")</f>
        <v>214.1714546</v>
      </c>
      <c r="F17" s="14">
        <f>IFERROR(IF(INDEX(Dados!$I$2:$I$49,MATCH($A17&amp;"|"&amp;F$15,Dados!$A$2:$A$49,0))="","",INDEX(Dados!$I$2:$I$49,MATCH($A17&amp;"|"&amp;F$15,Dados!$A$2:$A$49,0))/1000000),"")</f>
        <v>216.47240837999999</v>
      </c>
      <c r="G17" s="14">
        <f>IFERROR(IF(INDEX(Dados!$I$2:$I$49,MATCH($A17&amp;"|"&amp;G$15,Dados!$A$2:$A$49,0))="","",INDEX(Dados!$I$2:$I$49,MATCH($A17&amp;"|"&amp;G$15,Dados!$A$2:$A$49,0))/1000000),"")</f>
        <v>219.80305454000001</v>
      </c>
      <c r="H17" s="14">
        <f>IFERROR(IF(INDEX(Dados!$I$2:$I$49,MATCH($A17&amp;"|"&amp;H$15,Dados!$A$2:$A$49,0))="","",INDEX(Dados!$I$2:$I$49,MATCH($A17&amp;"|"&amp;H$15,Dados!$A$2:$A$49,0))/1000000),"")</f>
        <v>225.04776615</v>
      </c>
      <c r="I17" s="14">
        <f>IFERROR(IF(INDEX(Dados!$I$2:$I$49,MATCH($A17&amp;"|"&amp;I$15,Dados!$A$2:$A$49,0))="","",INDEX(Dados!$I$2:$I$49,MATCH($A17&amp;"|"&amp;I$15,Dados!$A$2:$A$49,0))/1000000),"")</f>
        <v>227.24231725999999</v>
      </c>
      <c r="J17" s="14">
        <f>IFERROR(IF(INDEX(Dados!$I$2:$I$49,MATCH($A17&amp;"|"&amp;J$15,Dados!$A$2:$A$49,0))="","",INDEX(Dados!$I$2:$I$49,MATCH($A17&amp;"|"&amp;J$15,Dados!$A$2:$A$49,0))/1000000),"")</f>
        <v>230.54464780000001</v>
      </c>
    </row>
    <row r="18" spans="1:10" x14ac:dyDescent="0.25">
      <c r="A18" s="8" t="s">
        <v>19</v>
      </c>
      <c r="B18" s="9" t="s">
        <v>20</v>
      </c>
      <c r="C18" s="14">
        <f>IFERROR(IF(INDEX(Dados!$I$2:$I$49,MATCH($A18&amp;"|"&amp;C$15,Dados!$A$2:$A$49,0))="","",INDEX(Dados!$I$2:$I$49,MATCH($A18&amp;"|"&amp;C$15,Dados!$A$2:$A$49,0))/1000000),"")</f>
        <v>603.59786842999995</v>
      </c>
      <c r="D18" s="14">
        <f>IFERROR(IF(INDEX(Dados!$I$2:$I$49,MATCH($A18&amp;"|"&amp;D$15,Dados!$A$2:$A$49,0))="","",INDEX(Dados!$I$2:$I$49,MATCH($A18&amp;"|"&amp;D$15,Dados!$A$2:$A$49,0))/1000000),"")</f>
        <v>612.73925287999998</v>
      </c>
      <c r="E18" s="14">
        <f>IFERROR(IF(INDEX(Dados!$I$2:$I$49,MATCH($A18&amp;"|"&amp;E$15,Dados!$A$2:$A$49,0))="","",INDEX(Dados!$I$2:$I$49,MATCH($A18&amp;"|"&amp;E$15,Dados!$A$2:$A$49,0))/1000000),"")</f>
        <v>663.39593840999999</v>
      </c>
      <c r="F18" s="14">
        <f>IFERROR(IF(INDEX(Dados!$I$2:$I$49,MATCH($A18&amp;"|"&amp;F$15,Dados!$A$2:$A$49,0))="","",INDEX(Dados!$I$2:$I$49,MATCH($A18&amp;"|"&amp;F$15,Dados!$A$2:$A$49,0))/1000000),"")</f>
        <v>687.26730630999998</v>
      </c>
      <c r="G18" s="14">
        <f>IFERROR(IF(INDEX(Dados!$I$2:$I$49,MATCH($A18&amp;"|"&amp;G$15,Dados!$A$2:$A$49,0))="","",INDEX(Dados!$I$2:$I$49,MATCH($A18&amp;"|"&amp;G$15,Dados!$A$2:$A$49,0))/1000000),"")</f>
        <v>687.17178960000001</v>
      </c>
      <c r="H18" s="14">
        <f>IFERROR(IF(INDEX(Dados!$I$2:$I$49,MATCH($A18&amp;"|"&amp;H$15,Dados!$A$2:$A$49,0))="","",INDEX(Dados!$I$2:$I$49,MATCH($A18&amp;"|"&amp;H$15,Dados!$A$2:$A$49,0))/1000000),"")</f>
        <v>661.35262660000001</v>
      </c>
      <c r="I18" s="14">
        <f>IFERROR(IF(INDEX(Dados!$I$2:$I$49,MATCH($A18&amp;"|"&amp;I$15,Dados!$A$2:$A$49,0))="","",INDEX(Dados!$I$2:$I$49,MATCH($A18&amp;"|"&amp;I$15,Dados!$A$2:$A$49,0))/1000000),"")</f>
        <v>671.85171207000008</v>
      </c>
      <c r="J18" s="14">
        <f>IFERROR(IF(INDEX(Dados!$I$2:$I$49,MATCH($A18&amp;"|"&amp;J$15,Dados!$A$2:$A$49,0))="","",INDEX(Dados!$I$2:$I$49,MATCH($A18&amp;"|"&amp;J$15,Dados!$A$2:$A$49,0))/1000000),"")</f>
        <v>698.38070834000007</v>
      </c>
    </row>
    <row r="19" spans="1:10" x14ac:dyDescent="0.25">
      <c r="A19" s="8" t="s">
        <v>21</v>
      </c>
      <c r="B19" s="9" t="s">
        <v>21</v>
      </c>
      <c r="C19" s="14">
        <f>IFERROR(IF(INDEX(Dados!$I$2:$I$49,MATCH($A19&amp;"|"&amp;C$15,Dados!$A$2:$A$49,0))="","",INDEX(Dados!$I$2:$I$49,MATCH($A19&amp;"|"&amp;C$15,Dados!$A$2:$A$49,0))/1000000),"")</f>
        <v>130.38914939</v>
      </c>
      <c r="D19" s="14">
        <f>IFERROR(IF(INDEX(Dados!$I$2:$I$49,MATCH($A19&amp;"|"&amp;D$15,Dados!$A$2:$A$49,0))="","",INDEX(Dados!$I$2:$I$49,MATCH($A19&amp;"|"&amp;D$15,Dados!$A$2:$A$49,0))/1000000),"")</f>
        <v>134.00113558999999</v>
      </c>
      <c r="E19" s="14">
        <f>IFERROR(IF(INDEX(Dados!$I$2:$I$49,MATCH($A19&amp;"|"&amp;E$15,Dados!$A$2:$A$49,0))="","",INDEX(Dados!$I$2:$I$49,MATCH($A19&amp;"|"&amp;E$15,Dados!$A$2:$A$49,0))/1000000),"")</f>
        <v>138.05253155000003</v>
      </c>
      <c r="F19" s="14">
        <f>IFERROR(IF(INDEX(Dados!$I$2:$I$49,MATCH($A19&amp;"|"&amp;F$15,Dados!$A$2:$A$49,0))="","",INDEX(Dados!$I$2:$I$49,MATCH($A19&amp;"|"&amp;F$15,Dados!$A$2:$A$49,0))/1000000),"")</f>
        <v>141.79115824000002</v>
      </c>
      <c r="G19" s="14">
        <f>IFERROR(IF(INDEX(Dados!$I$2:$I$49,MATCH($A19&amp;"|"&amp;G$15,Dados!$A$2:$A$49,0))="","",INDEX(Dados!$I$2:$I$49,MATCH($A19&amp;"|"&amp;G$15,Dados!$A$2:$A$49,0))/1000000),"")</f>
        <v>145.24451655999999</v>
      </c>
      <c r="H19" s="14">
        <f>IFERROR(IF(INDEX(Dados!$I$2:$I$49,MATCH($A19&amp;"|"&amp;H$15,Dados!$A$2:$A$49,0))="","",INDEX(Dados!$I$2:$I$49,MATCH($A19&amp;"|"&amp;H$15,Dados!$A$2:$A$49,0))/1000000),"")</f>
        <v>151.84861103999998</v>
      </c>
      <c r="I19" s="14">
        <f>IFERROR(IF(INDEX(Dados!$I$2:$I$49,MATCH($A19&amp;"|"&amp;I$15,Dados!$A$2:$A$49,0))="","",INDEX(Dados!$I$2:$I$49,MATCH($A19&amp;"|"&amp;I$15,Dados!$A$2:$A$49,0))/1000000),"")</f>
        <v>157.97733363999998</v>
      </c>
      <c r="J19" s="14">
        <f>IFERROR(IF(INDEX(Dados!$I$2:$I$49,MATCH($A19&amp;"|"&amp;J$15,Dados!$A$2:$A$49,0))="","",INDEX(Dados!$I$2:$I$49,MATCH($A19&amp;"|"&amp;J$15,Dados!$A$2:$A$49,0))/1000000),"")</f>
        <v>166.88429024999999</v>
      </c>
    </row>
    <row r="20" spans="1:10" x14ac:dyDescent="0.25">
      <c r="A20" s="8" t="s">
        <v>22</v>
      </c>
      <c r="B20" s="9" t="s">
        <v>22</v>
      </c>
      <c r="C20" s="14">
        <f>IFERROR(IF(INDEX(Dados!$I$2:$I$49,MATCH($A20&amp;"|"&amp;C$15,Dados!$A$2:$A$49,0))="","",INDEX(Dados!$I$2:$I$49,MATCH($A20&amp;"|"&amp;C$15,Dados!$A$2:$A$49,0))/1000000),"")</f>
        <v>69.862953010000012</v>
      </c>
      <c r="D20" s="14">
        <f>IFERROR(IF(INDEX(Dados!$I$2:$I$49,MATCH($A20&amp;"|"&amp;D$15,Dados!$A$2:$A$49,0))="","",INDEX(Dados!$I$2:$I$49,MATCH($A20&amp;"|"&amp;D$15,Dados!$A$2:$A$49,0))/1000000),"")</f>
        <v>71.463036790000004</v>
      </c>
      <c r="E20" s="14">
        <f>IFERROR(IF(INDEX(Dados!$I$2:$I$49,MATCH($A20&amp;"|"&amp;E$15,Dados!$A$2:$A$49,0))="","",INDEX(Dados!$I$2:$I$49,MATCH($A20&amp;"|"&amp;E$15,Dados!$A$2:$A$49,0))/1000000),"")</f>
        <v>72.410775209999997</v>
      </c>
      <c r="F20" s="14">
        <f>IFERROR(IF(INDEX(Dados!$I$2:$I$49,MATCH($A20&amp;"|"&amp;F$15,Dados!$A$2:$A$49,0))="","",INDEX(Dados!$I$2:$I$49,MATCH($A20&amp;"|"&amp;F$15,Dados!$A$2:$A$49,0))/1000000),"")</f>
        <v>73.966106620000005</v>
      </c>
      <c r="G20" s="14">
        <f>IFERROR(IF(INDEX(Dados!$I$2:$I$49,MATCH($A20&amp;"|"&amp;G$15,Dados!$A$2:$A$49,0))="","",INDEX(Dados!$I$2:$I$49,MATCH($A20&amp;"|"&amp;G$15,Dados!$A$2:$A$49,0))/1000000),"")</f>
        <v>77.613840120000006</v>
      </c>
      <c r="H20" s="14">
        <f>IFERROR(IF(INDEX(Dados!$I$2:$I$49,MATCH($A20&amp;"|"&amp;H$15,Dados!$A$2:$A$49,0))="","",INDEX(Dados!$I$2:$I$49,MATCH($A20&amp;"|"&amp;H$15,Dados!$A$2:$A$49,0))/1000000),"")</f>
        <v>81.252909319999986</v>
      </c>
      <c r="I20" s="14">
        <f>IFERROR(IF(INDEX(Dados!$I$2:$I$49,MATCH($A20&amp;"|"&amp;I$15,Dados!$A$2:$A$49,0))="","",INDEX(Dados!$I$2:$I$49,MATCH($A20&amp;"|"&amp;I$15,Dados!$A$2:$A$49,0))/1000000),"")</f>
        <v>82.423911319999988</v>
      </c>
      <c r="J20" s="14">
        <f>IFERROR(IF(INDEX(Dados!$I$2:$I$49,MATCH($A20&amp;"|"&amp;J$15,Dados!$A$2:$A$49,0))="","",INDEX(Dados!$I$2:$I$49,MATCH($A20&amp;"|"&amp;J$15,Dados!$A$2:$A$49,0))/1000000),"")</f>
        <v>91.490785099999997</v>
      </c>
    </row>
    <row r="21" spans="1:10" x14ac:dyDescent="0.25">
      <c r="A21" s="8" t="s">
        <v>23</v>
      </c>
      <c r="B21" s="9" t="s">
        <v>23</v>
      </c>
      <c r="C21" s="14">
        <f>IFERROR(IF(INDEX(Dados!$I$2:$I$49,MATCH($A21&amp;"|"&amp;C$15,Dados!$A$2:$A$49,0))="","",INDEX(Dados!$I$2:$I$49,MATCH($A21&amp;"|"&amp;C$15,Dados!$A$2:$A$49,0))/1000000),"")</f>
        <v>180.08462456000001</v>
      </c>
      <c r="D21" s="14">
        <f>IFERROR(IF(INDEX(Dados!$I$2:$I$49,MATCH($A21&amp;"|"&amp;D$15,Dados!$A$2:$A$49,0))="","",INDEX(Dados!$I$2:$I$49,MATCH($A21&amp;"|"&amp;D$15,Dados!$A$2:$A$49,0))/1000000),"")</f>
        <v>182.47884472999999</v>
      </c>
      <c r="E21" s="14">
        <f>IFERROR(IF(INDEX(Dados!$I$2:$I$49,MATCH($A21&amp;"|"&amp;E$15,Dados!$A$2:$A$49,0))="","",INDEX(Dados!$I$2:$I$49,MATCH($A21&amp;"|"&amp;E$15,Dados!$A$2:$A$49,0))/1000000),"")</f>
        <v>187.28906516000001</v>
      </c>
      <c r="F21" s="14">
        <f>IFERROR(IF(INDEX(Dados!$I$2:$I$49,MATCH($A21&amp;"|"&amp;F$15,Dados!$A$2:$A$49,0))="","",INDEX(Dados!$I$2:$I$49,MATCH($A21&amp;"|"&amp;F$15,Dados!$A$2:$A$49,0))/1000000),"")</f>
        <v>192.08577847000001</v>
      </c>
      <c r="G21" s="14">
        <f>IFERROR(IF(INDEX(Dados!$I$2:$I$49,MATCH($A21&amp;"|"&amp;G$15,Dados!$A$2:$A$49,0))="","",INDEX(Dados!$I$2:$I$49,MATCH($A21&amp;"|"&amp;G$15,Dados!$A$2:$A$49,0))/1000000),"")</f>
        <v>196.93548444000001</v>
      </c>
      <c r="H21" s="14">
        <f>IFERROR(IF(INDEX(Dados!$I$2:$I$49,MATCH($A21&amp;"|"&amp;H$15,Dados!$A$2:$A$49,0))="","",INDEX(Dados!$I$2:$I$49,MATCH($A21&amp;"|"&amp;H$15,Dados!$A$2:$A$49,0))/1000000),"")</f>
        <v>201.90386601</v>
      </c>
      <c r="I21" s="14">
        <f>IFERROR(IF(INDEX(Dados!$I$2:$I$49,MATCH($A21&amp;"|"&amp;I$15,Dados!$A$2:$A$49,0))="","",INDEX(Dados!$I$2:$I$49,MATCH($A21&amp;"|"&amp;I$15,Dados!$A$2:$A$49,0))/1000000),"")</f>
        <v>204.50864086999999</v>
      </c>
      <c r="J21" s="14">
        <f>IFERROR(IF(INDEX(Dados!$I$2:$I$49,MATCH($A21&amp;"|"&amp;J$15,Dados!$A$2:$A$49,0))="","",INDEX(Dados!$I$2:$I$49,MATCH($A21&amp;"|"&amp;J$15,Dados!$A$2:$A$49,0))/1000000),"")</f>
        <v>218.8355674</v>
      </c>
    </row>
    <row r="23" spans="1:10" x14ac:dyDescent="0.25">
      <c r="A23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28</v>
      </c>
      <c r="B1" s="4" t="s">
        <v>3</v>
      </c>
      <c r="C1" s="4" t="s">
        <v>4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</row>
    <row r="2" spans="1:21" x14ac:dyDescent="0.25">
      <c r="A2" s="9" t="str">
        <f t="shared" ref="A2:A49" si="0">B2&amp;"|"&amp;G2</f>
        <v>Governo|1º quad. 2024</v>
      </c>
      <c r="B2" s="9" t="s">
        <v>15</v>
      </c>
      <c r="C2" s="9" t="s">
        <v>16</v>
      </c>
      <c r="D2" s="9" t="s">
        <v>47</v>
      </c>
      <c r="E2" s="9" t="s">
        <v>48</v>
      </c>
      <c r="F2" s="9">
        <v>1</v>
      </c>
      <c r="G2" s="9" t="s">
        <v>5</v>
      </c>
      <c r="H2" s="9" t="s">
        <v>49</v>
      </c>
      <c r="I2" s="15">
        <v>5753775272.4200001</v>
      </c>
      <c r="J2" s="15">
        <v>13198496361.549999</v>
      </c>
      <c r="K2" s="10">
        <f t="shared" ref="K2:K49" si="1">IF(OR(I2="",J2="",J2=0),"",I2/J2)</f>
        <v>0.43594172508786377</v>
      </c>
      <c r="L2" s="16">
        <v>0.43590000000000001</v>
      </c>
      <c r="M2" s="9" t="str">
        <f t="shared" ref="M2:M49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6467263217.1599998</v>
      </c>
      <c r="R2" s="15">
        <v>6143900056.3000002</v>
      </c>
      <c r="S2" s="15">
        <v>5820536895.4399996</v>
      </c>
      <c r="T2" s="9" t="str">
        <f t="shared" ref="T2:T49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Abaixo do limite de alerta</v>
      </c>
      <c r="U2" s="9" t="s">
        <v>50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47</v>
      </c>
      <c r="E3" s="9" t="s">
        <v>48</v>
      </c>
      <c r="F3" s="9">
        <v>2</v>
      </c>
      <c r="G3" s="9" t="s">
        <v>6</v>
      </c>
      <c r="H3" s="9" t="s">
        <v>51</v>
      </c>
      <c r="I3" s="15">
        <v>5940212776.96</v>
      </c>
      <c r="J3" s="15">
        <v>13716637547.190001</v>
      </c>
      <c r="K3" s="10">
        <f t="shared" si="1"/>
        <v>0.43306624940140054</v>
      </c>
      <c r="L3" s="16">
        <v>0.43309999999999998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6721152398.1199999</v>
      </c>
      <c r="R3" s="15">
        <v>6385094778.21</v>
      </c>
      <c r="S3" s="15">
        <v>6049037158.3100004</v>
      </c>
      <c r="T3" s="9" t="str">
        <f t="shared" si="3"/>
        <v>Abaixo do limite de alerta</v>
      </c>
      <c r="U3" s="9" t="s">
        <v>50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47</v>
      </c>
      <c r="E4" s="9" t="s">
        <v>48</v>
      </c>
      <c r="F4" s="9">
        <v>3</v>
      </c>
      <c r="G4" s="9" t="s">
        <v>7</v>
      </c>
      <c r="H4" s="9" t="s">
        <v>52</v>
      </c>
      <c r="I4" s="15">
        <v>6124028436.0900002</v>
      </c>
      <c r="J4" s="15">
        <v>15169854338.290001</v>
      </c>
      <c r="K4" s="10">
        <f t="shared" si="1"/>
        <v>0.4036972471536811</v>
      </c>
      <c r="L4" s="16">
        <v>0.40369999999999989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7433228625.7600002</v>
      </c>
      <c r="R4" s="15">
        <v>7061567194.4700003</v>
      </c>
      <c r="S4" s="15">
        <v>6689905763.1800003</v>
      </c>
      <c r="T4" s="9" t="str">
        <f t="shared" si="3"/>
        <v>Abaixo do limite de alerta</v>
      </c>
      <c r="U4" s="9" t="s">
        <v>50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47</v>
      </c>
      <c r="E5" s="9" t="s">
        <v>53</v>
      </c>
      <c r="F5" s="9">
        <v>1</v>
      </c>
      <c r="G5" s="9" t="s">
        <v>8</v>
      </c>
      <c r="H5" s="9" t="s">
        <v>54</v>
      </c>
      <c r="I5" s="15">
        <v>6299418743.0500002</v>
      </c>
      <c r="J5" s="15">
        <v>15813158142.030001</v>
      </c>
      <c r="K5" s="10">
        <f t="shared" si="1"/>
        <v>0.39836563237211248</v>
      </c>
      <c r="L5" s="16">
        <v>0.39839999999999998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7748447489.5900002</v>
      </c>
      <c r="R5" s="15">
        <v>7361025115.1099997</v>
      </c>
      <c r="S5" s="15">
        <v>6973602740.6300001</v>
      </c>
      <c r="T5" s="9" t="str">
        <f t="shared" si="3"/>
        <v>Abaixo do limite de alerta</v>
      </c>
      <c r="U5" s="9" t="s">
        <v>50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47</v>
      </c>
      <c r="E6" s="9" t="s">
        <v>53</v>
      </c>
      <c r="F6" s="9">
        <v>2</v>
      </c>
      <c r="G6" s="9" t="s">
        <v>9</v>
      </c>
      <c r="H6" s="9" t="s">
        <v>55</v>
      </c>
      <c r="I6" s="15">
        <v>6474341144.8699999</v>
      </c>
      <c r="J6" s="15">
        <v>16819563642.309999</v>
      </c>
      <c r="K6" s="10">
        <f t="shared" si="1"/>
        <v>0.38492919807881615</v>
      </c>
      <c r="L6" s="16">
        <v>0.38490000000000002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8241586184.7299995</v>
      </c>
      <c r="R6" s="15">
        <v>7829506875.4899998</v>
      </c>
      <c r="S6" s="15">
        <v>7417427566.2600002</v>
      </c>
      <c r="T6" s="9" t="str">
        <f t="shared" si="3"/>
        <v>Abaixo do limite de alerta</v>
      </c>
      <c r="U6" s="9" t="s">
        <v>50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47</v>
      </c>
      <c r="E7" s="9" t="s">
        <v>53</v>
      </c>
      <c r="F7" s="9">
        <v>3</v>
      </c>
      <c r="G7" s="9" t="s">
        <v>10</v>
      </c>
      <c r="H7" s="9" t="s">
        <v>56</v>
      </c>
      <c r="I7" s="15">
        <v>6759227737.3900003</v>
      </c>
      <c r="J7" s="15">
        <v>16394897275.559999</v>
      </c>
      <c r="K7" s="10">
        <f t="shared" si="1"/>
        <v>0.4122763091334542</v>
      </c>
      <c r="L7" s="16">
        <v>0.41229999999999989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8033499665.0200005</v>
      </c>
      <c r="R7" s="15">
        <v>7631824681.7700005</v>
      </c>
      <c r="S7" s="15">
        <v>7230149698.5200005</v>
      </c>
      <c r="T7" s="9" t="str">
        <f t="shared" si="3"/>
        <v>Abaixo do limite de alerta</v>
      </c>
      <c r="U7" s="9" t="s">
        <v>50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47</v>
      </c>
      <c r="E8" s="9" t="s">
        <v>57</v>
      </c>
      <c r="F8" s="9">
        <v>1</v>
      </c>
      <c r="G8" s="9" t="s">
        <v>11</v>
      </c>
      <c r="H8" s="9" t="s">
        <v>58</v>
      </c>
      <c r="I8" s="15">
        <v>6946949068.8900003</v>
      </c>
      <c r="J8" s="15">
        <v>16743560628.58</v>
      </c>
      <c r="K8" s="10">
        <f t="shared" si="1"/>
        <v>0.41490273323537169</v>
      </c>
      <c r="L8" s="16">
        <v>0.41489999999999999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8204344708</v>
      </c>
      <c r="R8" s="15">
        <v>7794127472.6000004</v>
      </c>
      <c r="S8" s="15">
        <v>7383910237.1999998</v>
      </c>
      <c r="T8" s="9" t="str">
        <f t="shared" si="3"/>
        <v>Abaixo do limite de alerta</v>
      </c>
      <c r="U8" s="9" t="s">
        <v>50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47</v>
      </c>
      <c r="E9" s="9" t="s">
        <v>57</v>
      </c>
      <c r="F9" s="9">
        <v>2</v>
      </c>
      <c r="G9" s="9" t="s">
        <v>12</v>
      </c>
      <c r="H9" s="9" t="s">
        <v>59</v>
      </c>
      <c r="I9" s="15">
        <v>7281124504.1400003</v>
      </c>
      <c r="J9" s="15">
        <v>16829594936.16</v>
      </c>
      <c r="K9" s="10">
        <f t="shared" si="1"/>
        <v>0.43263813132518153</v>
      </c>
      <c r="L9" s="16">
        <v>0.43259999999999998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8246501518.7200003</v>
      </c>
      <c r="R9" s="15">
        <v>7834176442.7799997</v>
      </c>
      <c r="S9" s="15">
        <v>7421851366.8500004</v>
      </c>
      <c r="T9" s="9" t="str">
        <f t="shared" si="3"/>
        <v>Abaixo do limite de alerta</v>
      </c>
      <c r="U9" s="9" t="s">
        <v>50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60</v>
      </c>
      <c r="E10" s="9" t="s">
        <v>48</v>
      </c>
      <c r="F10" s="9">
        <v>1</v>
      </c>
      <c r="G10" s="9" t="s">
        <v>5</v>
      </c>
      <c r="H10" s="9" t="s">
        <v>49</v>
      </c>
      <c r="I10" s="15">
        <v>203990857.09999999</v>
      </c>
      <c r="J10" s="15">
        <v>13198496361.549999</v>
      </c>
      <c r="K10" s="10">
        <f t="shared" si="1"/>
        <v>1.5455613390497143E-2</v>
      </c>
      <c r="L10" s="16">
        <v>1.55E-2</v>
      </c>
      <c r="M10" s="9" t="str">
        <f t="shared" si="2"/>
        <v>Sim</v>
      </c>
      <c r="N10" s="16">
        <v>1.84E-2</v>
      </c>
      <c r="O10" s="16">
        <v>1.7500000000000002E-2</v>
      </c>
      <c r="P10" s="16">
        <v>1.66E-2</v>
      </c>
      <c r="Q10" s="15">
        <v>242852333.05000001</v>
      </c>
      <c r="R10" s="15">
        <v>230709716.40000001</v>
      </c>
      <c r="S10" s="15">
        <v>218567099.75</v>
      </c>
      <c r="T10" s="9" t="str">
        <f t="shared" si="3"/>
        <v>Abaixo do limite de alerta</v>
      </c>
      <c r="U10" s="9" t="s">
        <v>50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60</v>
      </c>
      <c r="E11" s="9" t="s">
        <v>48</v>
      </c>
      <c r="F11" s="9">
        <v>2</v>
      </c>
      <c r="G11" s="9" t="s">
        <v>6</v>
      </c>
      <c r="H11" s="9" t="s">
        <v>51</v>
      </c>
      <c r="I11" s="15">
        <v>210280200.38999999</v>
      </c>
      <c r="J11" s="15">
        <v>13716637547.190001</v>
      </c>
      <c r="K11" s="10">
        <f t="shared" si="1"/>
        <v>1.5330302318375259E-2</v>
      </c>
      <c r="L11" s="16">
        <v>1.5299999999999999E-2</v>
      </c>
      <c r="M11" s="9" t="str">
        <f t="shared" si="2"/>
        <v>Sim</v>
      </c>
      <c r="N11" s="16">
        <v>1.84E-2</v>
      </c>
      <c r="O11" s="16">
        <v>1.7500000000000002E-2</v>
      </c>
      <c r="P11" s="16">
        <v>1.66E-2</v>
      </c>
      <c r="Q11" s="15">
        <v>252386130.87</v>
      </c>
      <c r="R11" s="15">
        <v>239766824.33000001</v>
      </c>
      <c r="S11" s="15">
        <v>227147517.78</v>
      </c>
      <c r="T11" s="9" t="str">
        <f t="shared" si="3"/>
        <v>Abaixo do limite de alerta</v>
      </c>
      <c r="U11" s="9" t="s">
        <v>50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60</v>
      </c>
      <c r="E12" s="9" t="s">
        <v>48</v>
      </c>
      <c r="F12" s="9">
        <v>3</v>
      </c>
      <c r="G12" s="9" t="s">
        <v>7</v>
      </c>
      <c r="H12" s="9" t="s">
        <v>52</v>
      </c>
      <c r="I12" s="15">
        <v>214171454.59999999</v>
      </c>
      <c r="J12" s="15">
        <v>15169854338.290001</v>
      </c>
      <c r="K12" s="10">
        <f t="shared" si="1"/>
        <v>1.4118227494077715E-2</v>
      </c>
      <c r="L12" s="16">
        <v>1.41E-2</v>
      </c>
      <c r="M12" s="9" t="str">
        <f t="shared" si="2"/>
        <v>Sim</v>
      </c>
      <c r="N12" s="16">
        <v>1.84E-2</v>
      </c>
      <c r="O12" s="16">
        <v>1.7500000000000002E-2</v>
      </c>
      <c r="P12" s="16">
        <v>1.66E-2</v>
      </c>
      <c r="Q12" s="15">
        <v>279125319.81999999</v>
      </c>
      <c r="R12" s="15">
        <v>265169053.83000001</v>
      </c>
      <c r="S12" s="15">
        <v>251212787.84</v>
      </c>
      <c r="T12" s="9" t="str">
        <f t="shared" si="3"/>
        <v>Abaixo do limite de alerta</v>
      </c>
      <c r="U12" s="9" t="s">
        <v>50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60</v>
      </c>
      <c r="E13" s="9" t="s">
        <v>53</v>
      </c>
      <c r="F13" s="9">
        <v>1</v>
      </c>
      <c r="G13" s="9" t="s">
        <v>8</v>
      </c>
      <c r="H13" s="9" t="s">
        <v>54</v>
      </c>
      <c r="I13" s="15">
        <v>216472408.38</v>
      </c>
      <c r="J13" s="15">
        <v>15813158142.030001</v>
      </c>
      <c r="K13" s="10">
        <f t="shared" si="1"/>
        <v>1.3689384905639762E-2</v>
      </c>
      <c r="L13" s="16">
        <v>1.37E-2</v>
      </c>
      <c r="M13" s="9" t="str">
        <f t="shared" si="2"/>
        <v>Sim</v>
      </c>
      <c r="N13" s="16">
        <v>1.84E-2</v>
      </c>
      <c r="O13" s="16">
        <v>1.7500000000000002E-2</v>
      </c>
      <c r="P13" s="16">
        <v>1.66E-2</v>
      </c>
      <c r="Q13" s="15">
        <v>290962109.81</v>
      </c>
      <c r="R13" s="15">
        <v>276414004.31999999</v>
      </c>
      <c r="S13" s="15">
        <v>261865898.83000001</v>
      </c>
      <c r="T13" s="9" t="str">
        <f t="shared" si="3"/>
        <v>Abaixo do limite de alerta</v>
      </c>
      <c r="U13" s="9" t="s">
        <v>50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60</v>
      </c>
      <c r="E14" s="9" t="s">
        <v>53</v>
      </c>
      <c r="F14" s="9">
        <v>2</v>
      </c>
      <c r="G14" s="9" t="s">
        <v>9</v>
      </c>
      <c r="H14" s="9" t="s">
        <v>55</v>
      </c>
      <c r="I14" s="15">
        <v>219803054.53999999</v>
      </c>
      <c r="J14" s="15">
        <v>16819563642.309999</v>
      </c>
      <c r="K14" s="10">
        <f t="shared" si="1"/>
        <v>1.3068297086321571E-2</v>
      </c>
      <c r="L14" s="16">
        <v>1.3100000000000001E-2</v>
      </c>
      <c r="M14" s="9" t="str">
        <f t="shared" si="2"/>
        <v>Sim</v>
      </c>
      <c r="N14" s="16">
        <v>1.84E-2</v>
      </c>
      <c r="O14" s="16">
        <v>1.7500000000000002E-2</v>
      </c>
      <c r="P14" s="16">
        <v>1.66E-2</v>
      </c>
      <c r="Q14" s="15">
        <v>309479971.01999998</v>
      </c>
      <c r="R14" s="15">
        <v>294005972.47000003</v>
      </c>
      <c r="S14" s="15">
        <v>278531973.92000002</v>
      </c>
      <c r="T14" s="9" t="str">
        <f t="shared" si="3"/>
        <v>Abaixo do limite de alerta</v>
      </c>
      <c r="U14" s="9" t="s">
        <v>50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60</v>
      </c>
      <c r="E15" s="9" t="s">
        <v>53</v>
      </c>
      <c r="F15" s="9">
        <v>3</v>
      </c>
      <c r="G15" s="9" t="s">
        <v>10</v>
      </c>
      <c r="H15" s="9" t="s">
        <v>56</v>
      </c>
      <c r="I15" s="15">
        <v>225047766.15000001</v>
      </c>
      <c r="J15" s="15">
        <v>16394897275.559999</v>
      </c>
      <c r="K15" s="10">
        <f t="shared" si="1"/>
        <v>1.3726695713152192E-2</v>
      </c>
      <c r="L15" s="16">
        <v>1.37E-2</v>
      </c>
      <c r="M15" s="9" t="str">
        <f t="shared" si="2"/>
        <v>Sim</v>
      </c>
      <c r="N15" s="16">
        <v>1.84E-2</v>
      </c>
      <c r="O15" s="16">
        <v>1.7500000000000002E-2</v>
      </c>
      <c r="P15" s="16">
        <v>1.66E-2</v>
      </c>
      <c r="Q15" s="15">
        <v>301666109.87</v>
      </c>
      <c r="R15" s="15">
        <v>286582804.38</v>
      </c>
      <c r="S15" s="15">
        <v>271499498.88</v>
      </c>
      <c r="T15" s="9" t="str">
        <f t="shared" si="3"/>
        <v>Abaixo do limite de alerta</v>
      </c>
      <c r="U15" s="9" t="s">
        <v>50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60</v>
      </c>
      <c r="E16" s="9" t="s">
        <v>57</v>
      </c>
      <c r="F16" s="9">
        <v>1</v>
      </c>
      <c r="G16" s="9" t="s">
        <v>11</v>
      </c>
      <c r="H16" s="9" t="s">
        <v>58</v>
      </c>
      <c r="I16" s="15">
        <v>227242317.25999999</v>
      </c>
      <c r="J16" s="15">
        <v>16743560628.58</v>
      </c>
      <c r="K16" s="10">
        <f t="shared" si="1"/>
        <v>1.3571923099326581E-2</v>
      </c>
      <c r="L16" s="16">
        <v>1.3599999999999999E-2</v>
      </c>
      <c r="M16" s="9" t="str">
        <f t="shared" si="2"/>
        <v>Sim</v>
      </c>
      <c r="N16" s="16">
        <v>1.84E-2</v>
      </c>
      <c r="O16" s="16">
        <v>1.7500000000000002E-2</v>
      </c>
      <c r="P16" s="16">
        <v>1.66E-2</v>
      </c>
      <c r="Q16" s="15">
        <v>308081515.56999999</v>
      </c>
      <c r="R16" s="15">
        <v>292677439.79000002</v>
      </c>
      <c r="S16" s="15">
        <v>277273364.00999999</v>
      </c>
      <c r="T16" s="9" t="str">
        <f t="shared" si="3"/>
        <v>Abaixo do limite de alerta</v>
      </c>
      <c r="U16" s="9" t="s">
        <v>50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60</v>
      </c>
      <c r="E17" s="9" t="s">
        <v>57</v>
      </c>
      <c r="F17" s="9">
        <v>2</v>
      </c>
      <c r="G17" s="9" t="s">
        <v>12</v>
      </c>
      <c r="H17" s="9" t="s">
        <v>59</v>
      </c>
      <c r="I17" s="15">
        <v>230544647.80000001</v>
      </c>
      <c r="J17" s="15">
        <v>16829594936.16</v>
      </c>
      <c r="K17" s="10">
        <f t="shared" si="1"/>
        <v>1.3698763914076905E-2</v>
      </c>
      <c r="L17" s="16">
        <v>1.37E-2</v>
      </c>
      <c r="M17" s="9" t="str">
        <f t="shared" si="2"/>
        <v>Sim</v>
      </c>
      <c r="N17" s="16">
        <v>1.84E-2</v>
      </c>
      <c r="O17" s="16">
        <v>1.7500000000000002E-2</v>
      </c>
      <c r="P17" s="16">
        <v>1.66E-2</v>
      </c>
      <c r="Q17" s="15">
        <v>309664546.82999998</v>
      </c>
      <c r="R17" s="15">
        <v>294181319.49000001</v>
      </c>
      <c r="S17" s="15">
        <v>278698092.14999998</v>
      </c>
      <c r="T17" s="9" t="str">
        <f t="shared" si="3"/>
        <v>Abaixo do limite de alerta</v>
      </c>
      <c r="U17" s="9" t="s">
        <v>50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61</v>
      </c>
      <c r="E18" s="9" t="s">
        <v>48</v>
      </c>
      <c r="F18" s="9">
        <v>1</v>
      </c>
      <c r="G18" s="9" t="s">
        <v>5</v>
      </c>
      <c r="H18" s="9" t="s">
        <v>49</v>
      </c>
      <c r="I18" s="15">
        <v>603597868.42999995</v>
      </c>
      <c r="J18" s="15">
        <v>13198496361.549999</v>
      </c>
      <c r="K18" s="10">
        <f t="shared" si="1"/>
        <v>4.573232070498634E-2</v>
      </c>
      <c r="L18" s="16">
        <v>4.5699999999999998E-2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791909781.69000006</v>
      </c>
      <c r="R18" s="15">
        <v>752314292.61000001</v>
      </c>
      <c r="S18" s="15">
        <v>712718803.51999998</v>
      </c>
      <c r="T18" s="9" t="str">
        <f t="shared" si="3"/>
        <v>Abaixo do limite de alerta</v>
      </c>
      <c r="U18" s="9" t="s">
        <v>50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61</v>
      </c>
      <c r="E19" s="9" t="s">
        <v>48</v>
      </c>
      <c r="F19" s="9">
        <v>2</v>
      </c>
      <c r="G19" s="9" t="s">
        <v>6</v>
      </c>
      <c r="H19" s="9" t="s">
        <v>51</v>
      </c>
      <c r="I19" s="15">
        <v>612739252.88</v>
      </c>
      <c r="J19" s="15">
        <v>13716637547.190001</v>
      </c>
      <c r="K19" s="10">
        <f t="shared" si="1"/>
        <v>4.4671243281887707E-2</v>
      </c>
      <c r="L19" s="16">
        <v>4.4699999999999997E-2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822998252.83000004</v>
      </c>
      <c r="R19" s="15">
        <v>781848340.19000006</v>
      </c>
      <c r="S19" s="15">
        <v>740698427.54999995</v>
      </c>
      <c r="T19" s="9" t="str">
        <f t="shared" si="3"/>
        <v>Abaixo do limite de alerta</v>
      </c>
      <c r="U19" s="9" t="s">
        <v>50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61</v>
      </c>
      <c r="E20" s="9" t="s">
        <v>48</v>
      </c>
      <c r="F20" s="9">
        <v>3</v>
      </c>
      <c r="G20" s="9" t="s">
        <v>7</v>
      </c>
      <c r="H20" s="9" t="s">
        <v>52</v>
      </c>
      <c r="I20" s="15">
        <v>663395938.40999997</v>
      </c>
      <c r="J20" s="15">
        <v>15169854338.290001</v>
      </c>
      <c r="K20" s="10">
        <f t="shared" si="1"/>
        <v>4.3731200288161784E-2</v>
      </c>
      <c r="L20" s="16">
        <v>4.3700000000000003E-2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910191260.29999995</v>
      </c>
      <c r="R20" s="15">
        <v>864681697.28999996</v>
      </c>
      <c r="S20" s="15">
        <v>819172134.26999998</v>
      </c>
      <c r="T20" s="9" t="str">
        <f t="shared" si="3"/>
        <v>Abaixo do limite de alerta</v>
      </c>
      <c r="U20" s="9" t="s">
        <v>50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61</v>
      </c>
      <c r="E21" s="9" t="s">
        <v>53</v>
      </c>
      <c r="F21" s="9">
        <v>1</v>
      </c>
      <c r="G21" s="9" t="s">
        <v>8</v>
      </c>
      <c r="H21" s="9" t="s">
        <v>54</v>
      </c>
      <c r="I21" s="15">
        <v>687267306.30999994</v>
      </c>
      <c r="J21" s="15">
        <v>15813158142.030001</v>
      </c>
      <c r="K21" s="10">
        <f t="shared" si="1"/>
        <v>4.3461736114767814E-2</v>
      </c>
      <c r="L21" s="16">
        <v>4.3499999999999997E-2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948789488.51999998</v>
      </c>
      <c r="R21" s="15">
        <v>901350014.09000003</v>
      </c>
      <c r="S21" s="15">
        <v>853910539.66999996</v>
      </c>
      <c r="T21" s="9" t="str">
        <f t="shared" si="3"/>
        <v>Abaixo do limite de alerta</v>
      </c>
      <c r="U21" s="9" t="s">
        <v>50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61</v>
      </c>
      <c r="E22" s="9" t="s">
        <v>53</v>
      </c>
      <c r="F22" s="9">
        <v>2</v>
      </c>
      <c r="G22" s="9" t="s">
        <v>9</v>
      </c>
      <c r="H22" s="9" t="s">
        <v>55</v>
      </c>
      <c r="I22" s="15">
        <v>687171789.60000002</v>
      </c>
      <c r="J22" s="15">
        <v>16819563642.309999</v>
      </c>
      <c r="K22" s="10">
        <f t="shared" si="1"/>
        <v>4.0855506374220293E-2</v>
      </c>
      <c r="L22" s="16">
        <v>4.0899999999999999E-2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1009173818.54</v>
      </c>
      <c r="R22" s="15">
        <v>958715127.61000001</v>
      </c>
      <c r="S22" s="15">
        <v>908256436.69000006</v>
      </c>
      <c r="T22" s="9" t="str">
        <f t="shared" si="3"/>
        <v>Abaixo do limite de alerta</v>
      </c>
      <c r="U22" s="9" t="s">
        <v>50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61</v>
      </c>
      <c r="E23" s="9" t="s">
        <v>53</v>
      </c>
      <c r="F23" s="9">
        <v>3</v>
      </c>
      <c r="G23" s="9" t="s">
        <v>10</v>
      </c>
      <c r="H23" s="9" t="s">
        <v>56</v>
      </c>
      <c r="I23" s="15">
        <v>661352626.60000002</v>
      </c>
      <c r="J23" s="15">
        <v>16394897275.559999</v>
      </c>
      <c r="K23" s="10">
        <f t="shared" si="1"/>
        <v>4.0338930795613064E-2</v>
      </c>
      <c r="L23" s="16">
        <v>4.0300000000000002E-2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983693836.52999997</v>
      </c>
      <c r="R23" s="15">
        <v>934509144.70000005</v>
      </c>
      <c r="S23" s="15">
        <v>885324452.88</v>
      </c>
      <c r="T23" s="9" t="str">
        <f t="shared" si="3"/>
        <v>Abaixo do limite de alerta</v>
      </c>
      <c r="U23" s="9" t="s">
        <v>50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61</v>
      </c>
      <c r="E24" s="9" t="s">
        <v>57</v>
      </c>
      <c r="F24" s="9">
        <v>1</v>
      </c>
      <c r="G24" s="9" t="s">
        <v>11</v>
      </c>
      <c r="H24" s="9" t="s">
        <v>58</v>
      </c>
      <c r="I24" s="15">
        <v>671851712.07000005</v>
      </c>
      <c r="J24" s="15">
        <v>16743560628.58</v>
      </c>
      <c r="K24" s="10">
        <f t="shared" si="1"/>
        <v>4.0125976007946582E-2</v>
      </c>
      <c r="L24" s="16">
        <v>4.0099999999999997E-2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1004613637.71</v>
      </c>
      <c r="R24" s="15">
        <v>954382955.82000005</v>
      </c>
      <c r="S24" s="15">
        <v>904152273.94000006</v>
      </c>
      <c r="T24" s="9" t="str">
        <f t="shared" si="3"/>
        <v>Abaixo do limite de alerta</v>
      </c>
      <c r="U24" s="9" t="s">
        <v>50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61</v>
      </c>
      <c r="E25" s="9" t="s">
        <v>57</v>
      </c>
      <c r="F25" s="9">
        <v>2</v>
      </c>
      <c r="G25" s="9" t="s">
        <v>12</v>
      </c>
      <c r="H25" s="9" t="s">
        <v>59</v>
      </c>
      <c r="I25" s="15">
        <v>698380708.34000003</v>
      </c>
      <c r="J25" s="15">
        <v>16829594936.16</v>
      </c>
      <c r="K25" s="10">
        <f t="shared" si="1"/>
        <v>4.1497178689634533E-2</v>
      </c>
      <c r="L25" s="16">
        <v>4.1500000000000002E-2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1009775696.17</v>
      </c>
      <c r="R25" s="15">
        <v>959286911.36000001</v>
      </c>
      <c r="S25" s="15">
        <v>908798126.54999995</v>
      </c>
      <c r="T25" s="9" t="str">
        <f t="shared" si="3"/>
        <v>Abaixo do limite de alerta</v>
      </c>
      <c r="U25" s="9" t="s">
        <v>50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62</v>
      </c>
      <c r="E26" s="9" t="s">
        <v>48</v>
      </c>
      <c r="F26" s="9">
        <v>1</v>
      </c>
      <c r="G26" s="9" t="s">
        <v>5</v>
      </c>
      <c r="H26" s="9" t="s">
        <v>49</v>
      </c>
      <c r="I26" s="15">
        <v>130389149.39</v>
      </c>
      <c r="J26" s="15">
        <v>13198496361.549999</v>
      </c>
      <c r="K26" s="10">
        <f t="shared" si="1"/>
        <v>9.8790912099541179E-3</v>
      </c>
      <c r="L26" s="16">
        <v>9.8999999999999991E-3</v>
      </c>
      <c r="M26" s="9" t="str">
        <f t="shared" si="2"/>
        <v>Sim</v>
      </c>
      <c r="N26" s="16">
        <v>1.1599999999999999E-2</v>
      </c>
      <c r="O26" s="16">
        <v>1.0999999999999999E-2</v>
      </c>
      <c r="P26" s="16">
        <v>1.04E-2</v>
      </c>
      <c r="Q26" s="15">
        <v>153102557.78999999</v>
      </c>
      <c r="R26" s="15">
        <v>145447429.90000001</v>
      </c>
      <c r="S26" s="15">
        <v>137792302.00999999</v>
      </c>
      <c r="T26" s="9" t="str">
        <f t="shared" si="3"/>
        <v>Abaixo do limite de alerta</v>
      </c>
      <c r="U26" s="9" t="s">
        <v>50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62</v>
      </c>
      <c r="E27" s="9" t="s">
        <v>48</v>
      </c>
      <c r="F27" s="9">
        <v>2</v>
      </c>
      <c r="G27" s="9" t="s">
        <v>6</v>
      </c>
      <c r="H27" s="9" t="s">
        <v>51</v>
      </c>
      <c r="I27" s="15">
        <v>134001135.59</v>
      </c>
      <c r="J27" s="15">
        <v>13716637547.190001</v>
      </c>
      <c r="K27" s="10">
        <f t="shared" si="1"/>
        <v>9.7692408309973579E-3</v>
      </c>
      <c r="L27" s="16">
        <v>9.7999999999999997E-3</v>
      </c>
      <c r="M27" s="9" t="str">
        <f t="shared" si="2"/>
        <v>Sim</v>
      </c>
      <c r="N27" s="16">
        <v>1.1599999999999999E-2</v>
      </c>
      <c r="O27" s="16">
        <v>1.0999999999999999E-2</v>
      </c>
      <c r="P27" s="16">
        <v>1.04E-2</v>
      </c>
      <c r="Q27" s="15">
        <v>159112995.55000001</v>
      </c>
      <c r="R27" s="15">
        <v>151157345.77000001</v>
      </c>
      <c r="S27" s="15">
        <v>143201696</v>
      </c>
      <c r="T27" s="9" t="str">
        <f t="shared" si="3"/>
        <v>Abaixo do limite de alerta</v>
      </c>
      <c r="U27" s="9" t="s">
        <v>50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62</v>
      </c>
      <c r="E28" s="9" t="s">
        <v>48</v>
      </c>
      <c r="F28" s="9">
        <v>3</v>
      </c>
      <c r="G28" s="9" t="s">
        <v>7</v>
      </c>
      <c r="H28" s="9" t="s">
        <v>52</v>
      </c>
      <c r="I28" s="15">
        <v>138052531.55000001</v>
      </c>
      <c r="J28" s="15">
        <v>15169854338.290001</v>
      </c>
      <c r="K28" s="10">
        <f t="shared" si="1"/>
        <v>9.1004520196046775E-3</v>
      </c>
      <c r="L28" s="16">
        <v>9.1000000000000004E-3</v>
      </c>
      <c r="M28" s="9" t="str">
        <f t="shared" si="2"/>
        <v>Sim</v>
      </c>
      <c r="N28" s="16">
        <v>1.1599999999999999E-2</v>
      </c>
      <c r="O28" s="16">
        <v>1.0999999999999999E-2</v>
      </c>
      <c r="P28" s="16">
        <v>1.04E-2</v>
      </c>
      <c r="Q28" s="15">
        <v>175970310.31999999</v>
      </c>
      <c r="R28" s="15">
        <v>167171794.80000001</v>
      </c>
      <c r="S28" s="15">
        <v>158373279.28999999</v>
      </c>
      <c r="T28" s="9" t="str">
        <f t="shared" si="3"/>
        <v>Abaixo do limite de alerta</v>
      </c>
      <c r="U28" s="9" t="s">
        <v>50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62</v>
      </c>
      <c r="E29" s="9" t="s">
        <v>53</v>
      </c>
      <c r="F29" s="9">
        <v>1</v>
      </c>
      <c r="G29" s="9" t="s">
        <v>8</v>
      </c>
      <c r="H29" s="9" t="s">
        <v>54</v>
      </c>
      <c r="I29" s="15">
        <v>141791158.24000001</v>
      </c>
      <c r="J29" s="15">
        <v>15813158142.030001</v>
      </c>
      <c r="K29" s="10">
        <f t="shared" si="1"/>
        <v>8.9666565632535739E-3</v>
      </c>
      <c r="L29" s="16">
        <v>9.0000000000000011E-3</v>
      </c>
      <c r="M29" s="9" t="str">
        <f t="shared" si="2"/>
        <v>Sim</v>
      </c>
      <c r="N29" s="16">
        <v>1.1599999999999999E-2</v>
      </c>
      <c r="O29" s="16">
        <v>1.0999999999999999E-2</v>
      </c>
      <c r="P29" s="16">
        <v>1.04E-2</v>
      </c>
      <c r="Q29" s="15">
        <v>183432634.44</v>
      </c>
      <c r="R29" s="15">
        <v>174261002.72</v>
      </c>
      <c r="S29" s="15">
        <v>165089371</v>
      </c>
      <c r="T29" s="9" t="str">
        <f t="shared" si="3"/>
        <v>Abaixo do limite de alerta</v>
      </c>
      <c r="U29" s="9" t="s">
        <v>50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62</v>
      </c>
      <c r="E30" s="9" t="s">
        <v>53</v>
      </c>
      <c r="F30" s="9">
        <v>2</v>
      </c>
      <c r="G30" s="9" t="s">
        <v>9</v>
      </c>
      <c r="H30" s="9" t="s">
        <v>55</v>
      </c>
      <c r="I30" s="15">
        <v>145244516.56</v>
      </c>
      <c r="J30" s="15">
        <v>16819563642.309999</v>
      </c>
      <c r="K30" s="10">
        <f t="shared" si="1"/>
        <v>8.6354509337349325E-3</v>
      </c>
      <c r="L30" s="16">
        <v>8.6E-3</v>
      </c>
      <c r="M30" s="9" t="str">
        <f t="shared" si="2"/>
        <v>Sim</v>
      </c>
      <c r="N30" s="16">
        <v>1.1599999999999999E-2</v>
      </c>
      <c r="O30" s="16">
        <v>1.0999999999999999E-2</v>
      </c>
      <c r="P30" s="16">
        <v>1.04E-2</v>
      </c>
      <c r="Q30" s="15">
        <v>195106938.25</v>
      </c>
      <c r="R30" s="15">
        <v>185351591.34</v>
      </c>
      <c r="S30" s="15">
        <v>175596244.43000001</v>
      </c>
      <c r="T30" s="9" t="str">
        <f t="shared" si="3"/>
        <v>Abaixo do limite de alerta</v>
      </c>
      <c r="U30" s="9" t="s">
        <v>50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62</v>
      </c>
      <c r="E31" s="9" t="s">
        <v>53</v>
      </c>
      <c r="F31" s="9">
        <v>3</v>
      </c>
      <c r="G31" s="9" t="s">
        <v>10</v>
      </c>
      <c r="H31" s="9" t="s">
        <v>56</v>
      </c>
      <c r="I31" s="15">
        <v>151848611.03999999</v>
      </c>
      <c r="J31" s="15">
        <v>16394897275.559999</v>
      </c>
      <c r="K31" s="10">
        <f t="shared" si="1"/>
        <v>9.2619434259195929E-3</v>
      </c>
      <c r="L31" s="16">
        <v>9.300000000000001E-3</v>
      </c>
      <c r="M31" s="9" t="str">
        <f t="shared" si="2"/>
        <v>Sim</v>
      </c>
      <c r="N31" s="16">
        <v>1.1599999999999999E-2</v>
      </c>
      <c r="O31" s="16">
        <v>1.0999999999999999E-2</v>
      </c>
      <c r="P31" s="16">
        <v>1.04E-2</v>
      </c>
      <c r="Q31" s="15">
        <v>190180808.40000001</v>
      </c>
      <c r="R31" s="15">
        <v>180671767.97999999</v>
      </c>
      <c r="S31" s="15">
        <v>171162727.56</v>
      </c>
      <c r="T31" s="9" t="str">
        <f t="shared" si="3"/>
        <v>Abaixo do limite de alerta</v>
      </c>
      <c r="U31" s="9" t="s">
        <v>50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62</v>
      </c>
      <c r="E32" s="9" t="s">
        <v>57</v>
      </c>
      <c r="F32" s="9">
        <v>1</v>
      </c>
      <c r="G32" s="9" t="s">
        <v>11</v>
      </c>
      <c r="H32" s="9" t="s">
        <v>58</v>
      </c>
      <c r="I32" s="15">
        <v>157977333.63999999</v>
      </c>
      <c r="J32" s="15">
        <v>16743560628.58</v>
      </c>
      <c r="K32" s="10">
        <f t="shared" si="1"/>
        <v>9.4351098397998188E-3</v>
      </c>
      <c r="L32" s="16">
        <v>9.3999999999999986E-3</v>
      </c>
      <c r="M32" s="9" t="str">
        <f t="shared" si="2"/>
        <v>Sim</v>
      </c>
      <c r="N32" s="16">
        <v>1.1599999999999999E-2</v>
      </c>
      <c r="O32" s="16">
        <v>1.0999999999999999E-2</v>
      </c>
      <c r="P32" s="16">
        <v>1.04E-2</v>
      </c>
      <c r="Q32" s="15">
        <v>194225303.28999999</v>
      </c>
      <c r="R32" s="15">
        <v>184514038.13</v>
      </c>
      <c r="S32" s="15">
        <v>174802772.96000001</v>
      </c>
      <c r="T32" s="9" t="str">
        <f t="shared" si="3"/>
        <v>Abaixo do limite de alerta</v>
      </c>
      <c r="U32" s="9" t="s">
        <v>50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62</v>
      </c>
      <c r="E33" s="9" t="s">
        <v>57</v>
      </c>
      <c r="F33" s="9">
        <v>2</v>
      </c>
      <c r="G33" s="9" t="s">
        <v>12</v>
      </c>
      <c r="H33" s="9" t="s">
        <v>59</v>
      </c>
      <c r="I33" s="15">
        <v>166884290.25</v>
      </c>
      <c r="J33" s="15">
        <v>16829594936.16</v>
      </c>
      <c r="K33" s="10">
        <f t="shared" si="1"/>
        <v>9.9161204344516383E-3</v>
      </c>
      <c r="L33" s="16">
        <v>9.8999999999999991E-3</v>
      </c>
      <c r="M33" s="9" t="str">
        <f t="shared" si="2"/>
        <v>Sim</v>
      </c>
      <c r="N33" s="16">
        <v>1.1599999999999999E-2</v>
      </c>
      <c r="O33" s="16">
        <v>1.0999999999999999E-2</v>
      </c>
      <c r="P33" s="16">
        <v>1.04E-2</v>
      </c>
      <c r="Q33" s="15">
        <v>195223301.25999999</v>
      </c>
      <c r="R33" s="15">
        <v>185462136.19999999</v>
      </c>
      <c r="S33" s="15">
        <v>175700971.13</v>
      </c>
      <c r="T33" s="9" t="str">
        <f t="shared" si="3"/>
        <v>Abaixo do limite de alerta</v>
      </c>
      <c r="U33" s="9" t="s">
        <v>50</v>
      </c>
    </row>
    <row r="34" spans="1:21" x14ac:dyDescent="0.25">
      <c r="A34" s="9" t="str">
        <f t="shared" si="0"/>
        <v>Defensoria Pública|1º quad. 2024</v>
      </c>
      <c r="B34" s="9" t="s">
        <v>22</v>
      </c>
      <c r="C34" s="9" t="s">
        <v>22</v>
      </c>
      <c r="D34" s="9" t="s">
        <v>63</v>
      </c>
      <c r="E34" s="9" t="s">
        <v>48</v>
      </c>
      <c r="F34" s="9">
        <v>1</v>
      </c>
      <c r="G34" s="9" t="s">
        <v>5</v>
      </c>
      <c r="H34" s="9" t="s">
        <v>49</v>
      </c>
      <c r="I34" s="15">
        <v>69862953.010000005</v>
      </c>
      <c r="J34" s="15">
        <v>13198496361.549999</v>
      </c>
      <c r="K34" s="10">
        <f t="shared" si="1"/>
        <v>5.2932509201218938E-3</v>
      </c>
      <c r="L34" s="10"/>
      <c r="M34" s="9" t="str">
        <f t="shared" si="2"/>
        <v>Não declarado</v>
      </c>
      <c r="N34" s="10"/>
      <c r="O34" s="10"/>
      <c r="P34" s="10"/>
      <c r="Q34" s="17"/>
      <c r="R34" s="17"/>
      <c r="S34" s="17"/>
      <c r="T34" s="9" t="str">
        <f t="shared" si="3"/>
        <v>Sem limite próprio na LRF</v>
      </c>
      <c r="U34" s="9" t="s">
        <v>64</v>
      </c>
    </row>
    <row r="35" spans="1:21" x14ac:dyDescent="0.25">
      <c r="A35" s="9" t="str">
        <f t="shared" si="0"/>
        <v>Defensoria Pública|2º quad. 2024</v>
      </c>
      <c r="B35" s="9" t="s">
        <v>22</v>
      </c>
      <c r="C35" s="9" t="s">
        <v>22</v>
      </c>
      <c r="D35" s="9" t="s">
        <v>63</v>
      </c>
      <c r="E35" s="9" t="s">
        <v>48</v>
      </c>
      <c r="F35" s="9">
        <v>2</v>
      </c>
      <c r="G35" s="9" t="s">
        <v>6</v>
      </c>
      <c r="H35" s="9" t="s">
        <v>51</v>
      </c>
      <c r="I35" s="15">
        <v>71463036.790000007</v>
      </c>
      <c r="J35" s="15">
        <v>13716637547.190001</v>
      </c>
      <c r="K35" s="10">
        <f t="shared" si="1"/>
        <v>5.2099529891449217E-3</v>
      </c>
      <c r="L35" s="10"/>
      <c r="M35" s="9" t="str">
        <f t="shared" si="2"/>
        <v>Não declarado</v>
      </c>
      <c r="N35" s="10"/>
      <c r="O35" s="10"/>
      <c r="P35" s="10"/>
      <c r="Q35" s="17"/>
      <c r="R35" s="17"/>
      <c r="S35" s="17"/>
      <c r="T35" s="9" t="str">
        <f t="shared" si="3"/>
        <v>Sem limite próprio na LRF</v>
      </c>
      <c r="U35" s="9" t="s">
        <v>64</v>
      </c>
    </row>
    <row r="36" spans="1:21" x14ac:dyDescent="0.25">
      <c r="A36" s="9" t="str">
        <f t="shared" si="0"/>
        <v>Defensoria Pública|3º quad. 2024</v>
      </c>
      <c r="B36" s="9" t="s">
        <v>22</v>
      </c>
      <c r="C36" s="9" t="s">
        <v>22</v>
      </c>
      <c r="D36" s="9" t="s">
        <v>63</v>
      </c>
      <c r="E36" s="9" t="s">
        <v>48</v>
      </c>
      <c r="F36" s="9">
        <v>3</v>
      </c>
      <c r="G36" s="9" t="s">
        <v>7</v>
      </c>
      <c r="H36" s="9" t="s">
        <v>52</v>
      </c>
      <c r="I36" s="15">
        <v>72410775.209999993</v>
      </c>
      <c r="J36" s="15">
        <v>15169854338.290001</v>
      </c>
      <c r="K36" s="10">
        <f t="shared" si="1"/>
        <v>4.773333586152442E-3</v>
      </c>
      <c r="L36" s="10"/>
      <c r="M36" s="9" t="str">
        <f t="shared" si="2"/>
        <v>Não declarado</v>
      </c>
      <c r="N36" s="10"/>
      <c r="O36" s="10"/>
      <c r="P36" s="10"/>
      <c r="Q36" s="17"/>
      <c r="R36" s="17"/>
      <c r="S36" s="17"/>
      <c r="T36" s="9" t="str">
        <f t="shared" si="3"/>
        <v>Sem limite próprio na LRF</v>
      </c>
      <c r="U36" s="9" t="s">
        <v>64</v>
      </c>
    </row>
    <row r="37" spans="1:21" x14ac:dyDescent="0.25">
      <c r="A37" s="9" t="str">
        <f t="shared" si="0"/>
        <v>Defensoria Pública|1º quad. 2025</v>
      </c>
      <c r="B37" s="9" t="s">
        <v>22</v>
      </c>
      <c r="C37" s="9" t="s">
        <v>22</v>
      </c>
      <c r="D37" s="9" t="s">
        <v>63</v>
      </c>
      <c r="E37" s="9" t="s">
        <v>53</v>
      </c>
      <c r="F37" s="9">
        <v>1</v>
      </c>
      <c r="G37" s="9" t="s">
        <v>8</v>
      </c>
      <c r="H37" s="9" t="s">
        <v>54</v>
      </c>
      <c r="I37" s="15">
        <v>73966106.620000005</v>
      </c>
      <c r="J37" s="15">
        <v>15813158142.030001</v>
      </c>
      <c r="K37" s="10">
        <f t="shared" si="1"/>
        <v>4.6775037570391783E-3</v>
      </c>
      <c r="L37" s="10"/>
      <c r="M37" s="9" t="str">
        <f t="shared" si="2"/>
        <v>Não declarado</v>
      </c>
      <c r="N37" s="10"/>
      <c r="O37" s="10"/>
      <c r="P37" s="10"/>
      <c r="Q37" s="17"/>
      <c r="R37" s="17"/>
      <c r="S37" s="17"/>
      <c r="T37" s="9" t="str">
        <f t="shared" si="3"/>
        <v>Sem limite próprio na LRF</v>
      </c>
      <c r="U37" s="9" t="s">
        <v>64</v>
      </c>
    </row>
    <row r="38" spans="1:21" x14ac:dyDescent="0.25">
      <c r="A38" s="9" t="str">
        <f t="shared" si="0"/>
        <v>Defensoria Pública|2º quad. 2025</v>
      </c>
      <c r="B38" s="9" t="s">
        <v>22</v>
      </c>
      <c r="C38" s="9" t="s">
        <v>22</v>
      </c>
      <c r="D38" s="9" t="s">
        <v>63</v>
      </c>
      <c r="E38" s="9" t="s">
        <v>53</v>
      </c>
      <c r="F38" s="9">
        <v>2</v>
      </c>
      <c r="G38" s="9" t="s">
        <v>9</v>
      </c>
      <c r="H38" s="9" t="s">
        <v>55</v>
      </c>
      <c r="I38" s="15">
        <v>77613840.120000005</v>
      </c>
      <c r="J38" s="15">
        <v>16819563642.309999</v>
      </c>
      <c r="K38" s="10">
        <f t="shared" si="1"/>
        <v>4.6144978413566332E-3</v>
      </c>
      <c r="L38" s="10"/>
      <c r="M38" s="9" t="str">
        <f t="shared" si="2"/>
        <v>Não declarado</v>
      </c>
      <c r="N38" s="10"/>
      <c r="O38" s="10"/>
      <c r="P38" s="10"/>
      <c r="Q38" s="17"/>
      <c r="R38" s="17"/>
      <c r="S38" s="17"/>
      <c r="T38" s="9" t="str">
        <f t="shared" si="3"/>
        <v>Sem limite próprio na LRF</v>
      </c>
      <c r="U38" s="9" t="s">
        <v>64</v>
      </c>
    </row>
    <row r="39" spans="1:21" x14ac:dyDescent="0.25">
      <c r="A39" s="9" t="str">
        <f t="shared" si="0"/>
        <v>Defensoria Pública|3º quad. 2025</v>
      </c>
      <c r="B39" s="9" t="s">
        <v>22</v>
      </c>
      <c r="C39" s="9" t="s">
        <v>22</v>
      </c>
      <c r="D39" s="9" t="s">
        <v>63</v>
      </c>
      <c r="E39" s="9" t="s">
        <v>53</v>
      </c>
      <c r="F39" s="9">
        <v>3</v>
      </c>
      <c r="G39" s="9" t="s">
        <v>10</v>
      </c>
      <c r="H39" s="9" t="s">
        <v>56</v>
      </c>
      <c r="I39" s="15">
        <v>81252909.319999993</v>
      </c>
      <c r="J39" s="15">
        <v>16394897275.559999</v>
      </c>
      <c r="K39" s="10">
        <f t="shared" si="1"/>
        <v>4.9559877048527979E-3</v>
      </c>
      <c r="L39" s="10"/>
      <c r="M39" s="9" t="str">
        <f t="shared" si="2"/>
        <v>Não declarado</v>
      </c>
      <c r="N39" s="10"/>
      <c r="O39" s="10"/>
      <c r="P39" s="10"/>
      <c r="Q39" s="17"/>
      <c r="R39" s="17"/>
      <c r="S39" s="17"/>
      <c r="T39" s="9" t="str">
        <f t="shared" si="3"/>
        <v>Sem limite próprio na LRF</v>
      </c>
      <c r="U39" s="9" t="s">
        <v>64</v>
      </c>
    </row>
    <row r="40" spans="1:21" x14ac:dyDescent="0.25">
      <c r="A40" s="9" t="str">
        <f t="shared" si="0"/>
        <v>Defensoria Pública|1º quad. 2026</v>
      </c>
      <c r="B40" s="9" t="s">
        <v>22</v>
      </c>
      <c r="C40" s="9" t="s">
        <v>22</v>
      </c>
      <c r="D40" s="9" t="s">
        <v>63</v>
      </c>
      <c r="E40" s="9" t="s">
        <v>57</v>
      </c>
      <c r="F40" s="9">
        <v>1</v>
      </c>
      <c r="G40" s="9" t="s">
        <v>11</v>
      </c>
      <c r="H40" s="9" t="s">
        <v>58</v>
      </c>
      <c r="I40" s="15">
        <v>82423911.319999993</v>
      </c>
      <c r="J40" s="15">
        <v>16743560628.58</v>
      </c>
      <c r="K40" s="10">
        <f t="shared" si="1"/>
        <v>4.922723018621772E-3</v>
      </c>
      <c r="L40" s="10"/>
      <c r="M40" s="9" t="str">
        <f t="shared" si="2"/>
        <v>Não declarado</v>
      </c>
      <c r="N40" s="10"/>
      <c r="O40" s="10"/>
      <c r="P40" s="10"/>
      <c r="Q40" s="17"/>
      <c r="R40" s="17"/>
      <c r="S40" s="17"/>
      <c r="T40" s="9" t="str">
        <f t="shared" si="3"/>
        <v>Sem limite próprio na LRF</v>
      </c>
      <c r="U40" s="9" t="s">
        <v>64</v>
      </c>
    </row>
    <row r="41" spans="1:21" x14ac:dyDescent="0.25">
      <c r="A41" s="9" t="str">
        <f t="shared" si="0"/>
        <v>Defensoria Pública|2º quad. 2026</v>
      </c>
      <c r="B41" s="9" t="s">
        <v>22</v>
      </c>
      <c r="C41" s="9" t="s">
        <v>22</v>
      </c>
      <c r="D41" s="9" t="s">
        <v>63</v>
      </c>
      <c r="E41" s="9" t="s">
        <v>57</v>
      </c>
      <c r="F41" s="9">
        <v>2</v>
      </c>
      <c r="G41" s="9" t="s">
        <v>12</v>
      </c>
      <c r="H41" s="9" t="s">
        <v>59</v>
      </c>
      <c r="I41" s="15">
        <v>91490785.099999994</v>
      </c>
      <c r="J41" s="15">
        <v>16829594936.16</v>
      </c>
      <c r="K41" s="10">
        <f t="shared" si="1"/>
        <v>5.4363034551368353E-3</v>
      </c>
      <c r="L41" s="10"/>
      <c r="M41" s="9" t="str">
        <f t="shared" si="2"/>
        <v>Não declarado</v>
      </c>
      <c r="N41" s="10"/>
      <c r="O41" s="10"/>
      <c r="P41" s="10"/>
      <c r="Q41" s="17"/>
      <c r="R41" s="17"/>
      <c r="S41" s="17"/>
      <c r="T41" s="9" t="str">
        <f t="shared" si="3"/>
        <v>Sem limite próprio na LRF</v>
      </c>
      <c r="U41" s="9" t="s">
        <v>64</v>
      </c>
    </row>
    <row r="42" spans="1:21" x14ac:dyDescent="0.25">
      <c r="A42" s="9" t="str">
        <f t="shared" si="0"/>
        <v>Ministério Público|1º quad. 2024</v>
      </c>
      <c r="B42" s="9" t="s">
        <v>23</v>
      </c>
      <c r="C42" s="9" t="s">
        <v>23</v>
      </c>
      <c r="D42" s="9" t="s">
        <v>65</v>
      </c>
      <c r="E42" s="9" t="s">
        <v>48</v>
      </c>
      <c r="F42" s="9">
        <v>1</v>
      </c>
      <c r="G42" s="9" t="s">
        <v>5</v>
      </c>
      <c r="H42" s="9" t="s">
        <v>49</v>
      </c>
      <c r="I42" s="15">
        <v>180084624.56</v>
      </c>
      <c r="J42" s="15">
        <v>13198496361.549999</v>
      </c>
      <c r="K42" s="10">
        <f t="shared" si="1"/>
        <v>1.3644328840717375E-2</v>
      </c>
      <c r="L42" s="16">
        <v>1.3599999999999999E-2</v>
      </c>
      <c r="M42" s="9" t="str">
        <f t="shared" si="2"/>
        <v>Sim</v>
      </c>
      <c r="N42" s="16">
        <v>0.02</v>
      </c>
      <c r="O42" s="16">
        <v>1.9E-2</v>
      </c>
      <c r="P42" s="16">
        <v>1.7999999999999999E-2</v>
      </c>
      <c r="Q42" s="15">
        <v>263969927.22999999</v>
      </c>
      <c r="R42" s="15">
        <v>250771430.87</v>
      </c>
      <c r="S42" s="15">
        <v>237572934.50999999</v>
      </c>
      <c r="T42" s="9" t="str">
        <f t="shared" si="3"/>
        <v>Abaixo do limite de alerta</v>
      </c>
      <c r="U42" s="9" t="s">
        <v>50</v>
      </c>
    </row>
    <row r="43" spans="1:21" x14ac:dyDescent="0.25">
      <c r="A43" s="9" t="str">
        <f t="shared" si="0"/>
        <v>Ministério Público|2º quad. 2024</v>
      </c>
      <c r="B43" s="9" t="s">
        <v>23</v>
      </c>
      <c r="C43" s="9" t="s">
        <v>23</v>
      </c>
      <c r="D43" s="9" t="s">
        <v>65</v>
      </c>
      <c r="E43" s="9" t="s">
        <v>48</v>
      </c>
      <c r="F43" s="9">
        <v>2</v>
      </c>
      <c r="G43" s="9" t="s">
        <v>6</v>
      </c>
      <c r="H43" s="9" t="s">
        <v>51</v>
      </c>
      <c r="I43" s="15">
        <v>182478844.72999999</v>
      </c>
      <c r="J43" s="15">
        <v>13716637547.190001</v>
      </c>
      <c r="K43" s="10">
        <f t="shared" si="1"/>
        <v>1.330346771227346E-2</v>
      </c>
      <c r="L43" s="16">
        <v>1.3299999999999999E-2</v>
      </c>
      <c r="M43" s="9" t="str">
        <f t="shared" si="2"/>
        <v>Sim</v>
      </c>
      <c r="N43" s="16">
        <v>0.02</v>
      </c>
      <c r="O43" s="16">
        <v>1.9E-2</v>
      </c>
      <c r="P43" s="16">
        <v>1.7999999999999999E-2</v>
      </c>
      <c r="Q43" s="15">
        <v>274332750.94</v>
      </c>
      <c r="R43" s="15">
        <v>260616113.38999999</v>
      </c>
      <c r="S43" s="15">
        <v>246899475.84999999</v>
      </c>
      <c r="T43" s="9" t="str">
        <f t="shared" si="3"/>
        <v>Abaixo do limite de alerta</v>
      </c>
      <c r="U43" s="9" t="s">
        <v>50</v>
      </c>
    </row>
    <row r="44" spans="1:21" x14ac:dyDescent="0.25">
      <c r="A44" s="9" t="str">
        <f t="shared" si="0"/>
        <v>Ministério Público|3º quad. 2024</v>
      </c>
      <c r="B44" s="9" t="s">
        <v>23</v>
      </c>
      <c r="C44" s="9" t="s">
        <v>23</v>
      </c>
      <c r="D44" s="9" t="s">
        <v>65</v>
      </c>
      <c r="E44" s="9" t="s">
        <v>48</v>
      </c>
      <c r="F44" s="9">
        <v>3</v>
      </c>
      <c r="G44" s="9" t="s">
        <v>7</v>
      </c>
      <c r="H44" s="9" t="s">
        <v>52</v>
      </c>
      <c r="I44" s="15">
        <v>187289065.16</v>
      </c>
      <c r="J44" s="15">
        <v>15169854338.290001</v>
      </c>
      <c r="K44" s="10">
        <f t="shared" si="1"/>
        <v>1.2346134707916508E-2</v>
      </c>
      <c r="L44" s="16">
        <v>1.23E-2</v>
      </c>
      <c r="M44" s="9" t="str">
        <f t="shared" si="2"/>
        <v>Sim</v>
      </c>
      <c r="N44" s="16">
        <v>0.02</v>
      </c>
      <c r="O44" s="16">
        <v>1.9E-2</v>
      </c>
      <c r="P44" s="16">
        <v>1.7999999999999999E-2</v>
      </c>
      <c r="Q44" s="15">
        <v>303397086.76999998</v>
      </c>
      <c r="R44" s="15">
        <v>288227232.43000001</v>
      </c>
      <c r="S44" s="15">
        <v>273057378.08999997</v>
      </c>
      <c r="T44" s="9" t="str">
        <f t="shared" si="3"/>
        <v>Abaixo do limite de alerta</v>
      </c>
      <c r="U44" s="9" t="s">
        <v>50</v>
      </c>
    </row>
    <row r="45" spans="1:21" x14ac:dyDescent="0.25">
      <c r="A45" s="9" t="str">
        <f t="shared" si="0"/>
        <v>Ministério Público|1º quad. 2025</v>
      </c>
      <c r="B45" s="9" t="s">
        <v>23</v>
      </c>
      <c r="C45" s="9" t="s">
        <v>23</v>
      </c>
      <c r="D45" s="9" t="s">
        <v>65</v>
      </c>
      <c r="E45" s="9" t="s">
        <v>53</v>
      </c>
      <c r="F45" s="9">
        <v>1</v>
      </c>
      <c r="G45" s="9" t="s">
        <v>8</v>
      </c>
      <c r="H45" s="9" t="s">
        <v>54</v>
      </c>
      <c r="I45" s="15">
        <v>192085778.47</v>
      </c>
      <c r="J45" s="15">
        <v>15813158142.030001</v>
      </c>
      <c r="K45" s="10">
        <f t="shared" si="1"/>
        <v>1.2147211628741807E-2</v>
      </c>
      <c r="L45" s="16">
        <v>1.21E-2</v>
      </c>
      <c r="M45" s="9" t="str">
        <f t="shared" si="2"/>
        <v>Sim</v>
      </c>
      <c r="N45" s="16">
        <v>0.02</v>
      </c>
      <c r="O45" s="16">
        <v>1.9E-2</v>
      </c>
      <c r="P45" s="16">
        <v>1.7999999999999999E-2</v>
      </c>
      <c r="Q45" s="15">
        <v>316263162.83999997</v>
      </c>
      <c r="R45" s="15">
        <v>300450004.69999999</v>
      </c>
      <c r="S45" s="15">
        <v>284636846.56</v>
      </c>
      <c r="T45" s="9" t="str">
        <f t="shared" si="3"/>
        <v>Abaixo do limite de alerta</v>
      </c>
      <c r="U45" s="9" t="s">
        <v>50</v>
      </c>
    </row>
    <row r="46" spans="1:21" x14ac:dyDescent="0.25">
      <c r="A46" s="9" t="str">
        <f t="shared" si="0"/>
        <v>Ministério Público|2º quad. 2025</v>
      </c>
      <c r="B46" s="9" t="s">
        <v>23</v>
      </c>
      <c r="C46" s="9" t="s">
        <v>23</v>
      </c>
      <c r="D46" s="9" t="s">
        <v>65</v>
      </c>
      <c r="E46" s="9" t="s">
        <v>53</v>
      </c>
      <c r="F46" s="9">
        <v>2</v>
      </c>
      <c r="G46" s="9" t="s">
        <v>9</v>
      </c>
      <c r="H46" s="9" t="s">
        <v>55</v>
      </c>
      <c r="I46" s="15">
        <v>196935484.44</v>
      </c>
      <c r="J46" s="15">
        <v>16819563642.309999</v>
      </c>
      <c r="K46" s="10">
        <f t="shared" si="1"/>
        <v>1.170871543567303E-2</v>
      </c>
      <c r="L46" s="16">
        <v>1.17E-2</v>
      </c>
      <c r="M46" s="9" t="str">
        <f t="shared" si="2"/>
        <v>Sim</v>
      </c>
      <c r="N46" s="16">
        <v>0.02</v>
      </c>
      <c r="O46" s="16">
        <v>1.9E-2</v>
      </c>
      <c r="P46" s="16">
        <v>1.7999999999999999E-2</v>
      </c>
      <c r="Q46" s="15">
        <v>336391272.85000002</v>
      </c>
      <c r="R46" s="15">
        <v>319571709.20999998</v>
      </c>
      <c r="S46" s="15">
        <v>302752145.56999999</v>
      </c>
      <c r="T46" s="9" t="str">
        <f t="shared" si="3"/>
        <v>Abaixo do limite de alerta</v>
      </c>
      <c r="U46" s="9" t="s">
        <v>50</v>
      </c>
    </row>
    <row r="47" spans="1:21" x14ac:dyDescent="0.25">
      <c r="A47" s="9" t="str">
        <f t="shared" si="0"/>
        <v>Ministério Público|3º quad. 2025</v>
      </c>
      <c r="B47" s="9" t="s">
        <v>23</v>
      </c>
      <c r="C47" s="9" t="s">
        <v>23</v>
      </c>
      <c r="D47" s="9" t="s">
        <v>65</v>
      </c>
      <c r="E47" s="9" t="s">
        <v>53</v>
      </c>
      <c r="F47" s="9">
        <v>3</v>
      </c>
      <c r="G47" s="9" t="s">
        <v>10</v>
      </c>
      <c r="H47" s="9" t="s">
        <v>56</v>
      </c>
      <c r="I47" s="15">
        <v>201903866.00999999</v>
      </c>
      <c r="J47" s="15">
        <v>16394897275.559999</v>
      </c>
      <c r="K47" s="10">
        <f t="shared" si="1"/>
        <v>1.231504306592879E-2</v>
      </c>
      <c r="L47" s="16">
        <v>1.23E-2</v>
      </c>
      <c r="M47" s="9" t="str">
        <f t="shared" si="2"/>
        <v>Sim</v>
      </c>
      <c r="N47" s="16">
        <v>0.02</v>
      </c>
      <c r="O47" s="16">
        <v>1.9E-2</v>
      </c>
      <c r="P47" s="16">
        <v>1.7999999999999999E-2</v>
      </c>
      <c r="Q47" s="15">
        <v>327897945.50999999</v>
      </c>
      <c r="R47" s="15">
        <v>311503048.23000002</v>
      </c>
      <c r="S47" s="15">
        <v>295108150.95999998</v>
      </c>
      <c r="T47" s="9" t="str">
        <f t="shared" si="3"/>
        <v>Abaixo do limite de alerta</v>
      </c>
      <c r="U47" s="9" t="s">
        <v>50</v>
      </c>
    </row>
    <row r="48" spans="1:21" x14ac:dyDescent="0.25">
      <c r="A48" s="9" t="str">
        <f t="shared" si="0"/>
        <v>Ministério Público|1º quad. 2026</v>
      </c>
      <c r="B48" s="9" t="s">
        <v>23</v>
      </c>
      <c r="C48" s="9" t="s">
        <v>23</v>
      </c>
      <c r="D48" s="9" t="s">
        <v>65</v>
      </c>
      <c r="E48" s="9" t="s">
        <v>57</v>
      </c>
      <c r="F48" s="9">
        <v>1</v>
      </c>
      <c r="G48" s="9" t="s">
        <v>11</v>
      </c>
      <c r="H48" s="9" t="s">
        <v>58</v>
      </c>
      <c r="I48" s="15">
        <v>204508640.87</v>
      </c>
      <c r="J48" s="15">
        <v>16743560628.58</v>
      </c>
      <c r="K48" s="10">
        <f t="shared" si="1"/>
        <v>1.221416671200265E-2</v>
      </c>
      <c r="L48" s="16">
        <v>1.2200000000000001E-2</v>
      </c>
      <c r="M48" s="9" t="str">
        <f t="shared" si="2"/>
        <v>Sim</v>
      </c>
      <c r="N48" s="16">
        <v>0.02</v>
      </c>
      <c r="O48" s="16">
        <v>1.9E-2</v>
      </c>
      <c r="P48" s="16">
        <v>1.7999999999999999E-2</v>
      </c>
      <c r="Q48" s="15">
        <v>334871212.56999999</v>
      </c>
      <c r="R48" s="15">
        <v>318127651.94</v>
      </c>
      <c r="S48" s="15">
        <v>301384091.31</v>
      </c>
      <c r="T48" s="9" t="str">
        <f t="shared" si="3"/>
        <v>Abaixo do limite de alerta</v>
      </c>
      <c r="U48" s="9" t="s">
        <v>50</v>
      </c>
    </row>
    <row r="49" spans="1:21" x14ac:dyDescent="0.25">
      <c r="A49" s="9" t="str">
        <f t="shared" si="0"/>
        <v>Ministério Público|2º quad. 2026</v>
      </c>
      <c r="B49" s="9" t="s">
        <v>23</v>
      </c>
      <c r="C49" s="9" t="s">
        <v>23</v>
      </c>
      <c r="D49" s="9" t="s">
        <v>65</v>
      </c>
      <c r="E49" s="9" t="s">
        <v>57</v>
      </c>
      <c r="F49" s="9">
        <v>2</v>
      </c>
      <c r="G49" s="9" t="s">
        <v>12</v>
      </c>
      <c r="H49" s="9" t="s">
        <v>59</v>
      </c>
      <c r="I49" s="15">
        <v>218835567.40000001</v>
      </c>
      <c r="J49" s="15">
        <v>16829594936.16</v>
      </c>
      <c r="K49" s="10">
        <f t="shared" si="1"/>
        <v>1.3003020466631125E-2</v>
      </c>
      <c r="L49" s="16">
        <v>1.2999999999999999E-2</v>
      </c>
      <c r="M49" s="9" t="str">
        <f t="shared" si="2"/>
        <v>Sim</v>
      </c>
      <c r="N49" s="16">
        <v>0.02</v>
      </c>
      <c r="O49" s="16">
        <v>1.9E-2</v>
      </c>
      <c r="P49" s="16">
        <v>1.7999999999999999E-2</v>
      </c>
      <c r="Q49" s="15">
        <v>336591898.72000003</v>
      </c>
      <c r="R49" s="15">
        <v>319762303.77999997</v>
      </c>
      <c r="S49" s="15">
        <v>302932708.85000002</v>
      </c>
      <c r="T49" s="9" t="str">
        <f t="shared" si="3"/>
        <v>Abaixo do limite de alerta</v>
      </c>
      <c r="U49" s="9" t="s">
        <v>50</v>
      </c>
    </row>
  </sheetData>
  <autoFilter ref="A1:U49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66</v>
      </c>
    </row>
    <row r="3" spans="1:2" ht="30" customHeight="1" x14ac:dyDescent="0.25">
      <c r="A3" s="18" t="s">
        <v>67</v>
      </c>
      <c r="B3" s="19" t="s">
        <v>68</v>
      </c>
    </row>
    <row r="4" spans="1:2" ht="15" customHeight="1" x14ac:dyDescent="0.25">
      <c r="A4" s="18" t="s">
        <v>69</v>
      </c>
      <c r="B4" s="19" t="s">
        <v>70</v>
      </c>
    </row>
    <row r="5" spans="1:2" ht="30" customHeight="1" x14ac:dyDescent="0.25">
      <c r="A5" s="18" t="s">
        <v>71</v>
      </c>
      <c r="B5" s="19" t="s">
        <v>72</v>
      </c>
    </row>
    <row r="6" spans="1:2" ht="30" customHeight="1" x14ac:dyDescent="0.25">
      <c r="A6" s="18" t="s">
        <v>73</v>
      </c>
      <c r="B6" s="19" t="s">
        <v>74</v>
      </c>
    </row>
    <row r="7" spans="1:2" ht="30" customHeight="1" x14ac:dyDescent="0.25">
      <c r="A7" s="18" t="s">
        <v>75</v>
      </c>
      <c r="B7" s="19" t="s">
        <v>76</v>
      </c>
    </row>
    <row r="8" spans="1:2" ht="60" customHeight="1" x14ac:dyDescent="0.25">
      <c r="A8" s="18" t="s">
        <v>77</v>
      </c>
      <c r="B8" s="19" t="s">
        <v>78</v>
      </c>
    </row>
    <row r="9" spans="1:2" ht="45" customHeight="1" x14ac:dyDescent="0.25">
      <c r="A9" s="18" t="s">
        <v>79</v>
      </c>
      <c r="B9" s="19" t="s">
        <v>80</v>
      </c>
    </row>
    <row r="10" spans="1:2" ht="15" customHeight="1" x14ac:dyDescent="0.25">
      <c r="A10" s="18" t="s">
        <v>81</v>
      </c>
      <c r="B10" s="19" t="s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2026-10-15T09:56:26Z</dcterms:created>
  <dcterms:modified xsi:type="dcterms:W3CDTF">2026-10-15T09:57:14Z</dcterms:modified>
</cp:coreProperties>
</file>