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8818B60BDA72D83520FCD873A4C8551FB78550CE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M30" i="2"/>
  <c r="T30" i="2"/>
  <c r="E18" i="1"/>
  <c r="D18" i="1"/>
  <c r="T11" i="2"/>
  <c r="M11" i="2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T32" i="2"/>
  <c r="M32" i="2"/>
  <c r="M31" i="2"/>
  <c r="T31" i="2"/>
  <c r="T29" i="2"/>
  <c r="M29" i="2"/>
  <c r="T28" i="2"/>
  <c r="M28" i="2"/>
  <c r="T27" i="2"/>
  <c r="M27" i="2"/>
  <c r="M26" i="2"/>
  <c r="T26" i="2"/>
  <c r="M25" i="2"/>
  <c r="T25" i="2"/>
  <c r="L8" i="1" s="1"/>
  <c r="T24" i="2"/>
  <c r="M24" i="2"/>
  <c r="T23" i="2"/>
  <c r="M23" i="2"/>
  <c r="T22" i="2"/>
  <c r="M22" i="2"/>
  <c r="T21" i="2"/>
  <c r="M21" i="2"/>
  <c r="T20" i="2"/>
  <c r="M20" i="2"/>
  <c r="M19" i="2"/>
  <c r="T19" i="2"/>
  <c r="M18" i="2"/>
  <c r="T18" i="2"/>
  <c r="T17" i="2"/>
  <c r="L7" i="1" s="1"/>
  <c r="M17" i="2"/>
  <c r="T16" i="2"/>
  <c r="M16" i="2"/>
  <c r="M15" i="2"/>
  <c r="T15" i="2"/>
  <c r="T14" i="2"/>
  <c r="M14" i="2"/>
  <c r="T13" i="2"/>
  <c r="M13" i="2"/>
  <c r="F18" i="1"/>
  <c r="G18" i="1"/>
  <c r="T12" i="2"/>
  <c r="M12" i="2"/>
  <c r="D19" i="1"/>
  <c r="C19" i="1"/>
  <c r="F21" i="1"/>
  <c r="J18" i="1"/>
  <c r="G20" i="1"/>
  <c r="D21" i="1"/>
  <c r="F20" i="1"/>
  <c r="E21" i="1"/>
  <c r="C21" i="1"/>
  <c r="J20" i="1"/>
  <c r="I20" i="1"/>
  <c r="H20" i="1"/>
  <c r="H18" i="1"/>
  <c r="I18" i="1"/>
  <c r="I19" i="1"/>
  <c r="H19" i="1"/>
  <c r="G19" i="1"/>
  <c r="F19" i="1"/>
  <c r="E19" i="1"/>
  <c r="T10" i="2"/>
  <c r="M10" i="2"/>
  <c r="T9" i="2"/>
  <c r="L6" i="1" s="1"/>
  <c r="M9" i="2"/>
  <c r="M8" i="2"/>
  <c r="T8" i="2"/>
  <c r="M7" i="2"/>
  <c r="T7" i="2"/>
  <c r="M6" i="2"/>
  <c r="T6" i="2"/>
  <c r="E20" i="1"/>
  <c r="D20" i="1"/>
  <c r="C20" i="1"/>
  <c r="J19" i="1"/>
  <c r="J21" i="1"/>
  <c r="I21" i="1"/>
  <c r="H21" i="1"/>
  <c r="G21" i="1"/>
  <c r="T5" i="2"/>
  <c r="M5" i="2"/>
  <c r="T4" i="2"/>
  <c r="M4" i="2"/>
  <c r="M3" i="2"/>
  <c r="T3" i="2"/>
  <c r="T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<sst xmlns="http://schemas.openxmlformats.org/spreadsheetml/2006/main" count="427" uniqueCount="83">
  <si>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Sergipe (SE)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</si>
  <si>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</si>
  <si>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</si>
  <si>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</si>
  <si>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</si>
  <si>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</si>
  <si>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</si>
  <si>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</si>
  <si>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</si>
  <si>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</si>
  <si>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</si>
  <si>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</si>
  <si>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</si>
  <si>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</si>
  <si>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</si>
  <si>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</si>
  <si>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</si>
  <si>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</si>
  <si>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</si>
  <si>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</si>
  <si>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</si>
  <si>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</si>
  <si>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</si>
  <si>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</si>
  <si>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</si>
  <si>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</si>
  <si>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</si>
  <si>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</si>
  <si>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</si>
  <si>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</si>
  <si>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</si>
  <si>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</si>
  <si>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</si>
  <si>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</si>
  <si>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</si>
  <si>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</si>
  <si>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</si>
  <si>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</si>
  <si>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</si>
  <si>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</si>
  <si>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</si>
  <si>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</si>
  <si>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</si>
  <si>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</si>
  <si>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</si>
  <si>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</si>
  <si>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</si>
  <si>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de Sergipe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</si>
  <si>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</si>
  <si>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</si>
  <si>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</si>
  <si>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</si>
  <si>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</si>
  <si>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</si>
  <si>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</si>
  <si>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</si>
  <si>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</si>
  <si>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</si>
  <si>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</si>
  <si>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</si>
  <si>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de Sergipe</t>
  </si>
  <si>
    <t>Tribunal de Justiça do Estado de Sergipe</t>
  </si>
  <si>
    <t>Tribunal de Contas do Estado de Sergipe</t>
  </si>
  <si>
    <t>Defensoria Pública do Estado de Sergipe</t>
  </si>
  <si>
    <t>Calculado (despesa líquida / RCL Ajustada do Executivo)</t>
  </si>
  <si>
    <t>Ministério Público do Estado de Sergipe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</si>
  <si>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</si>
  <si>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</si>
  <si>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</si>
  <si>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</si>
  <si>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Sergipe (SE).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</si>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</sst>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0.43594172508786377</v>
      </c>
      <c r="D6" s="7">
        <f>IFERROR(IF(INDEX(Dados!$K$2:$K$49,MATCH($A6&amp;"|"&amp;D$5,Dados!$A$2:$A$49,0))="","",INDEX(Dados!$K$2:$K$49,MATCH($A6&amp;"|"&amp;D$5,Dados!$A$2:$A$49,0))),"")</f>
        <v>0.43306624940140054</v>
      </c>
      <c r="E6" s="7">
        <f>IFERROR(IF(INDEX(Dados!$K$2:$K$49,MATCH($A6&amp;"|"&amp;E$5,Dados!$A$2:$A$49,0))="","",INDEX(Dados!$K$2:$K$49,MATCH($A6&amp;"|"&amp;E$5,Dados!$A$2:$A$49,0))),"")</f>
        <v>0.4036972471536811</v>
      </c>
      <c r="F6" s="7">
        <f>IFERROR(IF(INDEX(Dados!$K$2:$K$49,MATCH($A6&amp;"|"&amp;F$5,Dados!$A$2:$A$49,0))="","",INDEX(Dados!$K$2:$K$49,MATCH($A6&amp;"|"&amp;F$5,Dados!$A$2:$A$49,0))),"")</f>
        <v>0.39836563237211248</v>
      </c>
      <c r="G6" s="7">
        <f>IFERROR(IF(INDEX(Dados!$K$2:$K$49,MATCH($A6&amp;"|"&amp;G$5,Dados!$A$2:$A$49,0))="","",INDEX(Dados!$K$2:$K$49,MATCH($A6&amp;"|"&amp;G$5,Dados!$A$2:$A$49,0))),"")</f>
        <v>0.38492919807881615</v>
      </c>
      <c r="H6" s="7">
        <f>IFERROR(IF(INDEX(Dados!$K$2:$K$49,MATCH($A6&amp;"|"&amp;H$5,Dados!$A$2:$A$49,0))="","",INDEX(Dados!$K$2:$K$49,MATCH($A6&amp;"|"&amp;H$5,Dados!$A$2:$A$49,0))),"")</f>
        <v>0.4122763091334542</v>
      </c>
      <c r="I6" s="7">
        <f>IFERROR(IF(INDEX(Dados!$K$2:$K$49,MATCH($A6&amp;"|"&amp;I$5,Dados!$A$2:$A$49,0))="","",INDEX(Dados!$K$2:$K$49,MATCH($A6&amp;"|"&amp;I$5,Dados!$A$2:$A$49,0))),"")</f>
        <v>0.41490273323537169</v>
      </c>
      <c r="J6" s="7">
        <f>IFERROR(IF(INDEX(Dados!$K$2:$K$49,MATCH($A6&amp;"|"&amp;J$5,Dados!$A$2:$A$49,0))="","",INDEX(Dados!$K$2:$K$49,MATCH($A6&amp;"|"&amp;J$5,Dados!$A$2:$A$49,0))),"")</f>
        <v>0.43263813132518153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1.5455613390497143E-2</v>
      </c>
      <c r="D7" s="10">
        <f>IFERROR(IF(INDEX(Dados!$K$2:$K$49,MATCH($A7&amp;"|"&amp;D$5,Dados!$A$2:$A$49,0))="","",INDEX(Dados!$K$2:$K$49,MATCH($A7&amp;"|"&amp;D$5,Dados!$A$2:$A$49,0))),"")</f>
        <v>1.5330302318375259E-2</v>
      </c>
      <c r="E7" s="10">
        <f>IFERROR(IF(INDEX(Dados!$K$2:$K$49,MATCH($A7&amp;"|"&amp;E$5,Dados!$A$2:$A$49,0))="","",INDEX(Dados!$K$2:$K$49,MATCH($A7&amp;"|"&amp;E$5,Dados!$A$2:$A$49,0))),"")</f>
        <v>1.4118227494077715E-2</v>
      </c>
      <c r="F7" s="10">
        <f>IFERROR(IF(INDEX(Dados!$K$2:$K$49,MATCH($A7&amp;"|"&amp;F$5,Dados!$A$2:$A$49,0))="","",INDEX(Dados!$K$2:$K$49,MATCH($A7&amp;"|"&amp;F$5,Dados!$A$2:$A$49,0))),"")</f>
        <v>1.3689384905639762E-2</v>
      </c>
      <c r="G7" s="10">
        <f>IFERROR(IF(INDEX(Dados!$K$2:$K$49,MATCH($A7&amp;"|"&amp;G$5,Dados!$A$2:$A$49,0))="","",INDEX(Dados!$K$2:$K$49,MATCH($A7&amp;"|"&amp;G$5,Dados!$A$2:$A$49,0))),"")</f>
        <v>1.3068297086321571E-2</v>
      </c>
      <c r="H7" s="10">
        <f>IFERROR(IF(INDEX(Dados!$K$2:$K$49,MATCH($A7&amp;"|"&amp;H$5,Dados!$A$2:$A$49,0))="","",INDEX(Dados!$K$2:$K$49,MATCH($A7&amp;"|"&amp;H$5,Dados!$A$2:$A$49,0))),"")</f>
        <v>1.3726695713152192E-2</v>
      </c>
      <c r="I7" s="10">
        <f>IFERROR(IF(INDEX(Dados!$K$2:$K$49,MATCH($A7&amp;"|"&amp;I$5,Dados!$A$2:$A$49,0))="","",INDEX(Dados!$K$2:$K$49,MATCH($A7&amp;"|"&amp;I$5,Dados!$A$2:$A$49,0))),"")</f>
        <v>1.3571923099326581E-2</v>
      </c>
      <c r="J7" s="10">
        <f>IFERROR(IF(INDEX(Dados!$K$2:$K$49,MATCH($A7&amp;"|"&amp;J$5,Dados!$A$2:$A$49,0))="","",INDEX(Dados!$K$2:$K$49,MATCH($A7&amp;"|"&amp;J$5,Dados!$A$2:$A$49,0))),"")</f>
        <v>1.3698763914076905E-2</v>
      </c>
      <c r="K7" s="10">
        <f>IFERROR(IF(INDEX(Dados!$N$2:$N$49,MATCH($A7&amp;"|"&amp;J$5,Dados!$A$2:$A$49,0))=0,"—",INDEX(Dados!$N$2:$N$49,MATCH($A7&amp;"|"&amp;J$5,Dados!$A$2:$A$49,0))),"—")</f>
        <v>1.84E-2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4.573232070498634E-2</v>
      </c>
      <c r="D8" s="10">
        <f>IFERROR(IF(INDEX(Dados!$K$2:$K$49,MATCH($A8&amp;"|"&amp;D$5,Dados!$A$2:$A$49,0))="","",INDEX(Dados!$K$2:$K$49,MATCH($A8&amp;"|"&amp;D$5,Dados!$A$2:$A$49,0))),"")</f>
        <v>4.4671243281887707E-2</v>
      </c>
      <c r="E8" s="10">
        <f>IFERROR(IF(INDEX(Dados!$K$2:$K$49,MATCH($A8&amp;"|"&amp;E$5,Dados!$A$2:$A$49,0))="","",INDEX(Dados!$K$2:$K$49,MATCH($A8&amp;"|"&amp;E$5,Dados!$A$2:$A$49,0))),"")</f>
        <v>4.3731200288161784E-2</v>
      </c>
      <c r="F8" s="10">
        <f>IFERROR(IF(INDEX(Dados!$K$2:$K$49,MATCH($A8&amp;"|"&amp;F$5,Dados!$A$2:$A$49,0))="","",INDEX(Dados!$K$2:$K$49,MATCH($A8&amp;"|"&amp;F$5,Dados!$A$2:$A$49,0))),"")</f>
        <v>4.3461736114767814E-2</v>
      </c>
      <c r="G8" s="10">
        <f>IFERROR(IF(INDEX(Dados!$K$2:$K$49,MATCH($A8&amp;"|"&amp;G$5,Dados!$A$2:$A$49,0))="","",INDEX(Dados!$K$2:$K$49,MATCH($A8&amp;"|"&amp;G$5,Dados!$A$2:$A$49,0))),"")</f>
        <v>4.0855506374220293E-2</v>
      </c>
      <c r="H8" s="10">
        <f>IFERROR(IF(INDEX(Dados!$K$2:$K$49,MATCH($A8&amp;"|"&amp;H$5,Dados!$A$2:$A$49,0))="","",INDEX(Dados!$K$2:$K$49,MATCH($A8&amp;"|"&amp;H$5,Dados!$A$2:$A$49,0))),"")</f>
        <v>4.0338930795613064E-2</v>
      </c>
      <c r="I8" s="10">
        <f>IFERROR(IF(INDEX(Dados!$K$2:$K$49,MATCH($A8&amp;"|"&amp;I$5,Dados!$A$2:$A$49,0))="","",INDEX(Dados!$K$2:$K$49,MATCH($A8&amp;"|"&amp;I$5,Dados!$A$2:$A$49,0))),"")</f>
        <v>4.0125976007946582E-2</v>
      </c>
      <c r="J8" s="10">
        <f>IFERROR(IF(INDEX(Dados!$K$2:$K$49,MATCH($A8&amp;"|"&amp;J$5,Dados!$A$2:$A$49,0))="","",INDEX(Dados!$K$2:$K$49,MATCH($A8&amp;"|"&amp;J$5,Dados!$A$2:$A$49,0))),"")</f>
        <v>4.1497178689634533E-2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9.8790912099541179E-3</v>
      </c>
      <c r="D9" s="10">
        <f>IFERROR(IF(INDEX(Dados!$K$2:$K$49,MATCH($A9&amp;"|"&amp;D$5,Dados!$A$2:$A$49,0))="","",INDEX(Dados!$K$2:$K$49,MATCH($A9&amp;"|"&amp;D$5,Dados!$A$2:$A$49,0))),"")</f>
        <v>9.7692408309973579E-3</v>
      </c>
      <c r="E9" s="10">
        <f>IFERROR(IF(INDEX(Dados!$K$2:$K$49,MATCH($A9&amp;"|"&amp;E$5,Dados!$A$2:$A$49,0))="","",INDEX(Dados!$K$2:$K$49,MATCH($A9&amp;"|"&amp;E$5,Dados!$A$2:$A$49,0))),"")</f>
        <v>9.1004520196046775E-3</v>
      </c>
      <c r="F9" s="10">
        <f>IFERROR(IF(INDEX(Dados!$K$2:$K$49,MATCH($A9&amp;"|"&amp;F$5,Dados!$A$2:$A$49,0))="","",INDEX(Dados!$K$2:$K$49,MATCH($A9&amp;"|"&amp;F$5,Dados!$A$2:$A$49,0))),"")</f>
        <v>8.9666565632535739E-3</v>
      </c>
      <c r="G9" s="10">
        <f>IFERROR(IF(INDEX(Dados!$K$2:$K$49,MATCH($A9&amp;"|"&amp;G$5,Dados!$A$2:$A$49,0))="","",INDEX(Dados!$K$2:$K$49,MATCH($A9&amp;"|"&amp;G$5,Dados!$A$2:$A$49,0))),"")</f>
        <v>8.6354509337349325E-3</v>
      </c>
      <c r="H9" s="10">
        <f>IFERROR(IF(INDEX(Dados!$K$2:$K$49,MATCH($A9&amp;"|"&amp;H$5,Dados!$A$2:$A$49,0))="","",INDEX(Dados!$K$2:$K$49,MATCH($A9&amp;"|"&amp;H$5,Dados!$A$2:$A$49,0))),"")</f>
        <v>9.2619434259195929E-3</v>
      </c>
      <c r="I9" s="10">
        <f>IFERROR(IF(INDEX(Dados!$K$2:$K$49,MATCH($A9&amp;"|"&amp;I$5,Dados!$A$2:$A$49,0))="","",INDEX(Dados!$K$2:$K$49,MATCH($A9&amp;"|"&amp;I$5,Dados!$A$2:$A$49,0))),"")</f>
        <v>9.4351098397998188E-3</v>
      </c>
      <c r="J9" s="10">
        <f>IFERROR(IF(INDEX(Dados!$K$2:$K$49,MATCH($A9&amp;"|"&amp;J$5,Dados!$A$2:$A$49,0))="","",INDEX(Dados!$K$2:$K$49,MATCH($A9&amp;"|"&amp;J$5,Dados!$A$2:$A$49,0))),"")</f>
        <v>9.9161204344516383E-3</v>
      </c>
      <c r="K9" s="10">
        <f>IFERROR(IF(INDEX(Dados!$N$2:$N$49,MATCH($A9&amp;"|"&amp;J$5,Dados!$A$2:$A$49,0))=0,"—",INDEX(Dados!$N$2:$N$49,MATCH($A9&amp;"|"&amp;J$5,Dados!$A$2:$A$49,0))),"—")</f>
        <v>1.1599999999999999E-2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5.2932509201218938E-3</v>
      </c>
      <c r="D10" s="10">
        <f>IFERROR(IF(INDEX(Dados!$K$2:$K$49,MATCH($A10&amp;"|"&amp;D$5,Dados!$A$2:$A$49,0))="","",INDEX(Dados!$K$2:$K$49,MATCH($A10&amp;"|"&amp;D$5,Dados!$A$2:$A$49,0))),"")</f>
        <v>5.2099529891449217E-3</v>
      </c>
      <c r="E10" s="10">
        <f>IFERROR(IF(INDEX(Dados!$K$2:$K$49,MATCH($A10&amp;"|"&amp;E$5,Dados!$A$2:$A$49,0))="","",INDEX(Dados!$K$2:$K$49,MATCH($A10&amp;"|"&amp;E$5,Dados!$A$2:$A$49,0))),"")</f>
        <v>4.773333586152442E-3</v>
      </c>
      <c r="F10" s="10">
        <f>IFERROR(IF(INDEX(Dados!$K$2:$K$49,MATCH($A10&amp;"|"&amp;F$5,Dados!$A$2:$A$49,0))="","",INDEX(Dados!$K$2:$K$49,MATCH($A10&amp;"|"&amp;F$5,Dados!$A$2:$A$49,0))),"")</f>
        <v>4.6775037570391783E-3</v>
      </c>
      <c r="G10" s="10">
        <f>IFERROR(IF(INDEX(Dados!$K$2:$K$49,MATCH($A10&amp;"|"&amp;G$5,Dados!$A$2:$A$49,0))="","",INDEX(Dados!$K$2:$K$49,MATCH($A10&amp;"|"&amp;G$5,Dados!$A$2:$A$49,0))),"")</f>
        <v>4.6144978413566332E-3</v>
      </c>
      <c r="H10" s="10">
        <f>IFERROR(IF(INDEX(Dados!$K$2:$K$49,MATCH($A10&amp;"|"&amp;H$5,Dados!$A$2:$A$49,0))="","",INDEX(Dados!$K$2:$K$49,MATCH($A10&amp;"|"&amp;H$5,Dados!$A$2:$A$49,0))),"")</f>
        <v>4.9559877048527979E-3</v>
      </c>
      <c r="I10" s="10">
        <f>IFERROR(IF(INDEX(Dados!$K$2:$K$49,MATCH($A10&amp;"|"&amp;I$5,Dados!$A$2:$A$49,0))="","",INDEX(Dados!$K$2:$K$49,MATCH($A10&amp;"|"&amp;I$5,Dados!$A$2:$A$49,0))),"")</f>
        <v>4.922723018621772E-3</v>
      </c>
      <c r="J10" s="10">
        <f>IFERROR(IF(INDEX(Dados!$K$2:$K$49,MATCH($A10&amp;"|"&amp;J$5,Dados!$A$2:$A$49,0))="","",INDEX(Dados!$K$2:$K$49,MATCH($A10&amp;"|"&amp;J$5,Dados!$A$2:$A$49,0))),"")</f>
        <v>5.4363034551368353E-3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1.3644328840717375E-2</v>
      </c>
      <c r="D11" s="10">
        <f>IFERROR(IF(INDEX(Dados!$K$2:$K$49,MATCH($A11&amp;"|"&amp;D$5,Dados!$A$2:$A$49,0))="","",INDEX(Dados!$K$2:$K$49,MATCH($A11&amp;"|"&amp;D$5,Dados!$A$2:$A$49,0))),"")</f>
        <v>1.330346771227346E-2</v>
      </c>
      <c r="E11" s="10">
        <f>IFERROR(IF(INDEX(Dados!$K$2:$K$49,MATCH($A11&amp;"|"&amp;E$5,Dados!$A$2:$A$49,0))="","",INDEX(Dados!$K$2:$K$49,MATCH($A11&amp;"|"&amp;E$5,Dados!$A$2:$A$49,0))),"")</f>
        <v>1.2346134707916508E-2</v>
      </c>
      <c r="F11" s="10">
        <f>IFERROR(IF(INDEX(Dados!$K$2:$K$49,MATCH($A11&amp;"|"&amp;F$5,Dados!$A$2:$A$49,0))="","",INDEX(Dados!$K$2:$K$49,MATCH($A11&amp;"|"&amp;F$5,Dados!$A$2:$A$49,0))),"")</f>
        <v>1.2147211628741807E-2</v>
      </c>
      <c r="G11" s="10">
        <f>IFERROR(IF(INDEX(Dados!$K$2:$K$49,MATCH($A11&amp;"|"&amp;G$5,Dados!$A$2:$A$49,0))="","",INDEX(Dados!$K$2:$K$49,MATCH($A11&amp;"|"&amp;G$5,Dados!$A$2:$A$49,0))),"")</f>
        <v>1.170871543567303E-2</v>
      </c>
      <c r="H11" s="10">
        <f>IFERROR(IF(INDEX(Dados!$K$2:$K$49,MATCH($A11&amp;"|"&amp;H$5,Dados!$A$2:$A$49,0))="","",INDEX(Dados!$K$2:$K$49,MATCH($A11&amp;"|"&amp;H$5,Dados!$A$2:$A$49,0))),"")</f>
        <v>1.231504306592879E-2</v>
      </c>
      <c r="I11" s="10">
        <f>IFERROR(IF(INDEX(Dados!$K$2:$K$49,MATCH($A11&amp;"|"&amp;I$5,Dados!$A$2:$A$49,0))="","",INDEX(Dados!$K$2:$K$49,MATCH($A11&amp;"|"&amp;I$5,Dados!$A$2:$A$49,0))),"")</f>
        <v>1.221416671200265E-2</v>
      </c>
      <c r="J11" s="10">
        <f>IFERROR(IF(INDEX(Dados!$K$2:$K$49,MATCH($A11&amp;"|"&amp;J$5,Dados!$A$2:$A$49,0))="","",INDEX(Dados!$K$2:$K$49,MATCH($A11&amp;"|"&amp;J$5,Dados!$A$2:$A$49,0))),"")</f>
        <v>1.3003020466631125E-2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13198.49636155</v>
      </c>
      <c r="D12" s="12">
        <f>IFERROR(INDEX(Dados!$J$2:$J$49,MATCH("Governo|"&amp;D$5,Dados!$A$2:$A$49,0))/1000000,"")</f>
        <v>13716.637547190001</v>
      </c>
      <c r="E12" s="12">
        <f>IFERROR(INDEX(Dados!$J$2:$J$49,MATCH("Governo|"&amp;E$5,Dados!$A$2:$A$49,0))/1000000,"")</f>
        <v>15169.854338290001</v>
      </c>
      <c r="F12" s="12">
        <f>IFERROR(INDEX(Dados!$J$2:$J$49,MATCH("Governo|"&amp;F$5,Dados!$A$2:$A$49,0))/1000000,"")</f>
        <v>15813.158142030001</v>
      </c>
      <c r="G12" s="12">
        <f>IFERROR(INDEX(Dados!$J$2:$J$49,MATCH("Governo|"&amp;G$5,Dados!$A$2:$A$49,0))/1000000,"")</f>
        <v>16819.56364231</v>
      </c>
      <c r="H12" s="12">
        <f>IFERROR(INDEX(Dados!$J$2:$J$49,MATCH("Governo|"&amp;H$5,Dados!$A$2:$A$49,0))/1000000,"")</f>
        <v>16394.897275560001</v>
      </c>
      <c r="I12" s="12">
        <f>IFERROR(INDEX(Dados!$J$2:$J$49,MATCH("Governo|"&amp;I$5,Dados!$A$2:$A$49,0))/1000000,"")</f>
        <v>16743.560628579999</v>
      </c>
      <c r="J12" s="12">
        <f>IFERROR(INDEX(Dados!$J$2:$J$49,MATCH("Governo|"&amp;J$5,Dados!$A$2:$A$49,0))/1000000,"")</f>
        <v>16829.59493616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5753.77527242</v>
      </c>
      <c r="D16" s="13">
        <f>IFERROR(IF(INDEX(Dados!$I$2:$I$49,MATCH($A16&amp;"|"&amp;D$15,Dados!$A$2:$A$49,0))="","",INDEX(Dados!$I$2:$I$49,MATCH($A16&amp;"|"&amp;D$15,Dados!$A$2:$A$49,0))/1000000),"")</f>
        <v>5940.2127769600002</v>
      </c>
      <c r="E16" s="13">
        <f>IFERROR(IF(INDEX(Dados!$I$2:$I$49,MATCH($A16&amp;"|"&amp;E$15,Dados!$A$2:$A$49,0))="","",INDEX(Dados!$I$2:$I$49,MATCH($A16&amp;"|"&amp;E$15,Dados!$A$2:$A$49,0))/1000000),"")</f>
        <v>6124.0284360900005</v>
      </c>
      <c r="F16" s="13">
        <f>IFERROR(IF(INDEX(Dados!$I$2:$I$49,MATCH($A16&amp;"|"&amp;F$15,Dados!$A$2:$A$49,0))="","",INDEX(Dados!$I$2:$I$49,MATCH($A16&amp;"|"&amp;F$15,Dados!$A$2:$A$49,0))/1000000),"")</f>
        <v>6299.4187430500006</v>
      </c>
      <c r="G16" s="13">
        <f>IFERROR(IF(INDEX(Dados!$I$2:$I$49,MATCH($A16&amp;"|"&amp;G$15,Dados!$A$2:$A$49,0))="","",INDEX(Dados!$I$2:$I$49,MATCH($A16&amp;"|"&amp;G$15,Dados!$A$2:$A$49,0))/1000000),"")</f>
        <v>6474.3411448699999</v>
      </c>
      <c r="H16" s="13">
        <f>IFERROR(IF(INDEX(Dados!$I$2:$I$49,MATCH($A16&amp;"|"&amp;H$15,Dados!$A$2:$A$49,0))="","",INDEX(Dados!$I$2:$I$49,MATCH($A16&amp;"|"&amp;H$15,Dados!$A$2:$A$49,0))/1000000),"")</f>
        <v>6759.2277373900006</v>
      </c>
      <c r="I16" s="13">
        <f>IFERROR(IF(INDEX(Dados!$I$2:$I$49,MATCH($A16&amp;"|"&amp;I$15,Dados!$A$2:$A$49,0))="","",INDEX(Dados!$I$2:$I$49,MATCH($A16&amp;"|"&amp;I$15,Dados!$A$2:$A$49,0))/1000000),"")</f>
        <v>6946.9490688900005</v>
      </c>
      <c r="J16" s="13">
        <f>IFERROR(IF(INDEX(Dados!$I$2:$I$49,MATCH($A16&amp;"|"&amp;J$15,Dados!$A$2:$A$49,0))="","",INDEX(Dados!$I$2:$I$49,MATCH($A16&amp;"|"&amp;J$15,Dados!$A$2:$A$49,0))/1000000),"")</f>
        <v>7281.1245041400007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203.9908571</v>
      </c>
      <c r="D17" s="14">
        <f>IFERROR(IF(INDEX(Dados!$I$2:$I$49,MATCH($A17&amp;"|"&amp;D$15,Dados!$A$2:$A$49,0))="","",INDEX(Dados!$I$2:$I$49,MATCH($A17&amp;"|"&amp;D$15,Dados!$A$2:$A$49,0))/1000000),"")</f>
        <v>210.28020038999998</v>
      </c>
      <c r="E17" s="14">
        <f>IFERROR(IF(INDEX(Dados!$I$2:$I$49,MATCH($A17&amp;"|"&amp;E$15,Dados!$A$2:$A$49,0))="","",INDEX(Dados!$I$2:$I$49,MATCH($A17&amp;"|"&amp;E$15,Dados!$A$2:$A$49,0))/1000000),"")</f>
        <v>214.1714546</v>
      </c>
      <c r="F17" s="14">
        <f>IFERROR(IF(INDEX(Dados!$I$2:$I$49,MATCH($A17&amp;"|"&amp;F$15,Dados!$A$2:$A$49,0))="","",INDEX(Dados!$I$2:$I$49,MATCH($A17&amp;"|"&amp;F$15,Dados!$A$2:$A$49,0))/1000000),"")</f>
        <v>216.47240837999999</v>
      </c>
      <c r="G17" s="14">
        <f>IFERROR(IF(INDEX(Dados!$I$2:$I$49,MATCH($A17&amp;"|"&amp;G$15,Dados!$A$2:$A$49,0))="","",INDEX(Dados!$I$2:$I$49,MATCH($A17&amp;"|"&amp;G$15,Dados!$A$2:$A$49,0))/1000000),"")</f>
        <v>219.80305454000001</v>
      </c>
      <c r="H17" s="14">
        <f>IFERROR(IF(INDEX(Dados!$I$2:$I$49,MATCH($A17&amp;"|"&amp;H$15,Dados!$A$2:$A$49,0))="","",INDEX(Dados!$I$2:$I$49,MATCH($A17&amp;"|"&amp;H$15,Dados!$A$2:$A$49,0))/1000000),"")</f>
        <v>225.04776615</v>
      </c>
      <c r="I17" s="14">
        <f>IFERROR(IF(INDEX(Dados!$I$2:$I$49,MATCH($A17&amp;"|"&amp;I$15,Dados!$A$2:$A$49,0))="","",INDEX(Dados!$I$2:$I$49,MATCH($A17&amp;"|"&amp;I$15,Dados!$A$2:$A$49,0))/1000000),"")</f>
        <v>227.24231725999999</v>
      </c>
      <c r="J17" s="14">
        <f>IFERROR(IF(INDEX(Dados!$I$2:$I$49,MATCH($A17&amp;"|"&amp;J$15,Dados!$A$2:$A$49,0))="","",INDEX(Dados!$I$2:$I$49,MATCH($A17&amp;"|"&amp;J$15,Dados!$A$2:$A$49,0))/1000000),"")</f>
        <v>230.54464780000001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603.59786842999995</v>
      </c>
      <c r="D18" s="14">
        <f>IFERROR(IF(INDEX(Dados!$I$2:$I$49,MATCH($A18&amp;"|"&amp;D$15,Dados!$A$2:$A$49,0))="","",INDEX(Dados!$I$2:$I$49,MATCH($A18&amp;"|"&amp;D$15,Dados!$A$2:$A$49,0))/1000000),"")</f>
        <v>612.73925287999998</v>
      </c>
      <c r="E18" s="14">
        <f>IFERROR(IF(INDEX(Dados!$I$2:$I$49,MATCH($A18&amp;"|"&amp;E$15,Dados!$A$2:$A$49,0))="","",INDEX(Dados!$I$2:$I$49,MATCH($A18&amp;"|"&amp;E$15,Dados!$A$2:$A$49,0))/1000000),"")</f>
        <v>663.39593840999999</v>
      </c>
      <c r="F18" s="14">
        <f>IFERROR(IF(INDEX(Dados!$I$2:$I$49,MATCH($A18&amp;"|"&amp;F$15,Dados!$A$2:$A$49,0))="","",INDEX(Dados!$I$2:$I$49,MATCH($A18&amp;"|"&amp;F$15,Dados!$A$2:$A$49,0))/1000000),"")</f>
        <v>687.26730630999998</v>
      </c>
      <c r="G18" s="14">
        <f>IFERROR(IF(INDEX(Dados!$I$2:$I$49,MATCH($A18&amp;"|"&amp;G$15,Dados!$A$2:$A$49,0))="","",INDEX(Dados!$I$2:$I$49,MATCH($A18&amp;"|"&amp;G$15,Dados!$A$2:$A$49,0))/1000000),"")</f>
        <v>687.17178960000001</v>
      </c>
      <c r="H18" s="14">
        <f>IFERROR(IF(INDEX(Dados!$I$2:$I$49,MATCH($A18&amp;"|"&amp;H$15,Dados!$A$2:$A$49,0))="","",INDEX(Dados!$I$2:$I$49,MATCH($A18&amp;"|"&amp;H$15,Dados!$A$2:$A$49,0))/1000000),"")</f>
        <v>661.35262660000001</v>
      </c>
      <c r="I18" s="14">
        <f>IFERROR(IF(INDEX(Dados!$I$2:$I$49,MATCH($A18&amp;"|"&amp;I$15,Dados!$A$2:$A$49,0))="","",INDEX(Dados!$I$2:$I$49,MATCH($A18&amp;"|"&amp;I$15,Dados!$A$2:$A$49,0))/1000000),"")</f>
        <v>671.85171207000008</v>
      </c>
      <c r="J18" s="14">
        <f>IFERROR(IF(INDEX(Dados!$I$2:$I$49,MATCH($A18&amp;"|"&amp;J$15,Dados!$A$2:$A$49,0))="","",INDEX(Dados!$I$2:$I$49,MATCH($A18&amp;"|"&amp;J$15,Dados!$A$2:$A$49,0))/1000000),"")</f>
        <v>698.38070834000007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130.38914939</v>
      </c>
      <c r="D19" s="14">
        <f>IFERROR(IF(INDEX(Dados!$I$2:$I$49,MATCH($A19&amp;"|"&amp;D$15,Dados!$A$2:$A$49,0))="","",INDEX(Dados!$I$2:$I$49,MATCH($A19&amp;"|"&amp;D$15,Dados!$A$2:$A$49,0))/1000000),"")</f>
        <v>134.00113558999999</v>
      </c>
      <c r="E19" s="14">
        <f>IFERROR(IF(INDEX(Dados!$I$2:$I$49,MATCH($A19&amp;"|"&amp;E$15,Dados!$A$2:$A$49,0))="","",INDEX(Dados!$I$2:$I$49,MATCH($A19&amp;"|"&amp;E$15,Dados!$A$2:$A$49,0))/1000000),"")</f>
        <v>138.05253155000003</v>
      </c>
      <c r="F19" s="14">
        <f>IFERROR(IF(INDEX(Dados!$I$2:$I$49,MATCH($A19&amp;"|"&amp;F$15,Dados!$A$2:$A$49,0))="","",INDEX(Dados!$I$2:$I$49,MATCH($A19&amp;"|"&amp;F$15,Dados!$A$2:$A$49,0))/1000000),"")</f>
        <v>141.79115824000002</v>
      </c>
      <c r="G19" s="14">
        <f>IFERROR(IF(INDEX(Dados!$I$2:$I$49,MATCH($A19&amp;"|"&amp;G$15,Dados!$A$2:$A$49,0))="","",INDEX(Dados!$I$2:$I$49,MATCH($A19&amp;"|"&amp;G$15,Dados!$A$2:$A$49,0))/1000000),"")</f>
        <v>145.24451655999999</v>
      </c>
      <c r="H19" s="14">
        <f>IFERROR(IF(INDEX(Dados!$I$2:$I$49,MATCH($A19&amp;"|"&amp;H$15,Dados!$A$2:$A$49,0))="","",INDEX(Dados!$I$2:$I$49,MATCH($A19&amp;"|"&amp;H$15,Dados!$A$2:$A$49,0))/1000000),"")</f>
        <v>151.84861103999998</v>
      </c>
      <c r="I19" s="14">
        <f>IFERROR(IF(INDEX(Dados!$I$2:$I$49,MATCH($A19&amp;"|"&amp;I$15,Dados!$A$2:$A$49,0))="","",INDEX(Dados!$I$2:$I$49,MATCH($A19&amp;"|"&amp;I$15,Dados!$A$2:$A$49,0))/1000000),"")</f>
        <v>157.97733363999998</v>
      </c>
      <c r="J19" s="14">
        <f>IFERROR(IF(INDEX(Dados!$I$2:$I$49,MATCH($A19&amp;"|"&amp;J$15,Dados!$A$2:$A$49,0))="","",INDEX(Dados!$I$2:$I$49,MATCH($A19&amp;"|"&amp;J$15,Dados!$A$2:$A$49,0))/1000000),"")</f>
        <v>166.88429024999999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69.862953010000012</v>
      </c>
      <c r="D20" s="14">
        <f>IFERROR(IF(INDEX(Dados!$I$2:$I$49,MATCH($A20&amp;"|"&amp;D$15,Dados!$A$2:$A$49,0))="","",INDEX(Dados!$I$2:$I$49,MATCH($A20&amp;"|"&amp;D$15,Dados!$A$2:$A$49,0))/1000000),"")</f>
        <v>71.463036790000004</v>
      </c>
      <c r="E20" s="14">
        <f>IFERROR(IF(INDEX(Dados!$I$2:$I$49,MATCH($A20&amp;"|"&amp;E$15,Dados!$A$2:$A$49,0))="","",INDEX(Dados!$I$2:$I$49,MATCH($A20&amp;"|"&amp;E$15,Dados!$A$2:$A$49,0))/1000000),"")</f>
        <v>72.410775209999997</v>
      </c>
      <c r="F20" s="14">
        <f>IFERROR(IF(INDEX(Dados!$I$2:$I$49,MATCH($A20&amp;"|"&amp;F$15,Dados!$A$2:$A$49,0))="","",INDEX(Dados!$I$2:$I$49,MATCH($A20&amp;"|"&amp;F$15,Dados!$A$2:$A$49,0))/1000000),"")</f>
        <v>73.966106620000005</v>
      </c>
      <c r="G20" s="14">
        <f>IFERROR(IF(INDEX(Dados!$I$2:$I$49,MATCH($A20&amp;"|"&amp;G$15,Dados!$A$2:$A$49,0))="","",INDEX(Dados!$I$2:$I$49,MATCH($A20&amp;"|"&amp;G$15,Dados!$A$2:$A$49,0))/1000000),"")</f>
        <v>77.613840120000006</v>
      </c>
      <c r="H20" s="14">
        <f>IFERROR(IF(INDEX(Dados!$I$2:$I$49,MATCH($A20&amp;"|"&amp;H$15,Dados!$A$2:$A$49,0))="","",INDEX(Dados!$I$2:$I$49,MATCH($A20&amp;"|"&amp;H$15,Dados!$A$2:$A$49,0))/1000000),"")</f>
        <v>81.252909319999986</v>
      </c>
      <c r="I20" s="14">
        <f>IFERROR(IF(INDEX(Dados!$I$2:$I$49,MATCH($A20&amp;"|"&amp;I$15,Dados!$A$2:$A$49,0))="","",INDEX(Dados!$I$2:$I$49,MATCH($A20&amp;"|"&amp;I$15,Dados!$A$2:$A$49,0))/1000000),"")</f>
        <v>82.423911319999988</v>
      </c>
      <c r="J20" s="14">
        <f>IFERROR(IF(INDEX(Dados!$I$2:$I$49,MATCH($A20&amp;"|"&amp;J$15,Dados!$A$2:$A$49,0))="","",INDEX(Dados!$I$2:$I$49,MATCH($A20&amp;"|"&amp;J$15,Dados!$A$2:$A$49,0))/1000000),"")</f>
        <v>91.490785099999997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180.08462456000001</v>
      </c>
      <c r="D21" s="14">
        <f>IFERROR(IF(INDEX(Dados!$I$2:$I$49,MATCH($A21&amp;"|"&amp;D$15,Dados!$A$2:$A$49,0))="","",INDEX(Dados!$I$2:$I$49,MATCH($A21&amp;"|"&amp;D$15,Dados!$A$2:$A$49,0))/1000000),"")</f>
        <v>182.47884472999999</v>
      </c>
      <c r="E21" s="14">
        <f>IFERROR(IF(INDEX(Dados!$I$2:$I$49,MATCH($A21&amp;"|"&amp;E$15,Dados!$A$2:$A$49,0))="","",INDEX(Dados!$I$2:$I$49,MATCH($A21&amp;"|"&amp;E$15,Dados!$A$2:$A$49,0))/1000000),"")</f>
        <v>187.28906516000001</v>
      </c>
      <c r="F21" s="14">
        <f>IFERROR(IF(INDEX(Dados!$I$2:$I$49,MATCH($A21&amp;"|"&amp;F$15,Dados!$A$2:$A$49,0))="","",INDEX(Dados!$I$2:$I$49,MATCH($A21&amp;"|"&amp;F$15,Dados!$A$2:$A$49,0))/1000000),"")</f>
        <v>192.08577847000001</v>
      </c>
      <c r="G21" s="14">
        <f>IFERROR(IF(INDEX(Dados!$I$2:$I$49,MATCH($A21&amp;"|"&amp;G$15,Dados!$A$2:$A$49,0))="","",INDEX(Dados!$I$2:$I$49,MATCH($A21&amp;"|"&amp;G$15,Dados!$A$2:$A$49,0))/1000000),"")</f>
        <v>196.93548444000001</v>
      </c>
      <c r="H21" s="14">
        <f>IFERROR(IF(INDEX(Dados!$I$2:$I$49,MATCH($A21&amp;"|"&amp;H$15,Dados!$A$2:$A$49,0))="","",INDEX(Dados!$I$2:$I$49,MATCH($A21&amp;"|"&amp;H$15,Dados!$A$2:$A$49,0))/1000000),"")</f>
        <v>201.90386601</v>
      </c>
      <c r="I21" s="14">
        <f>IFERROR(IF(INDEX(Dados!$I$2:$I$49,MATCH($A21&amp;"|"&amp;I$15,Dados!$A$2:$A$49,0))="","",INDEX(Dados!$I$2:$I$49,MATCH($A21&amp;"|"&amp;I$15,Dados!$A$2:$A$49,0))/1000000),"")</f>
        <v>204.50864086999999</v>
      </c>
      <c r="J21" s="14">
        <f>IFERROR(IF(INDEX(Dados!$I$2:$I$49,MATCH($A21&amp;"|"&amp;J$15,Dados!$A$2:$A$49,0))="","",INDEX(Dados!$I$2:$I$49,MATCH($A21&amp;"|"&amp;J$15,Dados!$A$2:$A$49,0))/1000000),"")</f>
        <v>218.8355674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5753775272.4200001</v>
      </c>
      <c r="J2" s="15">
        <v>13198496361.549999</v>
      </c>
      <c r="K2" s="10">
        <f t="shared" ref="K2:K49" si="1">IF(OR(I2="",J2="",J2=0),"",I2/J2)</f>
        <v>0.43594172508786377</v>
      </c>
      <c r="L2" s="16">
        <v>0.43590000000000001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6467263217.1599998</v>
      </c>
      <c r="R2" s="15">
        <v>6143900056.3000002</v>
      </c>
      <c r="S2" s="15">
        <v>5820536895.4399996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5940212776.96</v>
      </c>
      <c r="J3" s="15">
        <v>13716637547.190001</v>
      </c>
      <c r="K3" s="10">
        <f t="shared" si="1"/>
        <v>0.43306624940140054</v>
      </c>
      <c r="L3" s="16">
        <v>0.43309999999999998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6721152398.1199999</v>
      </c>
      <c r="R3" s="15">
        <v>6385094778.21</v>
      </c>
      <c r="S3" s="15">
        <v>6049037158.3100004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6124028436.0900002</v>
      </c>
      <c r="J4" s="15">
        <v>15169854338.290001</v>
      </c>
      <c r="K4" s="10">
        <f t="shared" si="1"/>
        <v>0.4036972471536811</v>
      </c>
      <c r="L4" s="16">
        <v>0.40369999999999989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7433228625.7600002</v>
      </c>
      <c r="R4" s="15">
        <v>7061567194.4700003</v>
      </c>
      <c r="S4" s="15">
        <v>6689905763.1800003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6299418743.0500002</v>
      </c>
      <c r="J5" s="15">
        <v>15813158142.030001</v>
      </c>
      <c r="K5" s="10">
        <f t="shared" si="1"/>
        <v>0.39836563237211248</v>
      </c>
      <c r="L5" s="16">
        <v>0.39839999999999998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7748447489.5900002</v>
      </c>
      <c r="R5" s="15">
        <v>7361025115.1099997</v>
      </c>
      <c r="S5" s="15">
        <v>6973602740.6300001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6474341144.8699999</v>
      </c>
      <c r="J6" s="15">
        <v>16819563642.309999</v>
      </c>
      <c r="K6" s="10">
        <f t="shared" si="1"/>
        <v>0.38492919807881615</v>
      </c>
      <c r="L6" s="16">
        <v>0.38490000000000002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8241586184.7299995</v>
      </c>
      <c r="R6" s="15">
        <v>7829506875.4899998</v>
      </c>
      <c r="S6" s="15">
        <v>7417427566.2600002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6759227737.3900003</v>
      </c>
      <c r="J7" s="15">
        <v>16394897275.559999</v>
      </c>
      <c r="K7" s="10">
        <f t="shared" si="1"/>
        <v>0.4122763091334542</v>
      </c>
      <c r="L7" s="16">
        <v>0.41229999999999989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8033499665.0200005</v>
      </c>
      <c r="R7" s="15">
        <v>7631824681.7700005</v>
      </c>
      <c r="S7" s="15">
        <v>7230149698.5200005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6946949068.8900003</v>
      </c>
      <c r="J8" s="15">
        <v>16743560628.58</v>
      </c>
      <c r="K8" s="10">
        <f t="shared" si="1"/>
        <v>0.41490273323537169</v>
      </c>
      <c r="L8" s="16">
        <v>0.41489999999999999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8204344708</v>
      </c>
      <c r="R8" s="15">
        <v>7794127472.6000004</v>
      </c>
      <c r="S8" s="15">
        <v>7383910237.1999998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7281124504.1400003</v>
      </c>
      <c r="J9" s="15">
        <v>16829594936.16</v>
      </c>
      <c r="K9" s="10">
        <f t="shared" si="1"/>
        <v>0.43263813132518153</v>
      </c>
      <c r="L9" s="16">
        <v>0.43259999999999998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8246501518.7200003</v>
      </c>
      <c r="R9" s="15">
        <v>7834176442.7799997</v>
      </c>
      <c r="S9" s="15">
        <v>7421851366.8500004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203990857.09999999</v>
      </c>
      <c r="J10" s="15">
        <v>13198496361.549999</v>
      </c>
      <c r="K10" s="10">
        <f t="shared" si="1"/>
        <v>1.5455613390497143E-2</v>
      </c>
      <c r="L10" s="16">
        <v>1.55E-2</v>
      </c>
      <c r="M10" s="9" t="str">
        <f t="shared" si="2"/>
        <v>Sim</v>
      </c>
      <c r="N10" s="16">
        <v>1.84E-2</v>
      </c>
      <c r="O10" s="16">
        <v>1.7500000000000002E-2</v>
      </c>
      <c r="P10" s="16">
        <v>1.66E-2</v>
      </c>
      <c r="Q10" s="15">
        <v>242852333.05000001</v>
      </c>
      <c r="R10" s="15">
        <v>230709716.40000001</v>
      </c>
      <c r="S10" s="15">
        <v>218567099.75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210280200.38999999</v>
      </c>
      <c r="J11" s="15">
        <v>13716637547.190001</v>
      </c>
      <c r="K11" s="10">
        <f t="shared" si="1"/>
        <v>1.5330302318375259E-2</v>
      </c>
      <c r="L11" s="16">
        <v>1.5299999999999999E-2</v>
      </c>
      <c r="M11" s="9" t="str">
        <f t="shared" si="2"/>
        <v>Sim</v>
      </c>
      <c r="N11" s="16">
        <v>1.84E-2</v>
      </c>
      <c r="O11" s="16">
        <v>1.7500000000000002E-2</v>
      </c>
      <c r="P11" s="16">
        <v>1.66E-2</v>
      </c>
      <c r="Q11" s="15">
        <v>252386130.87</v>
      </c>
      <c r="R11" s="15">
        <v>239766824.33000001</v>
      </c>
      <c r="S11" s="15">
        <v>227147517.78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214171454.59999999</v>
      </c>
      <c r="J12" s="15">
        <v>15169854338.290001</v>
      </c>
      <c r="K12" s="10">
        <f t="shared" si="1"/>
        <v>1.4118227494077715E-2</v>
      </c>
      <c r="L12" s="16">
        <v>1.41E-2</v>
      </c>
      <c r="M12" s="9" t="str">
        <f t="shared" si="2"/>
        <v>Sim</v>
      </c>
      <c r="N12" s="16">
        <v>1.84E-2</v>
      </c>
      <c r="O12" s="16">
        <v>1.7500000000000002E-2</v>
      </c>
      <c r="P12" s="16">
        <v>1.66E-2</v>
      </c>
      <c r="Q12" s="15">
        <v>279125319.81999999</v>
      </c>
      <c r="R12" s="15">
        <v>265169053.83000001</v>
      </c>
      <c r="S12" s="15">
        <v>251212787.84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216472408.38</v>
      </c>
      <c r="J13" s="15">
        <v>15813158142.030001</v>
      </c>
      <c r="K13" s="10">
        <f t="shared" si="1"/>
        <v>1.3689384905639762E-2</v>
      </c>
      <c r="L13" s="16">
        <v>1.37E-2</v>
      </c>
      <c r="M13" s="9" t="str">
        <f t="shared" si="2"/>
        <v>Sim</v>
      </c>
      <c r="N13" s="16">
        <v>1.84E-2</v>
      </c>
      <c r="O13" s="16">
        <v>1.7500000000000002E-2</v>
      </c>
      <c r="P13" s="16">
        <v>1.66E-2</v>
      </c>
      <c r="Q13" s="15">
        <v>290962109.81</v>
      </c>
      <c r="R13" s="15">
        <v>276414004.31999999</v>
      </c>
      <c r="S13" s="15">
        <v>261865898.83000001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219803054.53999999</v>
      </c>
      <c r="J14" s="15">
        <v>16819563642.309999</v>
      </c>
      <c r="K14" s="10">
        <f t="shared" si="1"/>
        <v>1.3068297086321571E-2</v>
      </c>
      <c r="L14" s="16">
        <v>1.3100000000000001E-2</v>
      </c>
      <c r="M14" s="9" t="str">
        <f t="shared" si="2"/>
        <v>Sim</v>
      </c>
      <c r="N14" s="16">
        <v>1.84E-2</v>
      </c>
      <c r="O14" s="16">
        <v>1.7500000000000002E-2</v>
      </c>
      <c r="P14" s="16">
        <v>1.66E-2</v>
      </c>
      <c r="Q14" s="15">
        <v>309479971.01999998</v>
      </c>
      <c r="R14" s="15">
        <v>294005972.47000003</v>
      </c>
      <c r="S14" s="15">
        <v>278531973.92000002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225047766.15000001</v>
      </c>
      <c r="J15" s="15">
        <v>16394897275.559999</v>
      </c>
      <c r="K15" s="10">
        <f t="shared" si="1"/>
        <v>1.3726695713152192E-2</v>
      </c>
      <c r="L15" s="16">
        <v>1.37E-2</v>
      </c>
      <c r="M15" s="9" t="str">
        <f t="shared" si="2"/>
        <v>Sim</v>
      </c>
      <c r="N15" s="16">
        <v>1.84E-2</v>
      </c>
      <c r="O15" s="16">
        <v>1.7500000000000002E-2</v>
      </c>
      <c r="P15" s="16">
        <v>1.66E-2</v>
      </c>
      <c r="Q15" s="15">
        <v>301666109.87</v>
      </c>
      <c r="R15" s="15">
        <v>286582804.38</v>
      </c>
      <c r="S15" s="15">
        <v>271499498.88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227242317.25999999</v>
      </c>
      <c r="J16" s="15">
        <v>16743560628.58</v>
      </c>
      <c r="K16" s="10">
        <f t="shared" si="1"/>
        <v>1.3571923099326581E-2</v>
      </c>
      <c r="L16" s="16">
        <v>1.3599999999999999E-2</v>
      </c>
      <c r="M16" s="9" t="str">
        <f t="shared" si="2"/>
        <v>Sim</v>
      </c>
      <c r="N16" s="16">
        <v>1.84E-2</v>
      </c>
      <c r="O16" s="16">
        <v>1.7500000000000002E-2</v>
      </c>
      <c r="P16" s="16">
        <v>1.66E-2</v>
      </c>
      <c r="Q16" s="15">
        <v>308081515.56999999</v>
      </c>
      <c r="R16" s="15">
        <v>292677439.79000002</v>
      </c>
      <c r="S16" s="15">
        <v>277273364.00999999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230544647.80000001</v>
      </c>
      <c r="J17" s="15">
        <v>16829594936.16</v>
      </c>
      <c r="K17" s="10">
        <f t="shared" si="1"/>
        <v>1.3698763914076905E-2</v>
      </c>
      <c r="L17" s="16">
        <v>1.37E-2</v>
      </c>
      <c r="M17" s="9" t="str">
        <f t="shared" si="2"/>
        <v>Sim</v>
      </c>
      <c r="N17" s="16">
        <v>1.84E-2</v>
      </c>
      <c r="O17" s="16">
        <v>1.7500000000000002E-2</v>
      </c>
      <c r="P17" s="16">
        <v>1.66E-2</v>
      </c>
      <c r="Q17" s="15">
        <v>309664546.82999998</v>
      </c>
      <c r="R17" s="15">
        <v>294181319.49000001</v>
      </c>
      <c r="S17" s="15">
        <v>278698092.14999998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603597868.42999995</v>
      </c>
      <c r="J18" s="15">
        <v>13198496361.549999</v>
      </c>
      <c r="K18" s="10">
        <f t="shared" si="1"/>
        <v>4.573232070498634E-2</v>
      </c>
      <c r="L18" s="16">
        <v>4.5699999999999998E-2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791909781.69000006</v>
      </c>
      <c r="R18" s="15">
        <v>752314292.61000001</v>
      </c>
      <c r="S18" s="15">
        <v>712718803.51999998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612739252.88</v>
      </c>
      <c r="J19" s="15">
        <v>13716637547.190001</v>
      </c>
      <c r="K19" s="10">
        <f t="shared" si="1"/>
        <v>4.4671243281887707E-2</v>
      </c>
      <c r="L19" s="16">
        <v>4.4699999999999997E-2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822998252.83000004</v>
      </c>
      <c r="R19" s="15">
        <v>781848340.19000006</v>
      </c>
      <c r="S19" s="15">
        <v>740698427.54999995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663395938.40999997</v>
      </c>
      <c r="J20" s="15">
        <v>15169854338.290001</v>
      </c>
      <c r="K20" s="10">
        <f t="shared" si="1"/>
        <v>4.3731200288161784E-2</v>
      </c>
      <c r="L20" s="16">
        <v>4.3700000000000003E-2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910191260.29999995</v>
      </c>
      <c r="R20" s="15">
        <v>864681697.28999996</v>
      </c>
      <c r="S20" s="15">
        <v>819172134.26999998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687267306.30999994</v>
      </c>
      <c r="J21" s="15">
        <v>15813158142.030001</v>
      </c>
      <c r="K21" s="10">
        <f t="shared" si="1"/>
        <v>4.3461736114767814E-2</v>
      </c>
      <c r="L21" s="16">
        <v>4.3499999999999997E-2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948789488.51999998</v>
      </c>
      <c r="R21" s="15">
        <v>901350014.09000003</v>
      </c>
      <c r="S21" s="15">
        <v>853910539.66999996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687171789.60000002</v>
      </c>
      <c r="J22" s="15">
        <v>16819563642.309999</v>
      </c>
      <c r="K22" s="10">
        <f t="shared" si="1"/>
        <v>4.0855506374220293E-2</v>
      </c>
      <c r="L22" s="16">
        <v>4.0899999999999999E-2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1009173818.54</v>
      </c>
      <c r="R22" s="15">
        <v>958715127.61000001</v>
      </c>
      <c r="S22" s="15">
        <v>908256436.69000006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661352626.60000002</v>
      </c>
      <c r="J23" s="15">
        <v>16394897275.559999</v>
      </c>
      <c r="K23" s="10">
        <f t="shared" si="1"/>
        <v>4.0338930795613064E-2</v>
      </c>
      <c r="L23" s="16">
        <v>4.0300000000000002E-2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983693836.52999997</v>
      </c>
      <c r="R23" s="15">
        <v>934509144.70000005</v>
      </c>
      <c r="S23" s="15">
        <v>885324452.88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671851712.07000005</v>
      </c>
      <c r="J24" s="15">
        <v>16743560628.58</v>
      </c>
      <c r="K24" s="10">
        <f t="shared" si="1"/>
        <v>4.0125976007946582E-2</v>
      </c>
      <c r="L24" s="16">
        <v>4.0099999999999997E-2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1004613637.71</v>
      </c>
      <c r="R24" s="15">
        <v>954382955.82000005</v>
      </c>
      <c r="S24" s="15">
        <v>904152273.94000006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698380708.34000003</v>
      </c>
      <c r="J25" s="15">
        <v>16829594936.16</v>
      </c>
      <c r="K25" s="10">
        <f t="shared" si="1"/>
        <v>4.1497178689634533E-2</v>
      </c>
      <c r="L25" s="16">
        <v>4.1500000000000002E-2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1009775696.17</v>
      </c>
      <c r="R25" s="15">
        <v>959286911.36000001</v>
      </c>
      <c r="S25" s="15">
        <v>908798126.54999995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130389149.39</v>
      </c>
      <c r="J26" s="15">
        <v>13198496361.549999</v>
      </c>
      <c r="K26" s="10">
        <f t="shared" si="1"/>
        <v>9.8790912099541179E-3</v>
      </c>
      <c r="L26" s="16">
        <v>9.8999999999999991E-3</v>
      </c>
      <c r="M26" s="9" t="str">
        <f t="shared" si="2"/>
        <v>Sim</v>
      </c>
      <c r="N26" s="16">
        <v>1.1599999999999999E-2</v>
      </c>
      <c r="O26" s="16">
        <v>1.0999999999999999E-2</v>
      </c>
      <c r="P26" s="16">
        <v>1.04E-2</v>
      </c>
      <c r="Q26" s="15">
        <v>153102557.78999999</v>
      </c>
      <c r="R26" s="15">
        <v>145447429.90000001</v>
      </c>
      <c r="S26" s="15">
        <v>137792302.00999999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134001135.59</v>
      </c>
      <c r="J27" s="15">
        <v>13716637547.190001</v>
      </c>
      <c r="K27" s="10">
        <f t="shared" si="1"/>
        <v>9.7692408309973579E-3</v>
      </c>
      <c r="L27" s="16">
        <v>9.7999999999999997E-3</v>
      </c>
      <c r="M27" s="9" t="str">
        <f t="shared" si="2"/>
        <v>Sim</v>
      </c>
      <c r="N27" s="16">
        <v>1.1599999999999999E-2</v>
      </c>
      <c r="O27" s="16">
        <v>1.0999999999999999E-2</v>
      </c>
      <c r="P27" s="16">
        <v>1.04E-2</v>
      </c>
      <c r="Q27" s="15">
        <v>159112995.55000001</v>
      </c>
      <c r="R27" s="15">
        <v>151157345.77000001</v>
      </c>
      <c r="S27" s="15">
        <v>143201696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138052531.55000001</v>
      </c>
      <c r="J28" s="15">
        <v>15169854338.290001</v>
      </c>
      <c r="K28" s="10">
        <f t="shared" si="1"/>
        <v>9.1004520196046775E-3</v>
      </c>
      <c r="L28" s="16">
        <v>9.1000000000000004E-3</v>
      </c>
      <c r="M28" s="9" t="str">
        <f t="shared" si="2"/>
        <v>Sim</v>
      </c>
      <c r="N28" s="16">
        <v>1.1599999999999999E-2</v>
      </c>
      <c r="O28" s="16">
        <v>1.0999999999999999E-2</v>
      </c>
      <c r="P28" s="16">
        <v>1.04E-2</v>
      </c>
      <c r="Q28" s="15">
        <v>175970310.31999999</v>
      </c>
      <c r="R28" s="15">
        <v>167171794.80000001</v>
      </c>
      <c r="S28" s="15">
        <v>158373279.28999999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141791158.24000001</v>
      </c>
      <c r="J29" s="15">
        <v>15813158142.030001</v>
      </c>
      <c r="K29" s="10">
        <f t="shared" si="1"/>
        <v>8.9666565632535739E-3</v>
      </c>
      <c r="L29" s="16">
        <v>9.0000000000000011E-3</v>
      </c>
      <c r="M29" s="9" t="str">
        <f t="shared" si="2"/>
        <v>Sim</v>
      </c>
      <c r="N29" s="16">
        <v>1.1599999999999999E-2</v>
      </c>
      <c r="O29" s="16">
        <v>1.0999999999999999E-2</v>
      </c>
      <c r="P29" s="16">
        <v>1.04E-2</v>
      </c>
      <c r="Q29" s="15">
        <v>183432634.44</v>
      </c>
      <c r="R29" s="15">
        <v>174261002.72</v>
      </c>
      <c r="S29" s="15">
        <v>165089371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145244516.56</v>
      </c>
      <c r="J30" s="15">
        <v>16819563642.309999</v>
      </c>
      <c r="K30" s="10">
        <f t="shared" si="1"/>
        <v>8.6354509337349325E-3</v>
      </c>
      <c r="L30" s="16">
        <v>8.6E-3</v>
      </c>
      <c r="M30" s="9" t="str">
        <f t="shared" si="2"/>
        <v>Sim</v>
      </c>
      <c r="N30" s="16">
        <v>1.1599999999999999E-2</v>
      </c>
      <c r="O30" s="16">
        <v>1.0999999999999999E-2</v>
      </c>
      <c r="P30" s="16">
        <v>1.04E-2</v>
      </c>
      <c r="Q30" s="15">
        <v>195106938.25</v>
      </c>
      <c r="R30" s="15">
        <v>185351591.34</v>
      </c>
      <c r="S30" s="15">
        <v>175596244.43000001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151848611.03999999</v>
      </c>
      <c r="J31" s="15">
        <v>16394897275.559999</v>
      </c>
      <c r="K31" s="10">
        <f t="shared" si="1"/>
        <v>9.2619434259195929E-3</v>
      </c>
      <c r="L31" s="16">
        <v>9.300000000000001E-3</v>
      </c>
      <c r="M31" s="9" t="str">
        <f t="shared" si="2"/>
        <v>Sim</v>
      </c>
      <c r="N31" s="16">
        <v>1.1599999999999999E-2</v>
      </c>
      <c r="O31" s="16">
        <v>1.0999999999999999E-2</v>
      </c>
      <c r="P31" s="16">
        <v>1.04E-2</v>
      </c>
      <c r="Q31" s="15">
        <v>190180808.40000001</v>
      </c>
      <c r="R31" s="15">
        <v>180671767.97999999</v>
      </c>
      <c r="S31" s="15">
        <v>171162727.56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157977333.63999999</v>
      </c>
      <c r="J32" s="15">
        <v>16743560628.58</v>
      </c>
      <c r="K32" s="10">
        <f t="shared" si="1"/>
        <v>9.4351098397998188E-3</v>
      </c>
      <c r="L32" s="16">
        <v>9.3999999999999986E-3</v>
      </c>
      <c r="M32" s="9" t="str">
        <f t="shared" si="2"/>
        <v>Sim</v>
      </c>
      <c r="N32" s="16">
        <v>1.1599999999999999E-2</v>
      </c>
      <c r="O32" s="16">
        <v>1.0999999999999999E-2</v>
      </c>
      <c r="P32" s="16">
        <v>1.04E-2</v>
      </c>
      <c r="Q32" s="15">
        <v>194225303.28999999</v>
      </c>
      <c r="R32" s="15">
        <v>184514038.13</v>
      </c>
      <c r="S32" s="15">
        <v>174802772.96000001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166884290.25</v>
      </c>
      <c r="J33" s="15">
        <v>16829594936.16</v>
      </c>
      <c r="K33" s="10">
        <f t="shared" si="1"/>
        <v>9.9161204344516383E-3</v>
      </c>
      <c r="L33" s="16">
        <v>9.8999999999999991E-3</v>
      </c>
      <c r="M33" s="9" t="str">
        <f t="shared" si="2"/>
        <v>Sim</v>
      </c>
      <c r="N33" s="16">
        <v>1.1599999999999999E-2</v>
      </c>
      <c r="O33" s="16">
        <v>1.0999999999999999E-2</v>
      </c>
      <c r="P33" s="16">
        <v>1.04E-2</v>
      </c>
      <c r="Q33" s="15">
        <v>195223301.25999999</v>
      </c>
      <c r="R33" s="15">
        <v>185462136.19999999</v>
      </c>
      <c r="S33" s="15">
        <v>175700971.13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69862953.010000005</v>
      </c>
      <c r="J34" s="15">
        <v>13198496361.549999</v>
      </c>
      <c r="K34" s="10">
        <f t="shared" si="1"/>
        <v>5.2932509201218938E-3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71463036.790000007</v>
      </c>
      <c r="J35" s="15">
        <v>13716637547.190001</v>
      </c>
      <c r="K35" s="10">
        <f t="shared" si="1"/>
        <v>5.2099529891449217E-3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72410775.209999993</v>
      </c>
      <c r="J36" s="15">
        <v>15169854338.290001</v>
      </c>
      <c r="K36" s="10">
        <f t="shared" si="1"/>
        <v>4.773333586152442E-3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73966106.620000005</v>
      </c>
      <c r="J37" s="15">
        <v>15813158142.030001</v>
      </c>
      <c r="K37" s="10">
        <f t="shared" si="1"/>
        <v>4.6775037570391783E-3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77613840.120000005</v>
      </c>
      <c r="J38" s="15">
        <v>16819563642.309999</v>
      </c>
      <c r="K38" s="10">
        <f t="shared" si="1"/>
        <v>4.6144978413566332E-3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81252909.319999993</v>
      </c>
      <c r="J39" s="15">
        <v>16394897275.559999</v>
      </c>
      <c r="K39" s="10">
        <f t="shared" si="1"/>
        <v>4.9559877048527979E-3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82423911.319999993</v>
      </c>
      <c r="J40" s="15">
        <v>16743560628.58</v>
      </c>
      <c r="K40" s="10">
        <f t="shared" si="1"/>
        <v>4.922723018621772E-3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91490785.099999994</v>
      </c>
      <c r="J41" s="15">
        <v>16829594936.16</v>
      </c>
      <c r="K41" s="10">
        <f t="shared" si="1"/>
        <v>5.4363034551368353E-3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180084624.56</v>
      </c>
      <c r="J42" s="15">
        <v>13198496361.549999</v>
      </c>
      <c r="K42" s="10">
        <f t="shared" si="1"/>
        <v>1.3644328840717375E-2</v>
      </c>
      <c r="L42" s="16">
        <v>1.3599999999999999E-2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263969927.22999999</v>
      </c>
      <c r="R42" s="15">
        <v>250771430.87</v>
      </c>
      <c r="S42" s="15">
        <v>237572934.50999999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182478844.72999999</v>
      </c>
      <c r="J43" s="15">
        <v>13716637547.190001</v>
      </c>
      <c r="K43" s="10">
        <f t="shared" si="1"/>
        <v>1.330346771227346E-2</v>
      </c>
      <c r="L43" s="16">
        <v>1.3299999999999999E-2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274332750.94</v>
      </c>
      <c r="R43" s="15">
        <v>260616113.38999999</v>
      </c>
      <c r="S43" s="15">
        <v>246899475.84999999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187289065.16</v>
      </c>
      <c r="J44" s="15">
        <v>15169854338.290001</v>
      </c>
      <c r="K44" s="10">
        <f t="shared" si="1"/>
        <v>1.2346134707916508E-2</v>
      </c>
      <c r="L44" s="16">
        <v>1.23E-2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303397086.76999998</v>
      </c>
      <c r="R44" s="15">
        <v>288227232.43000001</v>
      </c>
      <c r="S44" s="15">
        <v>273057378.08999997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192085778.47</v>
      </c>
      <c r="J45" s="15">
        <v>15813158142.030001</v>
      </c>
      <c r="K45" s="10">
        <f t="shared" si="1"/>
        <v>1.2147211628741807E-2</v>
      </c>
      <c r="L45" s="16">
        <v>1.21E-2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316263162.83999997</v>
      </c>
      <c r="R45" s="15">
        <v>300450004.69999999</v>
      </c>
      <c r="S45" s="15">
        <v>284636846.56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196935484.44</v>
      </c>
      <c r="J46" s="15">
        <v>16819563642.309999</v>
      </c>
      <c r="K46" s="10">
        <f t="shared" si="1"/>
        <v>1.170871543567303E-2</v>
      </c>
      <c r="L46" s="16">
        <v>1.17E-2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336391272.85000002</v>
      </c>
      <c r="R46" s="15">
        <v>319571709.20999998</v>
      </c>
      <c r="S46" s="15">
        <v>302752145.56999999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201903866.00999999</v>
      </c>
      <c r="J47" s="15">
        <v>16394897275.559999</v>
      </c>
      <c r="K47" s="10">
        <f t="shared" si="1"/>
        <v>1.231504306592879E-2</v>
      </c>
      <c r="L47" s="16">
        <v>1.23E-2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327897945.50999999</v>
      </c>
      <c r="R47" s="15">
        <v>311503048.23000002</v>
      </c>
      <c r="S47" s="15">
        <v>295108150.95999998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204508640.87</v>
      </c>
      <c r="J48" s="15">
        <v>16743560628.58</v>
      </c>
      <c r="K48" s="10">
        <f t="shared" si="1"/>
        <v>1.221416671200265E-2</v>
      </c>
      <c r="L48" s="16">
        <v>1.2200000000000001E-2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334871212.56999999</v>
      </c>
      <c r="R48" s="15">
        <v>318127651.94</v>
      </c>
      <c r="S48" s="15">
        <v>301384091.31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218835567.40000001</v>
      </c>
      <c r="J49" s="15">
        <v>16829594936.16</v>
      </c>
      <c r="K49" s="10">
        <f t="shared" si="1"/>
        <v>1.3003020466631125E-2</v>
      </c>
      <c r="L49" s="16">
        <v>1.2999999999999999E-2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336591898.72000003</v>
      </c>
      <c r="R49" s="15">
        <v>319762303.77999997</v>
      </c>
      <c r="S49" s="15">
        <v>302932708.85000002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2026-10-15T10:08:09Z</dcterms:created>
  <dcterms:modified xsi:type="dcterms:W3CDTF">2026-10-15T10:08:42Z</dcterms:modified>
</cp:coreProperties>
</file>