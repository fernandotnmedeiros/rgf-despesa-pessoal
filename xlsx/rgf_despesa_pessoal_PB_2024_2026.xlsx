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AA8AFCBF78D70A4006E67472A4C8551F57000BC2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G16" i="1"/>
  <c r="F16" i="1"/>
  <c r="E16" i="1"/>
  <c r="D16" i="1"/>
  <c r="C16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J6" i="1"/>
  <c r="I6" i="1"/>
  <c r="H6" i="1"/>
  <c r="G6" i="1"/>
  <c r="F6" i="1"/>
  <c r="E6" i="1"/>
  <c r="D6" i="1"/>
  <c r="C6" i="1"/>
  <c r="L10" i="1" l="1"/>
  <c r="M43" i="2"/>
  <c r="T43" i="2"/>
  <c r="M30" i="2"/>
  <c r="T30" i="2"/>
  <c r="F9" i="1"/>
  <c r="I7" i="1"/>
  <c r="H7" i="1"/>
  <c r="G7" i="1"/>
  <c r="F7" i="1"/>
  <c r="E7" i="1"/>
  <c r="D7" i="1"/>
  <c r="C7" i="1"/>
  <c r="K6" i="1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M42" i="2"/>
  <c r="T42" i="2"/>
  <c r="M33" i="2"/>
  <c r="T33" i="2"/>
  <c r="L9" i="1" s="1"/>
  <c r="T32" i="2"/>
  <c r="M32" i="2"/>
  <c r="M31" i="2"/>
  <c r="T31" i="2"/>
  <c r="T29" i="2"/>
  <c r="M29" i="2"/>
  <c r="T28" i="2"/>
  <c r="M28" i="2"/>
  <c r="M27" i="2"/>
  <c r="T27" i="2"/>
  <c r="T26" i="2"/>
  <c r="M26" i="2"/>
  <c r="T25" i="2"/>
  <c r="L8" i="1" s="1"/>
  <c r="M25" i="2"/>
  <c r="T24" i="2"/>
  <c r="M24" i="2"/>
  <c r="T23" i="2"/>
  <c r="M23" i="2"/>
  <c r="T22" i="2"/>
  <c r="M22" i="2"/>
  <c r="T21" i="2"/>
  <c r="M21" i="2"/>
  <c r="T20" i="2"/>
  <c r="M20" i="2"/>
  <c r="T19" i="2"/>
  <c r="M19" i="2"/>
  <c r="M18" i="2"/>
  <c r="T18" i="2"/>
  <c r="T17" i="2"/>
  <c r="L7" i="1" s="1"/>
  <c r="M17" i="2"/>
  <c r="T16" i="2"/>
  <c r="M16" i="2"/>
  <c r="T15" i="2"/>
  <c r="M15" i="2"/>
  <c r="T14" i="2"/>
  <c r="M14" i="2"/>
  <c r="T13" i="2"/>
  <c r="M13" i="2"/>
  <c r="M12" i="2"/>
  <c r="T12" i="2"/>
  <c r="M11" i="2"/>
  <c r="T11" i="2"/>
  <c r="M10" i="2"/>
  <c r="T10" i="2"/>
  <c r="T9" i="2"/>
  <c r="L6" i="1" s="1"/>
  <c r="M9" i="2"/>
  <c r="M8" i="2"/>
  <c r="T8" i="2"/>
  <c r="M7" i="2"/>
  <c r="T7" i="2"/>
  <c r="J18" i="1"/>
  <c r="I18" i="1"/>
  <c r="H18" i="1"/>
  <c r="G18" i="1"/>
  <c r="I20" i="1"/>
  <c r="F17" i="1"/>
  <c r="H16" i="1"/>
  <c r="J12" i="1"/>
  <c r="C18" i="1"/>
  <c r="F21" i="1"/>
  <c r="F18" i="1"/>
  <c r="D17" i="1"/>
  <c r="E18" i="1"/>
  <c r="J17" i="1"/>
  <c r="G21" i="1"/>
  <c r="D21" i="1"/>
  <c r="C21" i="1"/>
  <c r="J20" i="1"/>
  <c r="H20" i="1"/>
  <c r="D18" i="1"/>
  <c r="H17" i="1"/>
  <c r="C17" i="1"/>
  <c r="H21" i="1"/>
  <c r="I21" i="1"/>
  <c r="J21" i="1"/>
  <c r="F20" i="1"/>
  <c r="G17" i="1"/>
  <c r="I16" i="1"/>
  <c r="I12" i="1"/>
  <c r="E21" i="1"/>
  <c r="G20" i="1"/>
  <c r="I17" i="1"/>
  <c r="J16" i="1"/>
  <c r="E17" i="1"/>
  <c r="T6" i="2"/>
  <c r="M6" i="2"/>
  <c r="T5" i="2"/>
  <c r="M5" i="2"/>
  <c r="M4" i="2"/>
  <c r="T4" i="2"/>
  <c r="M3" i="2"/>
  <c r="T3" i="2"/>
  <c r="T2" i="2"/>
  <c r="M2" i="2"/>
  <c r="J19" i="1"/>
  <c r="I19" i="1"/>
  <c r="H19" i="1"/>
  <c r="G19" i="1"/>
  <c r="F19" i="1"/>
  <c r="E19" i="1"/>
  <c r="D19" i="1"/>
  <c r="C19" i="1"/>
  <c r="E20" i="1"/>
  <c r="C20" i="1"/>
  <c r="D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<sst xmlns="http://schemas.openxmlformats.org/spreadsheetml/2006/main" count="427" uniqueCount="83">
  <si>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Paraíba (PB)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</si>
  <si>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</si>
  <si>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</si>
  <si>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</si>
  <si>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</si>
  <si>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</si>
  <si>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</si>
  <si>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</si>
  <si>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</si>
  <si>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</si>
  <si>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</si>
  <si>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</si>
  <si>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</si>
  <si>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</si>
  <si>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</si>
  <si>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</si>
  <si>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</si>
  <si>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</si>
  <si>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</si>
  <si>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</si>
  <si>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</si>
  <si>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</si>
  <si>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</si>
  <si>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</si>
  <si>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</si>
  <si>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</si>
  <si>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</si>
  <si>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</si>
  <si>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</si>
  <si>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</si>
  <si>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</si>
  <si>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</si>
  <si>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</si>
  <si>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</si>
  <si>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</si>
  <si>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</si>
  <si>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</si>
  <si>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</si>
  <si>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</si>
  <si>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</si>
  <si>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</si>
  <si>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</si>
  <si>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</si>
  <si>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</si>
  <si>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</si>
  <si>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</si>
  <si>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</si>
  <si>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da Paraíba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</si>
  <si>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</si>
  <si>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</si>
  <si>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</si>
  <si>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</si>
  <si>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</si>
  <si>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</si>
  <si>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</si>
  <si>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</si>
  <si>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</si>
  <si>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</si>
  <si>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</si>
  <si>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</si>
  <si>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da Paraíba</t>
  </si>
  <si>
    <t>Tribunal de Justiça do Estado da Paraíba</t>
  </si>
  <si>
    <t>Tribunal de Contas do Estado da Paraíba</t>
  </si>
  <si>
    <t>Defensoria Pública do Estado da Paraíba</t>
  </si>
  <si>
    <t>Calculado (despesa líquida / RCL Ajustada do Executivo)</t>
  </si>
  <si>
    <t>Ministério Público do Estado da Paraíba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</si>
  <si>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</si>
  <si>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</si>
  <si>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</si>
  <si>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</si>
  <si>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Paraíba (PB).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</si>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</sst>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0.4790226841404811</v>
      </c>
      <c r="D6" s="7">
        <f>IFERROR(IF(INDEX(Dados!$K$2:$K$49,MATCH($A6&amp;"|"&amp;D$5,Dados!$A$2:$A$49,0))="","",INDEX(Dados!$K$2:$K$49,MATCH($A6&amp;"|"&amp;D$5,Dados!$A$2:$A$49,0))),"")</f>
        <v>0.47808833916632915</v>
      </c>
      <c r="E6" s="7">
        <f>IFERROR(IF(INDEX(Dados!$K$2:$K$49,MATCH($A6&amp;"|"&amp;E$5,Dados!$A$2:$A$49,0))="","",INDEX(Dados!$K$2:$K$49,MATCH($A6&amp;"|"&amp;E$5,Dados!$A$2:$A$49,0))),"")</f>
        <v>0.48269236734611248</v>
      </c>
      <c r="F6" s="7">
        <f>IFERROR(IF(INDEX(Dados!$K$2:$K$49,MATCH($A6&amp;"|"&amp;F$5,Dados!$A$2:$A$49,0))="","",INDEX(Dados!$K$2:$K$49,MATCH($A6&amp;"|"&amp;F$5,Dados!$A$2:$A$49,0))),"")</f>
        <v>0.47661601131305847</v>
      </c>
      <c r="G6" s="7">
        <f>IFERROR(IF(INDEX(Dados!$K$2:$K$49,MATCH($A6&amp;"|"&amp;G$5,Dados!$A$2:$A$49,0))="","",INDEX(Dados!$K$2:$K$49,MATCH($A6&amp;"|"&amp;G$5,Dados!$A$2:$A$49,0))),"")</f>
        <v>0.46409697420578722</v>
      </c>
      <c r="H6" s="7">
        <f>IFERROR(IF(INDEX(Dados!$K$2:$K$49,MATCH($A6&amp;"|"&amp;H$5,Dados!$A$2:$A$49,0))="","",INDEX(Dados!$K$2:$K$49,MATCH($A6&amp;"|"&amp;H$5,Dados!$A$2:$A$49,0))),"")</f>
        <v>0.44735253217240634</v>
      </c>
      <c r="I6" s="7">
        <f>IFERROR(IF(INDEX(Dados!$K$2:$K$49,MATCH($A6&amp;"|"&amp;I$5,Dados!$A$2:$A$49,0))="","",INDEX(Dados!$K$2:$K$49,MATCH($A6&amp;"|"&amp;I$5,Dados!$A$2:$A$49,0))),"")</f>
        <v>0.49752523858468739</v>
      </c>
      <c r="J6" s="7">
        <f>IFERROR(IF(INDEX(Dados!$K$2:$K$49,MATCH($A6&amp;"|"&amp;J$5,Dados!$A$2:$A$49,0))="","",INDEX(Dados!$K$2:$K$49,MATCH($A6&amp;"|"&amp;J$5,Dados!$A$2:$A$49,0))),"")</f>
        <v>0.51469259339843221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Acima do limite máximo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1.8990524703743818E-2</v>
      </c>
      <c r="D7" s="10">
        <f>IFERROR(IF(INDEX(Dados!$K$2:$K$49,MATCH($A7&amp;"|"&amp;D$5,Dados!$A$2:$A$49,0))="","",INDEX(Dados!$K$2:$K$49,MATCH($A7&amp;"|"&amp;D$5,Dados!$A$2:$A$49,0))),"")</f>
        <v>1.9014675086145971E-2</v>
      </c>
      <c r="E7" s="10">
        <f>IFERROR(IF(INDEX(Dados!$K$2:$K$49,MATCH($A7&amp;"|"&amp;E$5,Dados!$A$2:$A$49,0))="","",INDEX(Dados!$K$2:$K$49,MATCH($A7&amp;"|"&amp;E$5,Dados!$A$2:$A$49,0))),"")</f>
        <v>1.9227982543917874E-2</v>
      </c>
      <c r="F7" s="10">
        <f>IFERROR(IF(INDEX(Dados!$K$2:$K$49,MATCH($A7&amp;"|"&amp;F$5,Dados!$A$2:$A$49,0))="","",INDEX(Dados!$K$2:$K$49,MATCH($A7&amp;"|"&amp;F$5,Dados!$A$2:$A$49,0))),"")</f>
        <v>1.9285273820897657E-2</v>
      </c>
      <c r="G7" s="10">
        <f>IFERROR(IF(INDEX(Dados!$K$2:$K$49,MATCH($A7&amp;"|"&amp;G$5,Dados!$A$2:$A$49,0))="","",INDEX(Dados!$K$2:$K$49,MATCH($A7&amp;"|"&amp;G$5,Dados!$A$2:$A$49,0))),"")</f>
        <v>1.9120730213160117E-2</v>
      </c>
      <c r="H7" s="10">
        <f>IFERROR(IF(INDEX(Dados!$K$2:$K$49,MATCH($A7&amp;"|"&amp;H$5,Dados!$A$2:$A$49,0))="","",INDEX(Dados!$K$2:$K$49,MATCH($A7&amp;"|"&amp;H$5,Dados!$A$2:$A$49,0))),"")</f>
        <v>1.89967554731908E-2</v>
      </c>
      <c r="I7" s="10">
        <f>IFERROR(IF(INDEX(Dados!$K$2:$K$49,MATCH($A7&amp;"|"&amp;I$5,Dados!$A$2:$A$49,0))="","",INDEX(Dados!$K$2:$K$49,MATCH($A7&amp;"|"&amp;I$5,Dados!$A$2:$A$49,0))),"")</f>
        <v>1.9066033405102201E-2</v>
      </c>
      <c r="J7" s="10">
        <f>IFERROR(IF(INDEX(Dados!$K$2:$K$49,MATCH($A7&amp;"|"&amp;J$5,Dados!$A$2:$A$49,0))="","",INDEX(Dados!$K$2:$K$49,MATCH($A7&amp;"|"&amp;J$5,Dados!$A$2:$A$49,0))),"")</f>
        <v>1.8823099585303447E-2</v>
      </c>
      <c r="K7" s="10">
        <f>IFERROR(IF(INDEX(Dados!$N$2:$N$49,MATCH($A7&amp;"|"&amp;J$5,Dados!$A$2:$A$49,0))=0,"—",INDEX(Dados!$N$2:$N$49,MATCH($A7&amp;"|"&amp;J$5,Dados!$A$2:$A$49,0))),"—")</f>
        <v>1.95E-2</v>
      </c>
      <c r="L7" s="9" t="str">
        <f>IFERROR(IF(INDEX(Dados!$T$2:$T$49,MATCH($A7&amp;"|"&amp;J$5,Dados!$A$2:$A$49,0))="","—",INDEX(Dados!$T$2:$T$49,MATCH($A7&amp;"|"&amp;J$5,Dados!$A$2:$A$49,0))),"—")</f>
        <v>Acima do limite prudencial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4.3238327442863655E-2</v>
      </c>
      <c r="D8" s="10">
        <f>IFERROR(IF(INDEX(Dados!$K$2:$K$49,MATCH($A8&amp;"|"&amp;D$5,Dados!$A$2:$A$49,0))="","",INDEX(Dados!$K$2:$K$49,MATCH($A8&amp;"|"&amp;D$5,Dados!$A$2:$A$49,0))),"")</f>
        <v>4.3008257485233653E-2</v>
      </c>
      <c r="E8" s="10">
        <f>IFERROR(IF(INDEX(Dados!$K$2:$K$49,MATCH($A8&amp;"|"&amp;E$5,Dados!$A$2:$A$49,0))="","",INDEX(Dados!$K$2:$K$49,MATCH($A8&amp;"|"&amp;E$5,Dados!$A$2:$A$49,0))),"")</f>
        <v>4.4517735653526298E-2</v>
      </c>
      <c r="F8" s="10">
        <f>IFERROR(IF(INDEX(Dados!$K$2:$K$49,MATCH($A8&amp;"|"&amp;F$5,Dados!$A$2:$A$49,0))="","",INDEX(Dados!$K$2:$K$49,MATCH($A8&amp;"|"&amp;F$5,Dados!$A$2:$A$49,0))),"")</f>
        <v>4.4072622214524682E-2</v>
      </c>
      <c r="G8" s="10">
        <f>IFERROR(IF(INDEX(Dados!$K$2:$K$49,MATCH($A8&amp;"|"&amp;G$5,Dados!$A$2:$A$49,0))="","",INDEX(Dados!$K$2:$K$49,MATCH($A8&amp;"|"&amp;G$5,Dados!$A$2:$A$49,0))),"")</f>
        <v>4.3436031270505646E-2</v>
      </c>
      <c r="H8" s="10">
        <f>IFERROR(IF(INDEX(Dados!$K$2:$K$49,MATCH($A8&amp;"|"&amp;H$5,Dados!$A$2:$A$49,0))="","",INDEX(Dados!$K$2:$K$49,MATCH($A8&amp;"|"&amp;H$5,Dados!$A$2:$A$49,0))),"")</f>
        <v>4.4249035049897863E-2</v>
      </c>
      <c r="I8" s="10">
        <f>IFERROR(IF(INDEX(Dados!$K$2:$K$49,MATCH($A8&amp;"|"&amp;I$5,Dados!$A$2:$A$49,0))="","",INDEX(Dados!$K$2:$K$49,MATCH($A8&amp;"|"&amp;I$5,Dados!$A$2:$A$49,0))),"")</f>
        <v>4.654586203237511E-2</v>
      </c>
      <c r="J8" s="10">
        <f>IFERROR(IF(INDEX(Dados!$K$2:$K$49,MATCH($A8&amp;"|"&amp;J$5,Dados!$A$2:$A$49,0))="","",INDEX(Dados!$K$2:$K$49,MATCH($A8&amp;"|"&amp;J$5,Dados!$A$2:$A$49,0))),"")</f>
        <v>4.5012534471398191E-2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9.2386505406311017E-3</v>
      </c>
      <c r="D9" s="10">
        <f>IFERROR(IF(INDEX(Dados!$K$2:$K$49,MATCH($A9&amp;"|"&amp;D$5,Dados!$A$2:$A$49,0))="","",INDEX(Dados!$K$2:$K$49,MATCH($A9&amp;"|"&amp;D$5,Dados!$A$2:$A$49,0))),"")</f>
        <v>8.9665339023867509E-3</v>
      </c>
      <c r="E9" s="10">
        <f>IFERROR(IF(INDEX(Dados!$K$2:$K$49,MATCH($A9&amp;"|"&amp;E$5,Dados!$A$2:$A$49,0))="","",INDEX(Dados!$K$2:$K$49,MATCH($A9&amp;"|"&amp;E$5,Dados!$A$2:$A$49,0))),"")</f>
        <v>9.453361664424214E-3</v>
      </c>
      <c r="F9" s="10">
        <f>IFERROR(IF(INDEX(Dados!$K$2:$K$49,MATCH($A9&amp;"|"&amp;F$5,Dados!$A$2:$A$49,0))="","",INDEX(Dados!$K$2:$K$49,MATCH($A9&amp;"|"&amp;F$5,Dados!$A$2:$A$49,0))),"")</f>
        <v>9.3886414951019695E-3</v>
      </c>
      <c r="G9" s="10">
        <f>IFERROR(IF(INDEX(Dados!$K$2:$K$49,MATCH($A9&amp;"|"&amp;G$5,Dados!$A$2:$A$49,0))="","",INDEX(Dados!$K$2:$K$49,MATCH($A9&amp;"|"&amp;G$5,Dados!$A$2:$A$49,0))),"")</f>
        <v>9.4490730487080381E-3</v>
      </c>
      <c r="H9" s="10">
        <f>IFERROR(IF(INDEX(Dados!$K$2:$K$49,MATCH($A9&amp;"|"&amp;H$5,Dados!$A$2:$A$49,0))="","",INDEX(Dados!$K$2:$K$49,MATCH($A9&amp;"|"&amp;H$5,Dados!$A$2:$A$49,0))),"")</f>
        <v>9.208231485797528E-3</v>
      </c>
      <c r="I9" s="10">
        <f>IFERROR(IF(INDEX(Dados!$K$2:$K$49,MATCH($A9&amp;"|"&amp;I$5,Dados!$A$2:$A$49,0))="","",INDEX(Dados!$K$2:$K$49,MATCH($A9&amp;"|"&amp;I$5,Dados!$A$2:$A$49,0))),"")</f>
        <v>9.2472594206195902E-3</v>
      </c>
      <c r="J9" s="10">
        <f>IFERROR(IF(INDEX(Dados!$K$2:$K$49,MATCH($A9&amp;"|"&amp;J$5,Dados!$A$2:$A$49,0))="","",INDEX(Dados!$K$2:$K$49,MATCH($A9&amp;"|"&amp;J$5,Dados!$A$2:$A$49,0))),"")</f>
        <v>9.2876187430082479E-3</v>
      </c>
      <c r="K9" s="10">
        <f>IFERROR(IF(INDEX(Dados!$N$2:$N$49,MATCH($A9&amp;"|"&amp;J$5,Dados!$A$2:$A$49,0))=0,"—",INDEX(Dados!$N$2:$N$49,MATCH($A9&amp;"|"&amp;J$5,Dados!$A$2:$A$49,0))),"—")</f>
        <v>1.0500000000000001E-2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7.3516311534779638E-3</v>
      </c>
      <c r="D10" s="10">
        <f>IFERROR(IF(INDEX(Dados!$K$2:$K$49,MATCH($A10&amp;"|"&amp;D$5,Dados!$A$2:$A$49,0))="","",INDEX(Dados!$K$2:$K$49,MATCH($A10&amp;"|"&amp;D$5,Dados!$A$2:$A$49,0))),"")</f>
        <v>7.2218403333685821E-3</v>
      </c>
      <c r="E10" s="10">
        <f>IFERROR(IF(INDEX(Dados!$K$2:$K$49,MATCH($A10&amp;"|"&amp;E$5,Dados!$A$2:$A$49,0))="","",INDEX(Dados!$K$2:$K$49,MATCH($A10&amp;"|"&amp;E$5,Dados!$A$2:$A$49,0))),"")</f>
        <v>7.1946037581517124E-3</v>
      </c>
      <c r="F10" s="10">
        <f>IFERROR(IF(INDEX(Dados!$K$2:$K$49,MATCH($A10&amp;"|"&amp;F$5,Dados!$A$2:$A$49,0))="","",INDEX(Dados!$K$2:$K$49,MATCH($A10&amp;"|"&amp;F$5,Dados!$A$2:$A$49,0))),"")</f>
        <v>7.1464898092047065E-3</v>
      </c>
      <c r="G10" s="10">
        <f>IFERROR(IF(INDEX(Dados!$K$2:$K$49,MATCH($A10&amp;"|"&amp;G$5,Dados!$A$2:$A$49,0))="","",INDEX(Dados!$K$2:$K$49,MATCH($A10&amp;"|"&amp;G$5,Dados!$A$2:$A$49,0))),"")</f>
        <v>7.4581119197163117E-3</v>
      </c>
      <c r="H10" s="10">
        <f>IFERROR(IF(INDEX(Dados!$K$2:$K$49,MATCH($A10&amp;"|"&amp;H$5,Dados!$A$2:$A$49,0))="","",INDEX(Dados!$K$2:$K$49,MATCH($A10&amp;"|"&amp;H$5,Dados!$A$2:$A$49,0))),"")</f>
        <v>7.581106260833209E-3</v>
      </c>
      <c r="I10" s="10">
        <f>IFERROR(IF(INDEX(Dados!$K$2:$K$49,MATCH($A10&amp;"|"&amp;I$5,Dados!$A$2:$A$49,0))="","",INDEX(Dados!$K$2:$K$49,MATCH($A10&amp;"|"&amp;I$5,Dados!$A$2:$A$49,0))),"")</f>
        <v>7.9686545429407639E-3</v>
      </c>
      <c r="J10" s="10">
        <f>IFERROR(IF(INDEX(Dados!$K$2:$K$49,MATCH($A10&amp;"|"&amp;J$5,Dados!$A$2:$A$49,0))="","",INDEX(Dados!$K$2:$K$49,MATCH($A10&amp;"|"&amp;J$5,Dados!$A$2:$A$49,0))),"")</f>
        <v>8.0699277452222044E-3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1.7586937967899754E-2</v>
      </c>
      <c r="D11" s="10">
        <f>IFERROR(IF(INDEX(Dados!$K$2:$K$49,MATCH($A11&amp;"|"&amp;D$5,Dados!$A$2:$A$49,0))="","",INDEX(Dados!$K$2:$K$49,MATCH($A11&amp;"|"&amp;D$5,Dados!$A$2:$A$49,0))),"")</f>
        <v>1.7370805223323293E-2</v>
      </c>
      <c r="E11" s="10">
        <f>IFERROR(IF(INDEX(Dados!$K$2:$K$49,MATCH($A11&amp;"|"&amp;E$5,Dados!$A$2:$A$49,0))="","",INDEX(Dados!$K$2:$K$49,MATCH($A11&amp;"|"&amp;E$5,Dados!$A$2:$A$49,0))),"")</f>
        <v>1.7403255161392669E-2</v>
      </c>
      <c r="F11" s="10">
        <f>IFERROR(IF(INDEX(Dados!$K$2:$K$49,MATCH($A11&amp;"|"&amp;F$5,Dados!$A$2:$A$49,0))="","",INDEX(Dados!$K$2:$K$49,MATCH($A11&amp;"|"&amp;F$5,Dados!$A$2:$A$49,0))),"")</f>
        <v>1.7474733010891343E-2</v>
      </c>
      <c r="G11" s="10">
        <f>IFERROR(IF(INDEX(Dados!$K$2:$K$49,MATCH($A11&amp;"|"&amp;G$5,Dados!$A$2:$A$49,0))="","",INDEX(Dados!$K$2:$K$49,MATCH($A11&amp;"|"&amp;G$5,Dados!$A$2:$A$49,0))),"")</f>
        <v>1.7289989535555512E-2</v>
      </c>
      <c r="H11" s="10">
        <f>IFERROR(IF(INDEX(Dados!$K$2:$K$49,MATCH($A11&amp;"|"&amp;H$5,Dados!$A$2:$A$49,0))="","",INDEX(Dados!$K$2:$K$49,MATCH($A11&amp;"|"&amp;H$5,Dados!$A$2:$A$49,0))),"")</f>
        <v>1.753682065374219E-2</v>
      </c>
      <c r="I11" s="10">
        <f>IFERROR(IF(INDEX(Dados!$K$2:$K$49,MATCH($A11&amp;"|"&amp;I$5,Dados!$A$2:$A$49,0))="","",INDEX(Dados!$K$2:$K$49,MATCH($A11&amp;"|"&amp;I$5,Dados!$A$2:$A$49,0))),"")</f>
        <v>1.7631239769105456E-2</v>
      </c>
      <c r="J11" s="10">
        <f>IFERROR(IF(INDEX(Dados!$K$2:$K$49,MATCH($A11&amp;"|"&amp;J$5,Dados!$A$2:$A$49,0))="","",INDEX(Dados!$K$2:$K$49,MATCH($A11&amp;"|"&amp;J$5,Dados!$A$2:$A$49,0))),"")</f>
        <v>1.7527834084002564E-2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17616.130637720002</v>
      </c>
      <c r="D12" s="12">
        <f>IFERROR(INDEX(Dados!$J$2:$J$49,MATCH("Governo|"&amp;D$5,Dados!$A$2:$A$49,0))/1000000,"")</f>
        <v>18419.24721949</v>
      </c>
      <c r="E12" s="12">
        <f>IFERROR(INDEX(Dados!$J$2:$J$49,MATCH("Governo|"&amp;E$5,Dados!$A$2:$A$49,0))/1000000,"")</f>
        <v>18892.082702400003</v>
      </c>
      <c r="F12" s="12">
        <f>IFERROR(INDEX(Dados!$J$2:$J$49,MATCH("Governo|"&amp;F$5,Dados!$A$2:$A$49,0))/1000000,"")</f>
        <v>19500.943720720003</v>
      </c>
      <c r="G12" s="12">
        <f>IFERROR(INDEX(Dados!$J$2:$J$49,MATCH("Governo|"&amp;G$5,Dados!$A$2:$A$49,0))/1000000,"")</f>
        <v>20286.882803410001</v>
      </c>
      <c r="H12" s="12">
        <f>IFERROR(INDEX(Dados!$J$2:$J$49,MATCH("Governo|"&amp;H$5,Dados!$A$2:$A$49,0))/1000000,"")</f>
        <v>21072.805518549998</v>
      </c>
      <c r="I12" s="12">
        <f>IFERROR(INDEX(Dados!$J$2:$J$49,MATCH("Governo|"&amp;I$5,Dados!$A$2:$A$49,0))/1000000,"")</f>
        <v>21763.053798540001</v>
      </c>
      <c r="J12" s="12">
        <f>IFERROR(INDEX(Dados!$J$2:$J$49,MATCH("Governo|"&amp;J$5,Dados!$A$2:$A$49,0))/1000000,"")</f>
        <v>22522.271117929999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8438.5261822499997</v>
      </c>
      <c r="D16" s="13">
        <f>IFERROR(IF(INDEX(Dados!$I$2:$I$49,MATCH($A16&amp;"|"&amp;D$15,Dados!$A$2:$A$49,0))="","",INDEX(Dados!$I$2:$I$49,MATCH($A16&amp;"|"&amp;D$15,Dados!$A$2:$A$49,0))/1000000),"")</f>
        <v>8806.0273118599998</v>
      </c>
      <c r="E16" s="13">
        <f>IFERROR(IF(INDEX(Dados!$I$2:$I$49,MATCH($A16&amp;"|"&amp;E$15,Dados!$A$2:$A$49,0))="","",INDEX(Dados!$I$2:$I$49,MATCH($A16&amp;"|"&amp;E$15,Dados!$A$2:$A$49,0))/1000000),"")</f>
        <v>9119.0641237199998</v>
      </c>
      <c r="F16" s="13">
        <f>IFERROR(IF(INDEX(Dados!$I$2:$I$49,MATCH($A16&amp;"|"&amp;F$15,Dados!$A$2:$A$49,0))="","",INDEX(Dados!$I$2:$I$49,MATCH($A16&amp;"|"&amp;F$15,Dados!$A$2:$A$49,0))/1000000),"")</f>
        <v>9294.4620130100011</v>
      </c>
      <c r="G16" s="13">
        <f>IFERROR(IF(INDEX(Dados!$I$2:$I$49,MATCH($A16&amp;"|"&amp;G$15,Dados!$A$2:$A$49,0))="","",INDEX(Dados!$I$2:$I$49,MATCH($A16&amp;"|"&amp;G$15,Dados!$A$2:$A$49,0))/1000000),"")</f>
        <v>9415.0809251299997</v>
      </c>
      <c r="H16" s="13">
        <f>IFERROR(IF(INDEX(Dados!$I$2:$I$49,MATCH($A16&amp;"|"&amp;H$15,Dados!$A$2:$A$49,0))="","",INDEX(Dados!$I$2:$I$49,MATCH($A16&amp;"|"&amp;H$15,Dados!$A$2:$A$49,0))/1000000),"")</f>
        <v>9426.9729087000014</v>
      </c>
      <c r="I16" s="13">
        <f>IFERROR(IF(INDEX(Dados!$I$2:$I$49,MATCH($A16&amp;"|"&amp;I$15,Dados!$A$2:$A$49,0))="","",INDEX(Dados!$I$2:$I$49,MATCH($A16&amp;"|"&amp;I$15,Dados!$A$2:$A$49,0))/1000000),"")</f>
        <v>10827.668533450002</v>
      </c>
      <c r="J16" s="13">
        <f>IFERROR(IF(INDEX(Dados!$I$2:$I$49,MATCH($A16&amp;"|"&amp;J$15,Dados!$A$2:$A$49,0))="","",INDEX(Dados!$I$2:$I$49,MATCH($A16&amp;"|"&amp;J$15,Dados!$A$2:$A$49,0))/1000000),"")</f>
        <v>11592.046130909999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334.53956405999998</v>
      </c>
      <c r="D17" s="14">
        <f>IFERROR(IF(INDEX(Dados!$I$2:$I$49,MATCH($A17&amp;"|"&amp;D$15,Dados!$A$2:$A$49,0))="","",INDEX(Dados!$I$2:$I$49,MATCH($A17&amp;"|"&amp;D$15,Dados!$A$2:$A$49,0))/1000000),"")</f>
        <v>350.23600120999998</v>
      </c>
      <c r="E17" s="14">
        <f>IFERROR(IF(INDEX(Dados!$I$2:$I$49,MATCH($A17&amp;"|"&amp;E$15,Dados!$A$2:$A$49,0))="","",INDEX(Dados!$I$2:$I$49,MATCH($A17&amp;"|"&amp;E$15,Dados!$A$2:$A$49,0))/1000000),"")</f>
        <v>363.25663642000001</v>
      </c>
      <c r="F17" s="14">
        <f>IFERROR(IF(INDEX(Dados!$I$2:$I$49,MATCH($A17&amp;"|"&amp;F$15,Dados!$A$2:$A$49,0))="","",INDEX(Dados!$I$2:$I$49,MATCH($A17&amp;"|"&amp;F$15,Dados!$A$2:$A$49,0))/1000000),"")</f>
        <v>376.08103942000002</v>
      </c>
      <c r="G17" s="14">
        <f>IFERROR(IF(INDEX(Dados!$I$2:$I$49,MATCH($A17&amp;"|"&amp;G$15,Dados!$A$2:$A$49,0))="","",INDEX(Dados!$I$2:$I$49,MATCH($A17&amp;"|"&amp;G$15,Dados!$A$2:$A$49,0))/1000000),"")</f>
        <v>387.90001294999996</v>
      </c>
      <c r="H17" s="14">
        <f>IFERROR(IF(INDEX(Dados!$I$2:$I$49,MATCH($A17&amp;"|"&amp;H$15,Dados!$A$2:$A$49,0))="","",INDEX(Dados!$I$2:$I$49,MATCH($A17&amp;"|"&amp;H$15,Dados!$A$2:$A$49,0))/1000000),"")</f>
        <v>400.31493356999999</v>
      </c>
      <c r="I17" s="14">
        <f>IFERROR(IF(INDEX(Dados!$I$2:$I$49,MATCH($A17&amp;"|"&amp;I$15,Dados!$A$2:$A$49,0))="","",INDEX(Dados!$I$2:$I$49,MATCH($A17&amp;"|"&amp;I$15,Dados!$A$2:$A$49,0))/1000000),"")</f>
        <v>414.93511072000001</v>
      </c>
      <c r="J17" s="14">
        <f>IFERROR(IF(INDEX(Dados!$I$2:$I$49,MATCH($A17&amp;"|"&amp;J$15,Dados!$A$2:$A$49,0))="","",INDEX(Dados!$I$2:$I$49,MATCH($A17&amp;"|"&amp;J$15,Dados!$A$2:$A$49,0))/1000000),"")</f>
        <v>423.93895213999997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761.69202479</v>
      </c>
      <c r="D18" s="14">
        <f>IFERROR(IF(INDEX(Dados!$I$2:$I$49,MATCH($A18&amp;"|"&amp;D$15,Dados!$A$2:$A$49,0))="","",INDEX(Dados!$I$2:$I$49,MATCH($A18&amp;"|"&amp;D$15,Dados!$A$2:$A$49,0))/1000000),"")</f>
        <v>792.17972710000004</v>
      </c>
      <c r="E18" s="14">
        <f>IFERROR(IF(INDEX(Dados!$I$2:$I$49,MATCH($A18&amp;"|"&amp;E$15,Dados!$A$2:$A$49,0))="","",INDEX(Dados!$I$2:$I$49,MATCH($A18&amp;"|"&amp;E$15,Dados!$A$2:$A$49,0))/1000000),"")</f>
        <v>841.03274369000007</v>
      </c>
      <c r="F18" s="14">
        <f>IFERROR(IF(INDEX(Dados!$I$2:$I$49,MATCH($A18&amp;"|"&amp;F$15,Dados!$A$2:$A$49,0))="","",INDEX(Dados!$I$2:$I$49,MATCH($A18&amp;"|"&amp;F$15,Dados!$A$2:$A$49,0))/1000000),"")</f>
        <v>859.45772542999998</v>
      </c>
      <c r="G18" s="14">
        <f>IFERROR(IF(INDEX(Dados!$I$2:$I$49,MATCH($A18&amp;"|"&amp;G$15,Dados!$A$2:$A$49,0))="","",INDEX(Dados!$I$2:$I$49,MATCH($A18&amp;"|"&amp;G$15,Dados!$A$2:$A$49,0))/1000000),"")</f>
        <v>881.18167583000002</v>
      </c>
      <c r="H18" s="14">
        <f>IFERROR(IF(INDEX(Dados!$I$2:$I$49,MATCH($A18&amp;"|"&amp;H$15,Dados!$A$2:$A$49,0))="","",INDEX(Dados!$I$2:$I$49,MATCH($A18&amp;"|"&amp;H$15,Dados!$A$2:$A$49,0))/1000000),"")</f>
        <v>932.45130999000003</v>
      </c>
      <c r="I18" s="14">
        <f>IFERROR(IF(INDEX(Dados!$I$2:$I$49,MATCH($A18&amp;"|"&amp;I$15,Dados!$A$2:$A$49,0))="","",INDEX(Dados!$I$2:$I$49,MATCH($A18&amp;"|"&amp;I$15,Dados!$A$2:$A$49,0))/1000000),"")</f>
        <v>1012.9800995099999</v>
      </c>
      <c r="J18" s="14">
        <f>IFERROR(IF(INDEX(Dados!$I$2:$I$49,MATCH($A18&amp;"|"&amp;J$15,Dados!$A$2:$A$49,0))="","",INDEX(Dados!$I$2:$I$49,MATCH($A18&amp;"|"&amp;J$15,Dados!$A$2:$A$49,0))/1000000),"")</f>
        <v>1013.78450507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162.74927484</v>
      </c>
      <c r="D19" s="14">
        <f>IFERROR(IF(INDEX(Dados!$I$2:$I$49,MATCH($A19&amp;"|"&amp;D$15,Dados!$A$2:$A$49,0))="","",INDEX(Dados!$I$2:$I$49,MATCH($A19&amp;"|"&amp;D$15,Dados!$A$2:$A$49,0))/1000000),"")</f>
        <v>165.15680465</v>
      </c>
      <c r="E19" s="14">
        <f>IFERROR(IF(INDEX(Dados!$I$2:$I$49,MATCH($A19&amp;"|"&amp;E$15,Dados!$A$2:$A$49,0))="","",INDEX(Dados!$I$2:$I$49,MATCH($A19&amp;"|"&amp;E$15,Dados!$A$2:$A$49,0))/1000000),"")</f>
        <v>178.59369038</v>
      </c>
      <c r="F19" s="14">
        <f>IFERROR(IF(INDEX(Dados!$I$2:$I$49,MATCH($A19&amp;"|"&amp;F$15,Dados!$A$2:$A$49,0))="","",INDEX(Dados!$I$2:$I$49,MATCH($A19&amp;"|"&amp;F$15,Dados!$A$2:$A$49,0))/1000000),"")</f>
        <v>183.08736941000001</v>
      </c>
      <c r="G19" s="14">
        <f>IFERROR(IF(INDEX(Dados!$I$2:$I$49,MATCH($A19&amp;"|"&amp;G$15,Dados!$A$2:$A$49,0))="","",INDEX(Dados!$I$2:$I$49,MATCH($A19&amp;"|"&amp;G$15,Dados!$A$2:$A$49,0))/1000000),"")</f>
        <v>191.69223753999998</v>
      </c>
      <c r="H19" s="14">
        <f>IFERROR(IF(INDEX(Dados!$I$2:$I$49,MATCH($A19&amp;"|"&amp;H$15,Dados!$A$2:$A$49,0))="","",INDEX(Dados!$I$2:$I$49,MATCH($A19&amp;"|"&amp;H$15,Dados!$A$2:$A$49,0))/1000000),"")</f>
        <v>194.04327127000002</v>
      </c>
      <c r="I19" s="14">
        <f>IFERROR(IF(INDEX(Dados!$I$2:$I$49,MATCH($A19&amp;"|"&amp;I$15,Dados!$A$2:$A$49,0))="","",INDEX(Dados!$I$2:$I$49,MATCH($A19&amp;"|"&amp;I$15,Dados!$A$2:$A$49,0))/1000000),"")</f>
        <v>201.24860425999998</v>
      </c>
      <c r="J19" s="14">
        <f>IFERROR(IF(INDEX(Dados!$I$2:$I$49,MATCH($A19&amp;"|"&amp;J$15,Dados!$A$2:$A$49,0))="","",INDEX(Dados!$I$2:$I$49,MATCH($A19&amp;"|"&amp;J$15,Dados!$A$2:$A$49,0))/1000000),"")</f>
        <v>209.17826737000001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129.50729480000001</v>
      </c>
      <c r="D20" s="14">
        <f>IFERROR(IF(INDEX(Dados!$I$2:$I$49,MATCH($A20&amp;"|"&amp;D$15,Dados!$A$2:$A$49,0))="","",INDEX(Dados!$I$2:$I$49,MATCH($A20&amp;"|"&amp;D$15,Dados!$A$2:$A$49,0))/1000000),"")</f>
        <v>133.02086248000001</v>
      </c>
      <c r="E20" s="14">
        <f>IFERROR(IF(INDEX(Dados!$I$2:$I$49,MATCH($A20&amp;"|"&amp;E$15,Dados!$A$2:$A$49,0))="","",INDEX(Dados!$I$2:$I$49,MATCH($A20&amp;"|"&amp;E$15,Dados!$A$2:$A$49,0))/1000000),"")</f>
        <v>135.92104921000001</v>
      </c>
      <c r="F20" s="14">
        <f>IFERROR(IF(INDEX(Dados!$I$2:$I$49,MATCH($A20&amp;"|"&amp;F$15,Dados!$A$2:$A$49,0))="","",INDEX(Dados!$I$2:$I$49,MATCH($A20&amp;"|"&amp;F$15,Dados!$A$2:$A$49,0))/1000000),"")</f>
        <v>139.36329556999999</v>
      </c>
      <c r="G20" s="14">
        <f>IFERROR(IF(INDEX(Dados!$I$2:$I$49,MATCH($A20&amp;"|"&amp;G$15,Dados!$A$2:$A$49,0))="","",INDEX(Dados!$I$2:$I$49,MATCH($A20&amp;"|"&amp;G$15,Dados!$A$2:$A$49,0))/1000000),"")</f>
        <v>151.30184244999998</v>
      </c>
      <c r="H20" s="14">
        <f>IFERROR(IF(INDEX(Dados!$I$2:$I$49,MATCH($A20&amp;"|"&amp;H$15,Dados!$A$2:$A$49,0))="","",INDEX(Dados!$I$2:$I$49,MATCH($A20&amp;"|"&amp;H$15,Dados!$A$2:$A$49,0))/1000000),"")</f>
        <v>159.75517785</v>
      </c>
      <c r="I20" s="14">
        <f>IFERROR(IF(INDEX(Dados!$I$2:$I$49,MATCH($A20&amp;"|"&amp;I$15,Dados!$A$2:$A$49,0))="","",INDEX(Dados!$I$2:$I$49,MATCH($A20&amp;"|"&amp;I$15,Dados!$A$2:$A$49,0))/1000000),"")</f>
        <v>173.42225752000002</v>
      </c>
      <c r="J20" s="14">
        <f>IFERROR(IF(INDEX(Dados!$I$2:$I$49,MATCH($A20&amp;"|"&amp;J$15,Dados!$A$2:$A$49,0))="","",INDEX(Dados!$I$2:$I$49,MATCH($A20&amp;"|"&amp;J$15,Dados!$A$2:$A$49,0))/1000000),"")</f>
        <v>181.75310058000002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309.81379676</v>
      </c>
      <c r="D21" s="14">
        <f>IFERROR(IF(INDEX(Dados!$I$2:$I$49,MATCH($A21&amp;"|"&amp;D$15,Dados!$A$2:$A$49,0))="","",INDEX(Dados!$I$2:$I$49,MATCH($A21&amp;"|"&amp;D$15,Dados!$A$2:$A$49,0))/1000000),"")</f>
        <v>319.95715581000002</v>
      </c>
      <c r="E21" s="14">
        <f>IFERROR(IF(INDEX(Dados!$I$2:$I$49,MATCH($A21&amp;"|"&amp;E$15,Dados!$A$2:$A$49,0))="","",INDEX(Dados!$I$2:$I$49,MATCH($A21&amp;"|"&amp;E$15,Dados!$A$2:$A$49,0))/1000000),"")</f>
        <v>328.78373579999999</v>
      </c>
      <c r="F21" s="14">
        <f>IFERROR(IF(INDEX(Dados!$I$2:$I$49,MATCH($A21&amp;"|"&amp;F$15,Dados!$A$2:$A$49,0))="","",INDEX(Dados!$I$2:$I$49,MATCH($A21&amp;"|"&amp;F$15,Dados!$A$2:$A$49,0))/1000000),"")</f>
        <v>340.77378498000002</v>
      </c>
      <c r="G21" s="14">
        <f>IFERROR(IF(INDEX(Dados!$I$2:$I$49,MATCH($A21&amp;"|"&amp;G$15,Dados!$A$2:$A$49,0))="","",INDEX(Dados!$I$2:$I$49,MATCH($A21&amp;"|"&amp;G$15,Dados!$A$2:$A$49,0))/1000000),"")</f>
        <v>350.75999137999997</v>
      </c>
      <c r="H21" s="14">
        <f>IFERROR(IF(INDEX(Dados!$I$2:$I$49,MATCH($A21&amp;"|"&amp;H$15,Dados!$A$2:$A$49,0))="","",INDEX(Dados!$I$2:$I$49,MATCH($A21&amp;"|"&amp;H$15,Dados!$A$2:$A$49,0))/1000000),"")</f>
        <v>369.55001105000002</v>
      </c>
      <c r="I21" s="14">
        <f>IFERROR(IF(INDEX(Dados!$I$2:$I$49,MATCH($A21&amp;"|"&amp;I$15,Dados!$A$2:$A$49,0))="","",INDEX(Dados!$I$2:$I$49,MATCH($A21&amp;"|"&amp;I$15,Dados!$A$2:$A$49,0))/1000000),"")</f>
        <v>383.70961963000002</v>
      </c>
      <c r="J21" s="14">
        <f>IFERROR(IF(INDEX(Dados!$I$2:$I$49,MATCH($A21&amp;"|"&amp;J$15,Dados!$A$2:$A$49,0))="","",INDEX(Dados!$I$2:$I$49,MATCH($A21&amp;"|"&amp;J$15,Dados!$A$2:$A$49,0))/1000000),"")</f>
        <v>394.76663135000001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8438526182.25</v>
      </c>
      <c r="J2" s="15">
        <v>17616130637.720001</v>
      </c>
      <c r="K2" s="10">
        <f t="shared" ref="K2:K49" si="1">IF(OR(I2="",J2="",J2=0),"",I2/J2)</f>
        <v>0.4790226841404811</v>
      </c>
      <c r="L2" s="16">
        <v>0.47899999999999998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8631904012.4799995</v>
      </c>
      <c r="R2" s="15">
        <v>8200308811.8599997</v>
      </c>
      <c r="S2" s="15">
        <v>7768713611.2299995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Acima do limite prudencial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8806027311.8600006</v>
      </c>
      <c r="J3" s="15">
        <v>18419247219.490002</v>
      </c>
      <c r="K3" s="10">
        <f t="shared" si="1"/>
        <v>0.47808833916632915</v>
      </c>
      <c r="L3" s="16">
        <v>0.47810000000000002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9025431137.5499992</v>
      </c>
      <c r="R3" s="15">
        <v>8574159580.6700001</v>
      </c>
      <c r="S3" s="15">
        <v>8122888023.8000002</v>
      </c>
      <c r="T3" s="9" t="str">
        <f t="shared" si="3"/>
        <v>Acima do limite prudencial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9119064123.7199993</v>
      </c>
      <c r="J4" s="15">
        <v>18892082702.400002</v>
      </c>
      <c r="K4" s="10">
        <f t="shared" si="1"/>
        <v>0.48269236734611248</v>
      </c>
      <c r="L4" s="16">
        <v>0.48270000000000002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9257120524.1800003</v>
      </c>
      <c r="R4" s="15">
        <v>8794264497.9699993</v>
      </c>
      <c r="S4" s="15">
        <v>8331408471.7600002</v>
      </c>
      <c r="T4" s="9" t="str">
        <f t="shared" si="3"/>
        <v>Acima do limite prudencial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9294462013.0100002</v>
      </c>
      <c r="J5" s="15">
        <v>19500943720.720001</v>
      </c>
      <c r="K5" s="10">
        <f t="shared" si="1"/>
        <v>0.47661601131305847</v>
      </c>
      <c r="L5" s="16">
        <v>0.47660000000000002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9555462423.1499996</v>
      </c>
      <c r="R5" s="15">
        <v>9077689301.9899998</v>
      </c>
      <c r="S5" s="15">
        <v>8599916180.8400002</v>
      </c>
      <c r="T5" s="9" t="str">
        <f t="shared" si="3"/>
        <v>Acima do limite prudencial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9415080925.1299992</v>
      </c>
      <c r="J6" s="15">
        <v>20286882803.41</v>
      </c>
      <c r="K6" s="10">
        <f t="shared" si="1"/>
        <v>0.46409697420578722</v>
      </c>
      <c r="L6" s="16">
        <v>0.46410000000000001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9940572573.6700001</v>
      </c>
      <c r="R6" s="15">
        <v>9443543944.9899998</v>
      </c>
      <c r="S6" s="15">
        <v>8946515316.2999992</v>
      </c>
      <c r="T6" s="9" t="str">
        <f t="shared" si="3"/>
        <v>Acima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9426972908.7000008</v>
      </c>
      <c r="J7" s="15">
        <v>21072805518.549999</v>
      </c>
      <c r="K7" s="10">
        <f t="shared" si="1"/>
        <v>0.44735253217240634</v>
      </c>
      <c r="L7" s="16">
        <v>0.44740000000000002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10325674704.09</v>
      </c>
      <c r="R7" s="15">
        <v>9809390968.8899994</v>
      </c>
      <c r="S7" s="15">
        <v>9293107233.6800003</v>
      </c>
      <c r="T7" s="9" t="str">
        <f t="shared" si="3"/>
        <v>Acima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10827668533.450001</v>
      </c>
      <c r="J8" s="15">
        <v>21763053798.540001</v>
      </c>
      <c r="K8" s="10">
        <f t="shared" si="1"/>
        <v>0.49752523858468739</v>
      </c>
      <c r="L8" s="16">
        <v>0.4975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10663896361.280001</v>
      </c>
      <c r="R8" s="15">
        <v>10130701543.219999</v>
      </c>
      <c r="S8" s="15">
        <v>9597506725.1499996</v>
      </c>
      <c r="T8" s="9" t="str">
        <f t="shared" si="3"/>
        <v>Acima do limite máximo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11592046130.91</v>
      </c>
      <c r="J9" s="15">
        <v>22522271117.93</v>
      </c>
      <c r="K9" s="10">
        <f t="shared" si="1"/>
        <v>0.51469259339843221</v>
      </c>
      <c r="L9" s="16">
        <v>0.51469999999999994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11035912847.790001</v>
      </c>
      <c r="R9" s="15">
        <v>10484117205.4</v>
      </c>
      <c r="S9" s="15">
        <v>9932321563.0100002</v>
      </c>
      <c r="T9" s="9" t="str">
        <f t="shared" si="3"/>
        <v>Acima do limite máximo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334539564.06</v>
      </c>
      <c r="J10" s="15">
        <v>17616130637.720001</v>
      </c>
      <c r="K10" s="10">
        <f t="shared" si="1"/>
        <v>1.8990524703743818E-2</v>
      </c>
      <c r="L10" s="16">
        <v>1.9E-2</v>
      </c>
      <c r="M10" s="9" t="str">
        <f t="shared" si="2"/>
        <v>Sim</v>
      </c>
      <c r="N10" s="16">
        <v>1.9E-2</v>
      </c>
      <c r="O10" s="16">
        <v>1.8100000000000002E-2</v>
      </c>
      <c r="P10" s="16">
        <v>1.7100000000000001E-2</v>
      </c>
      <c r="Q10" s="15">
        <v>334706482.12</v>
      </c>
      <c r="R10" s="15">
        <v>317971158.00999999</v>
      </c>
      <c r="S10" s="15">
        <v>301235833.91000003</v>
      </c>
      <c r="T10" s="9" t="str">
        <f t="shared" si="3"/>
        <v>Acima do limite prudencial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350236001.20999998</v>
      </c>
      <c r="J11" s="15">
        <v>18419247219.490002</v>
      </c>
      <c r="K11" s="10">
        <f t="shared" si="1"/>
        <v>1.9014675086145971E-2</v>
      </c>
      <c r="L11" s="16">
        <v>1.9E-2</v>
      </c>
      <c r="M11" s="9" t="str">
        <f t="shared" si="2"/>
        <v>Sim</v>
      </c>
      <c r="N11" s="16">
        <v>1.95E-2</v>
      </c>
      <c r="O11" s="16">
        <v>1.8499999999999999E-2</v>
      </c>
      <c r="P11" s="16">
        <v>1.7600000000000001E-2</v>
      </c>
      <c r="Q11" s="15">
        <v>359175320.77999997</v>
      </c>
      <c r="R11" s="15">
        <v>341216554.74000001</v>
      </c>
      <c r="S11" s="15">
        <v>323257788.69999999</v>
      </c>
      <c r="T11" s="9" t="str">
        <f t="shared" si="3"/>
        <v>Acima do limite prudencial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363256636.42000002</v>
      </c>
      <c r="J12" s="15">
        <v>18892082702.400002</v>
      </c>
      <c r="K12" s="10">
        <f t="shared" si="1"/>
        <v>1.9227982543917874E-2</v>
      </c>
      <c r="L12" s="16">
        <v>1.9199999999999998E-2</v>
      </c>
      <c r="M12" s="9" t="str">
        <f t="shared" si="2"/>
        <v>Sim</v>
      </c>
      <c r="N12" s="16">
        <v>1.95E-2</v>
      </c>
      <c r="O12" s="16">
        <v>1.8499999999999999E-2</v>
      </c>
      <c r="P12" s="16">
        <v>1.7600000000000001E-2</v>
      </c>
      <c r="Q12" s="15">
        <v>368395612.69999999</v>
      </c>
      <c r="R12" s="15">
        <v>349975832.06999999</v>
      </c>
      <c r="S12" s="15">
        <v>331556051.43000001</v>
      </c>
      <c r="T12" s="9" t="str">
        <f t="shared" si="3"/>
        <v>Acima do limite prudencial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376081039.42000002</v>
      </c>
      <c r="J13" s="15">
        <v>19500943720.720001</v>
      </c>
      <c r="K13" s="10">
        <f t="shared" si="1"/>
        <v>1.9285273820897657E-2</v>
      </c>
      <c r="L13" s="16">
        <v>1.9300000000000001E-2</v>
      </c>
      <c r="M13" s="9" t="str">
        <f t="shared" si="2"/>
        <v>Sim</v>
      </c>
      <c r="N13" s="16">
        <v>1.95E-2</v>
      </c>
      <c r="O13" s="16">
        <v>1.8499999999999999E-2</v>
      </c>
      <c r="P13" s="16">
        <v>1.7600000000000001E-2</v>
      </c>
      <c r="Q13" s="15">
        <v>380268402.55000001</v>
      </c>
      <c r="R13" s="15">
        <v>361254982.42000002</v>
      </c>
      <c r="S13" s="15">
        <v>342241562.30000001</v>
      </c>
      <c r="T13" s="9" t="str">
        <f t="shared" si="3"/>
        <v>Acima do limite prudencial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387900012.94999999</v>
      </c>
      <c r="J14" s="15">
        <v>20286882803.41</v>
      </c>
      <c r="K14" s="10">
        <f t="shared" si="1"/>
        <v>1.9120730213160117E-2</v>
      </c>
      <c r="L14" s="16">
        <v>1.9099999999999999E-2</v>
      </c>
      <c r="M14" s="9" t="str">
        <f t="shared" si="2"/>
        <v>Sim</v>
      </c>
      <c r="N14" s="16">
        <v>1.95E-2</v>
      </c>
      <c r="O14" s="16">
        <v>1.8499999999999999E-2</v>
      </c>
      <c r="P14" s="16">
        <v>1.7600000000000001E-2</v>
      </c>
      <c r="Q14" s="15">
        <v>395594214.66000003</v>
      </c>
      <c r="R14" s="15">
        <v>375814503.93000001</v>
      </c>
      <c r="S14" s="15">
        <v>356034793.19</v>
      </c>
      <c r="T14" s="9" t="str">
        <f t="shared" si="3"/>
        <v>Acima do limite prudencial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400314933.56999999</v>
      </c>
      <c r="J15" s="15">
        <v>21072805518.549999</v>
      </c>
      <c r="K15" s="10">
        <f t="shared" si="1"/>
        <v>1.89967554731908E-2</v>
      </c>
      <c r="L15" s="16">
        <v>1.9E-2</v>
      </c>
      <c r="M15" s="9" t="str">
        <f t="shared" si="2"/>
        <v>Sim</v>
      </c>
      <c r="N15" s="16">
        <v>1.95E-2</v>
      </c>
      <c r="O15" s="16">
        <v>1.8499999999999999E-2</v>
      </c>
      <c r="P15" s="16">
        <v>1.7600000000000001E-2</v>
      </c>
      <c r="Q15" s="15">
        <v>410919707.61000001</v>
      </c>
      <c r="R15" s="15">
        <v>390373722.23000002</v>
      </c>
      <c r="S15" s="15">
        <v>369827736.85000002</v>
      </c>
      <c r="T15" s="9" t="str">
        <f t="shared" si="3"/>
        <v>Acima do limite prudencial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414935110.72000003</v>
      </c>
      <c r="J16" s="15">
        <v>21763053798.540001</v>
      </c>
      <c r="K16" s="10">
        <f t="shared" si="1"/>
        <v>1.9066033405102201E-2</v>
      </c>
      <c r="L16" s="16">
        <v>1.9099999999999999E-2</v>
      </c>
      <c r="M16" s="9" t="str">
        <f t="shared" si="2"/>
        <v>Sim</v>
      </c>
      <c r="N16" s="16">
        <v>1.95E-2</v>
      </c>
      <c r="O16" s="16">
        <v>1.8499999999999999E-2</v>
      </c>
      <c r="P16" s="16">
        <v>1.7600000000000001E-2</v>
      </c>
      <c r="Q16" s="15">
        <v>424379549.06999999</v>
      </c>
      <c r="R16" s="15">
        <v>403160571.62</v>
      </c>
      <c r="S16" s="15">
        <v>381941594.16000003</v>
      </c>
      <c r="T16" s="9" t="str">
        <f t="shared" si="3"/>
        <v>Acima do limite prudencial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423938952.13999999</v>
      </c>
      <c r="J17" s="15">
        <v>22522271117.93</v>
      </c>
      <c r="K17" s="10">
        <f t="shared" si="1"/>
        <v>1.8823099585303447E-2</v>
      </c>
      <c r="L17" s="16">
        <v>1.8800000000000001E-2</v>
      </c>
      <c r="M17" s="9" t="str">
        <f t="shared" si="2"/>
        <v>Sim</v>
      </c>
      <c r="N17" s="16">
        <v>1.95E-2</v>
      </c>
      <c r="O17" s="16">
        <v>1.8499999999999999E-2</v>
      </c>
      <c r="P17" s="16">
        <v>1.7600000000000001E-2</v>
      </c>
      <c r="Q17" s="15">
        <v>439184286.80000001</v>
      </c>
      <c r="R17" s="15">
        <v>417225072.45999998</v>
      </c>
      <c r="S17" s="15">
        <v>395265858.12</v>
      </c>
      <c r="T17" s="9" t="str">
        <f t="shared" si="3"/>
        <v>Acima do limite prudencial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761692024.78999996</v>
      </c>
      <c r="J18" s="15">
        <v>17616130637.720001</v>
      </c>
      <c r="K18" s="10">
        <f t="shared" si="1"/>
        <v>4.3238327442863655E-2</v>
      </c>
      <c r="L18" s="16">
        <v>4.3200000000000002E-2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1056967838.26</v>
      </c>
      <c r="R18" s="15">
        <v>1004119446.35</v>
      </c>
      <c r="S18" s="15">
        <v>951271054.42999995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792179727.10000002</v>
      </c>
      <c r="J19" s="15">
        <v>18419247219.490002</v>
      </c>
      <c r="K19" s="10">
        <f t="shared" si="1"/>
        <v>4.3008257485233653E-2</v>
      </c>
      <c r="L19" s="16">
        <v>4.2999999999999997E-2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1105154833.1700001</v>
      </c>
      <c r="R19" s="15">
        <v>1049897091.51</v>
      </c>
      <c r="S19" s="15">
        <v>994639349.85000002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841032743.69000006</v>
      </c>
      <c r="J20" s="15">
        <v>18892082702.400002</v>
      </c>
      <c r="K20" s="10">
        <f t="shared" si="1"/>
        <v>4.4517735653526298E-2</v>
      </c>
      <c r="L20" s="16">
        <v>4.4499999999999998E-2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1133524962.1400001</v>
      </c>
      <c r="R20" s="15">
        <v>1076848714.03</v>
      </c>
      <c r="S20" s="15">
        <v>1020172465.9299999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859457725.42999995</v>
      </c>
      <c r="J21" s="15">
        <v>19500943720.720001</v>
      </c>
      <c r="K21" s="10">
        <f t="shared" si="1"/>
        <v>4.4072622214524682E-2</v>
      </c>
      <c r="L21" s="16">
        <v>4.41E-2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1170056623.24</v>
      </c>
      <c r="R21" s="15">
        <v>1111553792.0799999</v>
      </c>
      <c r="S21" s="15">
        <v>1053050960.92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881181675.83000004</v>
      </c>
      <c r="J22" s="15">
        <v>20286882803.41</v>
      </c>
      <c r="K22" s="10">
        <f t="shared" si="1"/>
        <v>4.3436031270505646E-2</v>
      </c>
      <c r="L22" s="16">
        <v>4.3400000000000001E-2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1217212968.2</v>
      </c>
      <c r="R22" s="15">
        <v>1156352319.79</v>
      </c>
      <c r="S22" s="15">
        <v>1095491671.3800001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932451309.99000001</v>
      </c>
      <c r="J23" s="15">
        <v>21072805518.549999</v>
      </c>
      <c r="K23" s="10">
        <f t="shared" si="1"/>
        <v>4.4249035049897863E-2</v>
      </c>
      <c r="L23" s="16">
        <v>4.4200000000000003E-2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1264368331.1099999</v>
      </c>
      <c r="R23" s="15">
        <v>1201149914.55</v>
      </c>
      <c r="S23" s="15">
        <v>1137931498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1012980099.51</v>
      </c>
      <c r="J24" s="15">
        <v>21763053798.540001</v>
      </c>
      <c r="K24" s="10">
        <f t="shared" si="1"/>
        <v>4.654586203237511E-2</v>
      </c>
      <c r="L24" s="16">
        <v>4.6500000000000007E-2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1305783227.9100001</v>
      </c>
      <c r="R24" s="15">
        <v>1240494066.51</v>
      </c>
      <c r="S24" s="15">
        <v>1175204905.1199999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1013784505.0700001</v>
      </c>
      <c r="J25" s="15">
        <v>22522271117.93</v>
      </c>
      <c r="K25" s="10">
        <f t="shared" si="1"/>
        <v>4.5012534471398191E-2</v>
      </c>
      <c r="L25" s="16">
        <v>4.4999999999999998E-2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1351336267.0799999</v>
      </c>
      <c r="R25" s="15">
        <v>1283769453.73</v>
      </c>
      <c r="S25" s="15">
        <v>1216202640.3699999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162749274.84</v>
      </c>
      <c r="J26" s="15">
        <v>17616130637.720001</v>
      </c>
      <c r="K26" s="10">
        <f t="shared" si="1"/>
        <v>9.2386505406311017E-3</v>
      </c>
      <c r="L26" s="16">
        <v>9.1999999999999998E-3</v>
      </c>
      <c r="M26" s="9" t="str">
        <f t="shared" si="2"/>
        <v>Sim</v>
      </c>
      <c r="N26" s="16">
        <v>1.0999999999999999E-2</v>
      </c>
      <c r="O26" s="16">
        <v>1.0500000000000001E-2</v>
      </c>
      <c r="P26" s="16">
        <v>9.8999999999999991E-3</v>
      </c>
      <c r="Q26" s="15">
        <v>193777437.00999999</v>
      </c>
      <c r="R26" s="15">
        <v>184088565.16</v>
      </c>
      <c r="S26" s="15">
        <v>174399693.31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165156804.65000001</v>
      </c>
      <c r="J27" s="15">
        <v>18419247219.490002</v>
      </c>
      <c r="K27" s="10">
        <f t="shared" si="1"/>
        <v>8.9665339023867509E-3</v>
      </c>
      <c r="L27" s="16">
        <v>9.0000000000000011E-3</v>
      </c>
      <c r="M27" s="9" t="str">
        <f t="shared" si="2"/>
        <v>Sim</v>
      </c>
      <c r="N27" s="16">
        <v>1.0500000000000001E-2</v>
      </c>
      <c r="O27" s="16">
        <v>0.01</v>
      </c>
      <c r="P27" s="16">
        <v>9.4999999999999998E-3</v>
      </c>
      <c r="Q27" s="15">
        <v>193402095.80000001</v>
      </c>
      <c r="R27" s="15">
        <v>183731991.00999999</v>
      </c>
      <c r="S27" s="15">
        <v>174061886.22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178593690.38</v>
      </c>
      <c r="J28" s="15">
        <v>18892082702.400002</v>
      </c>
      <c r="K28" s="10">
        <f t="shared" si="1"/>
        <v>9.453361664424214E-3</v>
      </c>
      <c r="L28" s="16">
        <v>9.4999999999999998E-3</v>
      </c>
      <c r="M28" s="9" t="str">
        <f t="shared" si="2"/>
        <v>Sim</v>
      </c>
      <c r="N28" s="16">
        <v>1.0500000000000001E-2</v>
      </c>
      <c r="O28" s="16">
        <v>0.01</v>
      </c>
      <c r="P28" s="16">
        <v>9.4999999999999998E-3</v>
      </c>
      <c r="Q28" s="15">
        <v>198366868.38</v>
      </c>
      <c r="R28" s="15">
        <v>188448524.96000001</v>
      </c>
      <c r="S28" s="15">
        <v>178530181.53999999</v>
      </c>
      <c r="T28" s="9" t="str">
        <f t="shared" si="3"/>
        <v>Acima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183087369.41</v>
      </c>
      <c r="J29" s="15">
        <v>19500943720.720001</v>
      </c>
      <c r="K29" s="10">
        <f t="shared" si="1"/>
        <v>9.3886414951019695E-3</v>
      </c>
      <c r="L29" s="16">
        <v>9.3999999999999986E-3</v>
      </c>
      <c r="M29" s="9" t="str">
        <f t="shared" si="2"/>
        <v>Sim</v>
      </c>
      <c r="N29" s="16">
        <v>1.0500000000000001E-2</v>
      </c>
      <c r="O29" s="16">
        <v>0.01</v>
      </c>
      <c r="P29" s="16">
        <v>9.4999999999999998E-3</v>
      </c>
      <c r="Q29" s="15">
        <v>204759909.06999999</v>
      </c>
      <c r="R29" s="15">
        <v>194521913.62</v>
      </c>
      <c r="S29" s="15">
        <v>184283918.16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191692237.53999999</v>
      </c>
      <c r="J30" s="15">
        <v>20286882803.41</v>
      </c>
      <c r="K30" s="10">
        <f t="shared" si="1"/>
        <v>9.4490730487080381E-3</v>
      </c>
      <c r="L30" s="16">
        <v>9.3999999999999986E-3</v>
      </c>
      <c r="M30" s="9" t="str">
        <f t="shared" si="2"/>
        <v>Sim</v>
      </c>
      <c r="N30" s="16">
        <v>1.0500000000000001E-2</v>
      </c>
      <c r="O30" s="16">
        <v>0.01</v>
      </c>
      <c r="P30" s="16">
        <v>9.4999999999999998E-3</v>
      </c>
      <c r="Q30" s="15">
        <v>213012269.44</v>
      </c>
      <c r="R30" s="15">
        <v>202361655.97</v>
      </c>
      <c r="S30" s="15">
        <v>191711042.5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194043271.27000001</v>
      </c>
      <c r="J31" s="15">
        <v>21072805518.549999</v>
      </c>
      <c r="K31" s="10">
        <f t="shared" si="1"/>
        <v>9.208231485797528E-3</v>
      </c>
      <c r="L31" s="16">
        <v>9.1999999999999998E-3</v>
      </c>
      <c r="M31" s="9" t="str">
        <f t="shared" si="2"/>
        <v>Sim</v>
      </c>
      <c r="N31" s="16">
        <v>1.0500000000000001E-2</v>
      </c>
      <c r="O31" s="16">
        <v>0.01</v>
      </c>
      <c r="P31" s="16">
        <v>9.4999999999999998E-3</v>
      </c>
      <c r="Q31" s="15">
        <v>221264457.94</v>
      </c>
      <c r="R31" s="15">
        <v>210201235.03999999</v>
      </c>
      <c r="S31" s="15">
        <v>199138012.15000001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201248604.25999999</v>
      </c>
      <c r="J32" s="15">
        <v>21763053798.540001</v>
      </c>
      <c r="K32" s="10">
        <f t="shared" si="1"/>
        <v>9.2472594206195902E-3</v>
      </c>
      <c r="L32" s="16">
        <v>9.1999999999999998E-3</v>
      </c>
      <c r="M32" s="9" t="str">
        <f t="shared" si="2"/>
        <v>Sim</v>
      </c>
      <c r="N32" s="16">
        <v>1.0500000000000001E-2</v>
      </c>
      <c r="O32" s="16">
        <v>0.01</v>
      </c>
      <c r="P32" s="16">
        <v>9.4999999999999998E-3</v>
      </c>
      <c r="Q32" s="15">
        <v>228512064.88999999</v>
      </c>
      <c r="R32" s="15">
        <v>217086461.65000001</v>
      </c>
      <c r="S32" s="15">
        <v>205660858.40000001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209178267.37</v>
      </c>
      <c r="J33" s="15">
        <v>22522271117.93</v>
      </c>
      <c r="K33" s="10">
        <f t="shared" si="1"/>
        <v>9.2876187430082479E-3</v>
      </c>
      <c r="L33" s="16">
        <v>9.300000000000001E-3</v>
      </c>
      <c r="M33" s="9" t="str">
        <f t="shared" si="2"/>
        <v>Sim</v>
      </c>
      <c r="N33" s="16">
        <v>1.0500000000000001E-2</v>
      </c>
      <c r="O33" s="16">
        <v>0.01</v>
      </c>
      <c r="P33" s="16">
        <v>9.4999999999999998E-3</v>
      </c>
      <c r="Q33" s="15">
        <v>236483846.74000001</v>
      </c>
      <c r="R33" s="15">
        <v>224659654.40000001</v>
      </c>
      <c r="S33" s="15">
        <v>212835462.06999999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129507294.8</v>
      </c>
      <c r="J34" s="15">
        <v>17616130637.720001</v>
      </c>
      <c r="K34" s="10">
        <f t="shared" si="1"/>
        <v>7.3516311534779638E-3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133020862.48</v>
      </c>
      <c r="J35" s="15">
        <v>18419247219.490002</v>
      </c>
      <c r="K35" s="10">
        <f t="shared" si="1"/>
        <v>7.2218403333685821E-3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135921049.21000001</v>
      </c>
      <c r="J36" s="15">
        <v>18892082702.400002</v>
      </c>
      <c r="K36" s="10">
        <f t="shared" si="1"/>
        <v>7.1946037581517124E-3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139363295.56999999</v>
      </c>
      <c r="J37" s="15">
        <v>19500943720.720001</v>
      </c>
      <c r="K37" s="10">
        <f t="shared" si="1"/>
        <v>7.1464898092047065E-3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151301842.44999999</v>
      </c>
      <c r="J38" s="15">
        <v>20286882803.41</v>
      </c>
      <c r="K38" s="10">
        <f t="shared" si="1"/>
        <v>7.4581119197163117E-3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159755177.84999999</v>
      </c>
      <c r="J39" s="15">
        <v>21072805518.549999</v>
      </c>
      <c r="K39" s="10">
        <f t="shared" si="1"/>
        <v>7.581106260833209E-3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173422257.52000001</v>
      </c>
      <c r="J40" s="15">
        <v>21763053798.540001</v>
      </c>
      <c r="K40" s="10">
        <f t="shared" si="1"/>
        <v>7.9686545429407639E-3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181753100.58000001</v>
      </c>
      <c r="J41" s="15">
        <v>22522271117.93</v>
      </c>
      <c r="K41" s="10">
        <f t="shared" si="1"/>
        <v>8.0699277452222044E-3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309813796.75999999</v>
      </c>
      <c r="J42" s="15">
        <v>17616130637.720001</v>
      </c>
      <c r="K42" s="10">
        <f t="shared" si="1"/>
        <v>1.7586937967899754E-2</v>
      </c>
      <c r="L42" s="16">
        <v>1.7600000000000001E-2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352322612.75</v>
      </c>
      <c r="R42" s="15">
        <v>334706482.11000001</v>
      </c>
      <c r="S42" s="15">
        <v>317090351.48000002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319957155.81</v>
      </c>
      <c r="J43" s="15">
        <v>18419247219.490002</v>
      </c>
      <c r="K43" s="10">
        <f t="shared" si="1"/>
        <v>1.7370805223323293E-2</v>
      </c>
      <c r="L43" s="16">
        <v>1.7399999999999999E-2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368384944.38999999</v>
      </c>
      <c r="R43" s="15">
        <v>349965697.17000002</v>
      </c>
      <c r="S43" s="15">
        <v>331546449.94999999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328783735.80000001</v>
      </c>
      <c r="J44" s="15">
        <v>18892082702.400002</v>
      </c>
      <c r="K44" s="10">
        <f t="shared" si="1"/>
        <v>1.7403255161392669E-2</v>
      </c>
      <c r="L44" s="16">
        <v>1.7399999999999999E-2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377841654.05000001</v>
      </c>
      <c r="R44" s="15">
        <v>358949571.35000002</v>
      </c>
      <c r="S44" s="15">
        <v>340057488.64999998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340773784.98000002</v>
      </c>
      <c r="J45" s="15">
        <v>19500943720.720001</v>
      </c>
      <c r="K45" s="10">
        <f t="shared" si="1"/>
        <v>1.7474733010891343E-2</v>
      </c>
      <c r="L45" s="16">
        <v>1.7500000000000002E-2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390018874.41000003</v>
      </c>
      <c r="R45" s="15">
        <v>370517930.69</v>
      </c>
      <c r="S45" s="15">
        <v>351016986.97000003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350759991.38</v>
      </c>
      <c r="J46" s="15">
        <v>20286882803.41</v>
      </c>
      <c r="K46" s="10">
        <f t="shared" si="1"/>
        <v>1.7289989535555512E-2</v>
      </c>
      <c r="L46" s="16">
        <v>1.7299999999999999E-2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405737656.06999999</v>
      </c>
      <c r="R46" s="15">
        <v>385450773.26999998</v>
      </c>
      <c r="S46" s="15">
        <v>365163890.45999998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369550011.05000001</v>
      </c>
      <c r="J47" s="15">
        <v>21072805518.549999</v>
      </c>
      <c r="K47" s="10">
        <f t="shared" si="1"/>
        <v>1.753682065374219E-2</v>
      </c>
      <c r="L47" s="16">
        <v>1.7500000000000002E-2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421456110.37</v>
      </c>
      <c r="R47" s="15">
        <v>400383304.85000002</v>
      </c>
      <c r="S47" s="15">
        <v>379310499.32999998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383709619.63</v>
      </c>
      <c r="J48" s="15">
        <v>21763053798.540001</v>
      </c>
      <c r="K48" s="10">
        <f t="shared" si="1"/>
        <v>1.7631239769105456E-2</v>
      </c>
      <c r="L48" s="16">
        <v>1.7600000000000001E-2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435261075.97000003</v>
      </c>
      <c r="R48" s="15">
        <v>413498022.17000002</v>
      </c>
      <c r="S48" s="15">
        <v>391734968.37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394766631.35000002</v>
      </c>
      <c r="J49" s="15">
        <v>22522271117.93</v>
      </c>
      <c r="K49" s="10">
        <f t="shared" si="1"/>
        <v>1.7527834084002564E-2</v>
      </c>
      <c r="L49" s="16">
        <v>1.7500000000000002E-2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450445422.36000001</v>
      </c>
      <c r="R49" s="15">
        <v>427923151.24000001</v>
      </c>
      <c r="S49" s="15">
        <v>405400880.12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2026-10-15T10:08:07Z</dcterms:created>
  <dcterms:modified xsi:type="dcterms:W3CDTF">2026-10-15T10:08:34Z</dcterms:modified>
</cp:coreProperties>
</file>