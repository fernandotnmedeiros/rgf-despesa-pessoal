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5A83845FD349A9C614C9E272A4C8551F57000B58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E16" i="1"/>
  <c r="D16" i="1"/>
  <c r="C16" i="1"/>
  <c r="E12" i="1"/>
  <c r="D12" i="1"/>
  <c r="C12" i="1"/>
  <c r="E6" i="1"/>
  <c r="D6" i="1"/>
  <c r="C6" i="1"/>
  <c r="M43" i="2" l="1"/>
  <c r="T43" i="2"/>
  <c r="M30" i="2"/>
  <c r="T30" i="2"/>
  <c r="T24" i="2"/>
  <c r="M24" i="2"/>
  <c r="H18" i="1"/>
  <c r="F18" i="1"/>
  <c r="I17" i="1"/>
  <c r="H17" i="1"/>
  <c r="D17" i="1"/>
  <c r="H16" i="1"/>
  <c r="G16" i="1"/>
  <c r="J12" i="1"/>
  <c r="I12" i="1"/>
  <c r="H12" i="1"/>
  <c r="F12" i="1"/>
  <c r="J11" i="1"/>
  <c r="G18" i="1"/>
  <c r="C18" i="1"/>
  <c r="C17" i="1"/>
  <c r="C19" i="1"/>
  <c r="D18" i="1"/>
  <c r="F17" i="1"/>
  <c r="J16" i="1"/>
  <c r="K11" i="1"/>
  <c r="I21" i="1"/>
  <c r="E18" i="1"/>
  <c r="J17" i="1"/>
  <c r="G17" i="1"/>
  <c r="E17" i="1"/>
  <c r="I16" i="1"/>
  <c r="F16" i="1"/>
  <c r="G12" i="1"/>
  <c r="I11" i="1"/>
  <c r="H11" i="1"/>
  <c r="G11" i="1"/>
  <c r="F11" i="1"/>
  <c r="E11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M33" i="2"/>
  <c r="M32" i="2"/>
  <c r="T32" i="2"/>
  <c r="T31" i="2"/>
  <c r="M31" i="2"/>
  <c r="T29" i="2"/>
  <c r="M29" i="2"/>
  <c r="T28" i="2"/>
  <c r="M28" i="2"/>
  <c r="T27" i="2"/>
  <c r="M27" i="2"/>
  <c r="T26" i="2"/>
  <c r="M26" i="2"/>
  <c r="T25" i="2"/>
  <c r="L8" i="1" s="1"/>
  <c r="M25" i="2"/>
  <c r="T23" i="2"/>
  <c r="M23" i="2"/>
  <c r="T22" i="2"/>
  <c r="M22" i="2"/>
  <c r="T21" i="2"/>
  <c r="M21" i="2"/>
  <c r="T20" i="2"/>
  <c r="M20" i="2"/>
  <c r="T19" i="2"/>
  <c r="M19" i="2"/>
  <c r="T18" i="2"/>
  <c r="M18" i="2"/>
  <c r="M17" i="2"/>
  <c r="T17" i="2"/>
  <c r="L7" i="1" s="1"/>
  <c r="M16" i="2"/>
  <c r="T16" i="2"/>
  <c r="T15" i="2"/>
  <c r="M15" i="2"/>
  <c r="M14" i="2"/>
  <c r="T14" i="2"/>
  <c r="M13" i="2"/>
  <c r="T13" i="2"/>
  <c r="T12" i="2"/>
  <c r="M12" i="2"/>
  <c r="T11" i="2"/>
  <c r="M11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M4" i="2"/>
  <c r="T4" i="2"/>
  <c r="M3" i="2"/>
  <c r="T3" i="2"/>
  <c r="F20" i="1"/>
  <c r="H21" i="1"/>
  <c r="E19" i="1"/>
  <c r="G20" i="1"/>
  <c r="I20" i="1"/>
  <c r="C21" i="1"/>
  <c r="D21" i="1"/>
  <c r="E21" i="1"/>
  <c r="J21" i="1"/>
  <c r="F21" i="1"/>
  <c r="I18" i="1"/>
  <c r="G21" i="1"/>
  <c r="J20" i="1"/>
  <c r="H20" i="1"/>
  <c r="D19" i="1"/>
  <c r="K8" i="1"/>
  <c r="F19" i="1"/>
  <c r="J18" i="1"/>
  <c r="J19" i="1"/>
  <c r="I19" i="1"/>
  <c r="H19" i="1"/>
  <c r="G19" i="1"/>
  <c r="I9" i="1"/>
  <c r="G9" i="1"/>
  <c r="H9" i="1"/>
  <c r="F9" i="1"/>
  <c r="E9" i="1"/>
  <c r="D9" i="1"/>
  <c r="C9" i="1"/>
  <c r="T2" i="2"/>
  <c r="M2" i="2"/>
  <c r="H10" i="1"/>
  <c r="D20" i="1"/>
  <c r="F10" i="1"/>
  <c r="E10" i="1"/>
  <c r="D10" i="1"/>
  <c r="C20" i="1"/>
  <c r="L9" i="1"/>
  <c r="K9" i="1"/>
  <c r="J9" i="1"/>
  <c r="E20" i="1"/>
  <c r="D11" i="1"/>
  <c r="C10" i="1"/>
  <c r="C11" i="1"/>
  <c r="L10" i="1"/>
  <c r="K10" i="1"/>
  <c r="J10" i="1"/>
  <c r="I10" i="1"/>
  <c r="G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<sst xmlns="http://schemas.openxmlformats.org/spreadsheetml/2006/main" count="427" uniqueCount="83">
  <si>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Pernambuco (PE)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</si>
  <si>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</si>
  <si>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</si>
  <si>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</si>
  <si>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</si>
  <si>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</si>
  <si>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</si>
  <si>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</si>
  <si>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</si>
  <si>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</si>
  <si>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</si>
  <si>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</si>
  <si>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</si>
  <si>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</si>
  <si>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</si>
  <si>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</si>
  <si>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</si>
  <si>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</si>
  <si>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</si>
  <si>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</si>
  <si>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</si>
  <si>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</si>
  <si>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</si>
  <si>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</si>
  <si>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</si>
  <si>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</si>
  <si>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</si>
  <si>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</si>
  <si>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</si>
  <si>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</si>
  <si>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</si>
  <si>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</si>
  <si>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</si>
  <si>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</si>
  <si>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</si>
  <si>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</si>
  <si>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</si>
  <si>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</si>
  <si>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</si>
  <si>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</si>
  <si>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</si>
  <si>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</si>
  <si>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</si>
  <si>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</si>
  <si>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</si>
  <si>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</si>
  <si>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</si>
  <si>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Pernambuco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</si>
  <si>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</si>
  <si>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</si>
  <si>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</si>
  <si>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</si>
  <si>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</si>
  <si>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</si>
  <si>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</si>
  <si>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</si>
  <si>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</si>
  <si>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</si>
  <si>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</si>
  <si>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</si>
  <si>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Pernambuco</t>
  </si>
  <si>
    <t>Tribunal de Justiça do Estado de Pernambuco</t>
  </si>
  <si>
    <t>Tribunal de Contas do Estado de Pernambuco</t>
  </si>
  <si>
    <t>Defensoria Pública do Estado de Pernambuco</t>
  </si>
  <si>
    <t>Calculado (despesa líquida / RCL Ajustada do Executivo)</t>
  </si>
  <si>
    <t>Ministério Público do Estado de Pernambuco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</si>
  <si>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</si>
  <si>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</si>
  <si>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</si>
  <si>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</si>
  <si>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Pernambuco (PE).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</si>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</sst>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0.41030812518742943</v>
      </c>
      <c r="D6" s="7">
        <f>IFERROR(IF(INDEX(Dados!$K$2:$K$49,MATCH($A6&amp;"|"&amp;D$5,Dados!$A$2:$A$49,0))="","",INDEX(Dados!$K$2:$K$49,MATCH($A6&amp;"|"&amp;D$5,Dados!$A$2:$A$49,0))),"")</f>
        <v>0.40849515567147998</v>
      </c>
      <c r="E6" s="7">
        <f>IFERROR(IF(INDEX(Dados!$K$2:$K$49,MATCH($A6&amp;"|"&amp;E$5,Dados!$A$2:$A$49,0))="","",INDEX(Dados!$K$2:$K$49,MATCH($A6&amp;"|"&amp;E$5,Dados!$A$2:$A$49,0))),"")</f>
        <v>0.40547950499691215</v>
      </c>
      <c r="F6" s="7">
        <f>IFERROR(IF(INDEX(Dados!$K$2:$K$49,MATCH($A6&amp;"|"&amp;F$5,Dados!$A$2:$A$49,0))="","",INDEX(Dados!$K$2:$K$49,MATCH($A6&amp;"|"&amp;F$5,Dados!$A$2:$A$49,0))),"")</f>
        <v>0.42516785022130038</v>
      </c>
      <c r="G6" s="7">
        <f>IFERROR(IF(INDEX(Dados!$K$2:$K$49,MATCH($A6&amp;"|"&amp;G$5,Dados!$A$2:$A$49,0))="","",INDEX(Dados!$K$2:$K$49,MATCH($A6&amp;"|"&amp;G$5,Dados!$A$2:$A$49,0))),"")</f>
        <v>0.42648917042381562</v>
      </c>
      <c r="H6" s="7">
        <f>IFERROR(IF(INDEX(Dados!$K$2:$K$49,MATCH($A6&amp;"|"&amp;H$5,Dados!$A$2:$A$49,0))="","",INDEX(Dados!$K$2:$K$49,MATCH($A6&amp;"|"&amp;H$5,Dados!$A$2:$A$49,0))),"")</f>
        <v>0.41312183459982749</v>
      </c>
      <c r="I6" s="7">
        <f>IFERROR(IF(INDEX(Dados!$K$2:$K$49,MATCH($A6&amp;"|"&amp;I$5,Dados!$A$2:$A$49,0))="","",INDEX(Dados!$K$2:$K$49,MATCH($A6&amp;"|"&amp;I$5,Dados!$A$2:$A$49,0))),"")</f>
        <v>0.40292690912619417</v>
      </c>
      <c r="J6" s="7">
        <f>IFERROR(IF(INDEX(Dados!$K$2:$K$49,MATCH($A6&amp;"|"&amp;J$5,Dados!$A$2:$A$49,0))="","",INDEX(Dados!$K$2:$K$49,MATCH($A6&amp;"|"&amp;J$5,Dados!$A$2:$A$49,0))),"")</f>
        <v>0.41100465792310614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1.21744697615335E-2</v>
      </c>
      <c r="D7" s="10">
        <f>IFERROR(IF(INDEX(Dados!$K$2:$K$49,MATCH($A7&amp;"|"&amp;D$5,Dados!$A$2:$A$49,0))="","",INDEX(Dados!$K$2:$K$49,MATCH($A7&amp;"|"&amp;D$5,Dados!$A$2:$A$49,0))),"")</f>
        <v>1.2339210858301992E-2</v>
      </c>
      <c r="E7" s="10">
        <f>IFERROR(IF(INDEX(Dados!$K$2:$K$49,MATCH($A7&amp;"|"&amp;E$5,Dados!$A$2:$A$49,0))="","",INDEX(Dados!$K$2:$K$49,MATCH($A7&amp;"|"&amp;E$5,Dados!$A$2:$A$49,0))),"")</f>
        <v>1.2156497976868318E-2</v>
      </c>
      <c r="F7" s="10">
        <f>IFERROR(IF(INDEX(Dados!$K$2:$K$49,MATCH($A7&amp;"|"&amp;F$5,Dados!$A$2:$A$49,0))="","",INDEX(Dados!$K$2:$K$49,MATCH($A7&amp;"|"&amp;F$5,Dados!$A$2:$A$49,0))),"")</f>
        <v>1.267880536765755E-2</v>
      </c>
      <c r="G7" s="10">
        <f>IFERROR(IF(INDEX(Dados!$K$2:$K$49,MATCH($A7&amp;"|"&amp;G$5,Dados!$A$2:$A$49,0))="","",INDEX(Dados!$K$2:$K$49,MATCH($A7&amp;"|"&amp;G$5,Dados!$A$2:$A$49,0))),"")</f>
        <v>1.2530242516086188E-2</v>
      </c>
      <c r="H7" s="10">
        <f>IFERROR(IF(INDEX(Dados!$K$2:$K$49,MATCH($A7&amp;"|"&amp;H$5,Dados!$A$2:$A$49,0))="","",INDEX(Dados!$K$2:$K$49,MATCH($A7&amp;"|"&amp;H$5,Dados!$A$2:$A$49,0))),"")</f>
        <v>1.1909406268520049E-2</v>
      </c>
      <c r="I7" s="10">
        <f>IFERROR(IF(INDEX(Dados!$K$2:$K$49,MATCH($A7&amp;"|"&amp;I$5,Dados!$A$2:$A$49,0))="","",INDEX(Dados!$K$2:$K$49,MATCH($A7&amp;"|"&amp;I$5,Dados!$A$2:$A$49,0))),"")</f>
        <v>1.1456146734282011E-2</v>
      </c>
      <c r="J7" s="10">
        <f>IFERROR(IF(INDEX(Dados!$K$2:$K$49,MATCH($A7&amp;"|"&amp;J$5,Dados!$A$2:$A$49,0))="","",INDEX(Dados!$K$2:$K$49,MATCH($A7&amp;"|"&amp;J$5,Dados!$A$2:$A$49,0))),"")</f>
        <v>1.1336554160665603E-2</v>
      </c>
      <c r="K7" s="10">
        <f>IFERROR(IF(INDEX(Dados!$N$2:$N$49,MATCH($A7&amp;"|"&amp;J$5,Dados!$A$2:$A$49,0))=0,"—",INDEX(Dados!$N$2:$N$49,MATCH($A7&amp;"|"&amp;J$5,Dados!$A$2:$A$49,0))),"—")</f>
        <v>1.6E-2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4.5501509482562194E-2</v>
      </c>
      <c r="D8" s="10">
        <f>IFERROR(IF(INDEX(Dados!$K$2:$K$49,MATCH($A8&amp;"|"&amp;D$5,Dados!$A$2:$A$49,0))="","",INDEX(Dados!$K$2:$K$49,MATCH($A8&amp;"|"&amp;D$5,Dados!$A$2:$A$49,0))),"")</f>
        <v>4.6952082768786631E-2</v>
      </c>
      <c r="E8" s="10">
        <f>IFERROR(IF(INDEX(Dados!$K$2:$K$49,MATCH($A8&amp;"|"&amp;E$5,Dados!$A$2:$A$49,0))="","",INDEX(Dados!$K$2:$K$49,MATCH($A8&amp;"|"&amp;E$5,Dados!$A$2:$A$49,0))),"")</f>
        <v>4.5150648588626156E-2</v>
      </c>
      <c r="F8" s="10">
        <f>IFERROR(IF(INDEX(Dados!$K$2:$K$49,MATCH($A8&amp;"|"&amp;F$5,Dados!$A$2:$A$49,0))="","",INDEX(Dados!$K$2:$K$49,MATCH($A8&amp;"|"&amp;F$5,Dados!$A$2:$A$49,0))),"")</f>
        <v>4.8681537013857634E-2</v>
      </c>
      <c r="G8" s="10">
        <f>IFERROR(IF(INDEX(Dados!$K$2:$K$49,MATCH($A8&amp;"|"&amp;G$5,Dados!$A$2:$A$49,0))="","",INDEX(Dados!$K$2:$K$49,MATCH($A8&amp;"|"&amp;G$5,Dados!$A$2:$A$49,0))),"")</f>
        <v>4.9948283735003485E-2</v>
      </c>
      <c r="H8" s="10">
        <f>IFERROR(IF(INDEX(Dados!$K$2:$K$49,MATCH($A8&amp;"|"&amp;H$5,Dados!$A$2:$A$49,0))="","",INDEX(Dados!$K$2:$K$49,MATCH($A8&amp;"|"&amp;H$5,Dados!$A$2:$A$49,0))),"")</f>
        <v>4.5089763357339982E-2</v>
      </c>
      <c r="I8" s="10">
        <f>IFERROR(IF(INDEX(Dados!$K$2:$K$49,MATCH($A8&amp;"|"&amp;I$5,Dados!$A$2:$A$49,0))="","",INDEX(Dados!$K$2:$K$49,MATCH($A8&amp;"|"&amp;I$5,Dados!$A$2:$A$49,0))),"")</f>
        <v>4.5378931586653404E-2</v>
      </c>
      <c r="J8" s="10">
        <f>IFERROR(IF(INDEX(Dados!$K$2:$K$49,MATCH($A8&amp;"|"&amp;J$5,Dados!$A$2:$A$49,0))="","",INDEX(Dados!$K$2:$K$49,MATCH($A8&amp;"|"&amp;J$5,Dados!$A$2:$A$49,0))),"")</f>
        <v>4.5696316984794989E-2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1.0095067990218616E-2</v>
      </c>
      <c r="D9" s="10">
        <f>IFERROR(IF(INDEX(Dados!$K$2:$K$49,MATCH($A9&amp;"|"&amp;D$5,Dados!$A$2:$A$49,0))="","",INDEX(Dados!$K$2:$K$49,MATCH($A9&amp;"|"&amp;D$5,Dados!$A$2:$A$49,0))),"")</f>
        <v>1.0202712757388308E-2</v>
      </c>
      <c r="E9" s="10">
        <f>IFERROR(IF(INDEX(Dados!$K$2:$K$49,MATCH($A9&amp;"|"&amp;E$5,Dados!$A$2:$A$49,0))="","",INDEX(Dados!$K$2:$K$49,MATCH($A9&amp;"|"&amp;E$5,Dados!$A$2:$A$49,0))),"")</f>
        <v>1.009312275255338E-2</v>
      </c>
      <c r="F9" s="10">
        <f>IFERROR(IF(INDEX(Dados!$K$2:$K$49,MATCH($A9&amp;"|"&amp;F$5,Dados!$A$2:$A$49,0))="","",INDEX(Dados!$K$2:$K$49,MATCH($A9&amp;"|"&amp;F$5,Dados!$A$2:$A$49,0))),"")</f>
        <v>1.0544615482430316E-2</v>
      </c>
      <c r="G9" s="10">
        <f>IFERROR(IF(INDEX(Dados!$K$2:$K$49,MATCH($A9&amp;"|"&amp;G$5,Dados!$A$2:$A$49,0))="","",INDEX(Dados!$K$2:$K$49,MATCH($A9&amp;"|"&amp;G$5,Dados!$A$2:$A$49,0))),"")</f>
        <v>1.0504541411850234E-2</v>
      </c>
      <c r="H9" s="10">
        <f>IFERROR(IF(INDEX(Dados!$K$2:$K$49,MATCH($A9&amp;"|"&amp;H$5,Dados!$A$2:$A$49,0))="","",INDEX(Dados!$K$2:$K$49,MATCH($A9&amp;"|"&amp;H$5,Dados!$A$2:$A$49,0))),"")</f>
        <v>9.999544060245804E-3</v>
      </c>
      <c r="I9" s="10">
        <f>IFERROR(IF(INDEX(Dados!$K$2:$K$49,MATCH($A9&amp;"|"&amp;I$5,Dados!$A$2:$A$49,0))="","",INDEX(Dados!$K$2:$K$49,MATCH($A9&amp;"|"&amp;I$5,Dados!$A$2:$A$49,0))),"")</f>
        <v>9.8228998524924494E-3</v>
      </c>
      <c r="J9" s="10">
        <f>IFERROR(IF(INDEX(Dados!$K$2:$K$49,MATCH($A9&amp;"|"&amp;J$5,Dados!$A$2:$A$49,0))="","",INDEX(Dados!$K$2:$K$49,MATCH($A9&amp;"|"&amp;J$5,Dados!$A$2:$A$49,0))),"")</f>
        <v>9.9288000616503808E-3</v>
      </c>
      <c r="K9" s="10">
        <f>IFERROR(IF(INDEX(Dados!$N$2:$N$49,MATCH($A9&amp;"|"&amp;J$5,Dados!$A$2:$A$49,0))=0,"—",INDEX(Dados!$N$2:$N$49,MATCH($A9&amp;"|"&amp;J$5,Dados!$A$2:$A$49,0))),"—")</f>
        <v>1.4E-2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5.0833866337577811E-3</v>
      </c>
      <c r="D10" s="10">
        <f>IFERROR(IF(INDEX(Dados!$K$2:$K$49,MATCH($A10&amp;"|"&amp;D$5,Dados!$A$2:$A$49,0))="","",INDEX(Dados!$K$2:$K$49,MATCH($A10&amp;"|"&amp;D$5,Dados!$A$2:$A$49,0))),"")</f>
        <v>5.2143992946177423E-3</v>
      </c>
      <c r="E10" s="10">
        <f>IFERROR(IF(INDEX(Dados!$K$2:$K$49,MATCH($A10&amp;"|"&amp;E$5,Dados!$A$2:$A$49,0))="","",INDEX(Dados!$K$2:$K$49,MATCH($A10&amp;"|"&amp;E$5,Dados!$A$2:$A$49,0))),"")</f>
        <v>5.3593249579520184E-3</v>
      </c>
      <c r="F10" s="10">
        <f>IFERROR(IF(INDEX(Dados!$K$2:$K$49,MATCH($A10&amp;"|"&amp;F$5,Dados!$A$2:$A$49,0))="","",INDEX(Dados!$K$2:$K$49,MATCH($A10&amp;"|"&amp;F$5,Dados!$A$2:$A$49,0))),"")</f>
        <v>5.6973369548691836E-3</v>
      </c>
      <c r="G10" s="10">
        <f>IFERROR(IF(INDEX(Dados!$K$2:$K$49,MATCH($A10&amp;"|"&amp;G$5,Dados!$A$2:$A$49,0))="","",INDEX(Dados!$K$2:$K$49,MATCH($A10&amp;"|"&amp;G$5,Dados!$A$2:$A$49,0))),"")</f>
        <v>5.8337931960172167E-3</v>
      </c>
      <c r="H10" s="10">
        <f>IFERROR(IF(INDEX(Dados!$K$2:$K$49,MATCH($A10&amp;"|"&amp;H$5,Dados!$A$2:$A$49,0))="","",INDEX(Dados!$K$2:$K$49,MATCH($A10&amp;"|"&amp;H$5,Dados!$A$2:$A$49,0))),"")</f>
        <v>5.8116224890997128E-3</v>
      </c>
      <c r="I10" s="10">
        <f>IFERROR(IF(INDEX(Dados!$K$2:$K$49,MATCH($A10&amp;"|"&amp;I$5,Dados!$A$2:$A$49,0))="","",INDEX(Dados!$K$2:$K$49,MATCH($A10&amp;"|"&amp;I$5,Dados!$A$2:$A$49,0))),"")</f>
        <v>5.7428550347391055E-3</v>
      </c>
      <c r="J10" s="10">
        <f>IFERROR(IF(INDEX(Dados!$K$2:$K$49,MATCH($A10&amp;"|"&amp;J$5,Dados!$A$2:$A$49,0))="","",INDEX(Dados!$K$2:$K$49,MATCH($A10&amp;"|"&amp;J$5,Dados!$A$2:$A$49,0))),"")</f>
        <v>5.8672152134960727E-3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1.3864234330583463E-2</v>
      </c>
      <c r="D11" s="10">
        <f>IFERROR(IF(INDEX(Dados!$K$2:$K$49,MATCH($A11&amp;"|"&amp;D$5,Dados!$A$2:$A$49,0))="","",INDEX(Dados!$K$2:$K$49,MATCH($A11&amp;"|"&amp;D$5,Dados!$A$2:$A$49,0))),"")</f>
        <v>1.4321216477778863E-2</v>
      </c>
      <c r="E11" s="10">
        <f>IFERROR(IF(INDEX(Dados!$K$2:$K$49,MATCH($A11&amp;"|"&amp;E$5,Dados!$A$2:$A$49,0))="","",INDEX(Dados!$K$2:$K$49,MATCH($A11&amp;"|"&amp;E$5,Dados!$A$2:$A$49,0))),"")</f>
        <v>1.4887324816368409E-2</v>
      </c>
      <c r="F11" s="10">
        <f>IFERROR(IF(INDEX(Dados!$K$2:$K$49,MATCH($A11&amp;"|"&amp;F$5,Dados!$A$2:$A$49,0))="","",INDEX(Dados!$K$2:$K$49,MATCH($A11&amp;"|"&amp;F$5,Dados!$A$2:$A$49,0))),"")</f>
        <v>1.6154262794332672E-2</v>
      </c>
      <c r="G11" s="10">
        <f>IFERROR(IF(INDEX(Dados!$K$2:$K$49,MATCH($A11&amp;"|"&amp;G$5,Dados!$A$2:$A$49,0))="","",INDEX(Dados!$K$2:$K$49,MATCH($A11&amp;"|"&amp;G$5,Dados!$A$2:$A$49,0))),"")</f>
        <v>1.6615926671669046E-2</v>
      </c>
      <c r="H11" s="10">
        <f>IFERROR(IF(INDEX(Dados!$K$2:$K$49,MATCH($A11&amp;"|"&amp;H$5,Dados!$A$2:$A$49,0))="","",INDEX(Dados!$K$2:$K$49,MATCH($A11&amp;"|"&amp;H$5,Dados!$A$2:$A$49,0))),"")</f>
        <v>1.489862065391361E-2</v>
      </c>
      <c r="I11" s="10">
        <f>IFERROR(IF(INDEX(Dados!$K$2:$K$49,MATCH($A11&amp;"|"&amp;I$5,Dados!$A$2:$A$49,0))="","",INDEX(Dados!$K$2:$K$49,MATCH($A11&amp;"|"&amp;I$5,Dados!$A$2:$A$49,0))),"")</f>
        <v>1.5165742526987172E-2</v>
      </c>
      <c r="J11" s="10">
        <f>IFERROR(IF(INDEX(Dados!$K$2:$K$49,MATCH($A11&amp;"|"&amp;J$5,Dados!$A$2:$A$49,0))="","",INDEX(Dados!$K$2:$K$49,MATCH($A11&amp;"|"&amp;J$5,Dados!$A$2:$A$49,0))),"")</f>
        <v>1.5389615600282569E-2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41519.557028850002</v>
      </c>
      <c r="D12" s="12">
        <f>IFERROR(INDEX(Dados!$J$2:$J$49,MATCH("Governo|"&amp;D$5,Dados!$A$2:$A$49,0))/1000000,"")</f>
        <v>42451.976232139998</v>
      </c>
      <c r="E12" s="12">
        <f>IFERROR(INDEX(Dados!$J$2:$J$49,MATCH("Governo|"&amp;E$5,Dados!$A$2:$A$49,0))/1000000,"")</f>
        <v>43773.481815449995</v>
      </c>
      <c r="F12" s="12">
        <f>IFERROR(INDEX(Dados!$J$2:$J$49,MATCH("Governo|"&amp;F$5,Dados!$A$2:$A$49,0))/1000000,"")</f>
        <v>43035.675848599996</v>
      </c>
      <c r="G12" s="12">
        <f>IFERROR(INDEX(Dados!$J$2:$J$49,MATCH("Governo|"&amp;G$5,Dados!$A$2:$A$49,0))/1000000,"")</f>
        <v>44026.463698669999</v>
      </c>
      <c r="H12" s="12">
        <f>IFERROR(INDEX(Dados!$J$2:$J$49,MATCH("Governo|"&amp;H$5,Dados!$A$2:$A$49,0))/1000000,"")</f>
        <v>47140.952729440003</v>
      </c>
      <c r="I12" s="12">
        <f>IFERROR(INDEX(Dados!$J$2:$J$49,MATCH("Governo|"&amp;I$5,Dados!$A$2:$A$49,0))/1000000,"")</f>
        <v>49705.858633600001</v>
      </c>
      <c r="J12" s="12">
        <f>IFERROR(INDEX(Dados!$J$2:$J$49,MATCH("Governo|"&amp;J$5,Dados!$A$2:$A$49,0))/1000000,"")</f>
        <v>50807.307675420001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17035.811603120001</v>
      </c>
      <c r="D16" s="13">
        <f>IFERROR(IF(INDEX(Dados!$I$2:$I$49,MATCH($A16&amp;"|"&amp;D$15,Dados!$A$2:$A$49,0))="","",INDEX(Dados!$I$2:$I$49,MATCH($A16&amp;"|"&amp;D$15,Dados!$A$2:$A$49,0))/1000000),"")</f>
        <v>17341.426639509998</v>
      </c>
      <c r="E16" s="13">
        <f>IFERROR(IF(INDEX(Dados!$I$2:$I$49,MATCH($A16&amp;"|"&amp;E$15,Dados!$A$2:$A$49,0))="","",INDEX(Dados!$I$2:$I$49,MATCH($A16&amp;"|"&amp;E$15,Dados!$A$2:$A$49,0))/1000000),"")</f>
        <v>17749.24973852</v>
      </c>
      <c r="F16" s="13">
        <f>IFERROR(IF(INDEX(Dados!$I$2:$I$49,MATCH($A16&amp;"|"&amp;F$15,Dados!$A$2:$A$49,0))="","",INDEX(Dados!$I$2:$I$49,MATCH($A16&amp;"|"&amp;F$15,Dados!$A$2:$A$49,0))/1000000),"")</f>
        <v>18297.385783369999</v>
      </c>
      <c r="G16" s="13">
        <f>IFERROR(IF(INDEX(Dados!$I$2:$I$49,MATCH($A16&amp;"|"&amp;G$15,Dados!$A$2:$A$49,0))="","",INDEX(Dados!$I$2:$I$49,MATCH($A16&amp;"|"&amp;G$15,Dados!$A$2:$A$49,0))/1000000),"")</f>
        <v>18776.809979540001</v>
      </c>
      <c r="H16" s="13">
        <f>IFERROR(IF(INDEX(Dados!$I$2:$I$49,MATCH($A16&amp;"|"&amp;H$15,Dados!$A$2:$A$49,0))="","",INDEX(Dados!$I$2:$I$49,MATCH($A16&amp;"|"&amp;H$15,Dados!$A$2:$A$49,0))/1000000),"")</f>
        <v>19474.956876369997</v>
      </c>
      <c r="I16" s="13">
        <f>IFERROR(IF(INDEX(Dados!$I$2:$I$49,MATCH($A16&amp;"|"&amp;I$15,Dados!$A$2:$A$49,0))="","",INDEX(Dados!$I$2:$I$49,MATCH($A16&amp;"|"&amp;I$15,Dados!$A$2:$A$49,0))/1000000),"")</f>
        <v>20027.827984700001</v>
      </c>
      <c r="J16" s="13">
        <f>IFERROR(IF(INDEX(Dados!$I$2:$I$49,MATCH($A16&amp;"|"&amp;J$15,Dados!$A$2:$A$49,0))="","",INDEX(Dados!$I$2:$I$49,MATCH($A16&amp;"|"&amp;J$15,Dados!$A$2:$A$49,0))/1000000),"")</f>
        <v>20882.040111130002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505.47859155999998</v>
      </c>
      <c r="D17" s="14">
        <f>IFERROR(IF(INDEX(Dados!$I$2:$I$49,MATCH($A17&amp;"|"&amp;D$15,Dados!$A$2:$A$49,0))="","",INDEX(Dados!$I$2:$I$49,MATCH($A17&amp;"|"&amp;D$15,Dados!$A$2:$A$49,0))/1000000),"")</f>
        <v>523.82388607999997</v>
      </c>
      <c r="E17" s="14">
        <f>IFERROR(IF(INDEX(Dados!$I$2:$I$49,MATCH($A17&amp;"|"&amp;E$15,Dados!$A$2:$A$49,0))="","",INDEX(Dados!$I$2:$I$49,MATCH($A17&amp;"|"&amp;E$15,Dados!$A$2:$A$49,0))/1000000),"")</f>
        <v>532.13224313000001</v>
      </c>
      <c r="F17" s="14">
        <f>IFERROR(IF(INDEX(Dados!$I$2:$I$49,MATCH($A17&amp;"|"&amp;F$15,Dados!$A$2:$A$49,0))="","",INDEX(Dados!$I$2:$I$49,MATCH($A17&amp;"|"&amp;F$15,Dados!$A$2:$A$49,0))/1000000),"")</f>
        <v>545.64095795000003</v>
      </c>
      <c r="G17" s="14">
        <f>IFERROR(IF(INDEX(Dados!$I$2:$I$49,MATCH($A17&amp;"|"&amp;G$15,Dados!$A$2:$A$49,0))="","",INDEX(Dados!$I$2:$I$49,MATCH($A17&amp;"|"&amp;G$15,Dados!$A$2:$A$49,0))/1000000),"")</f>
        <v>551.66226727000003</v>
      </c>
      <c r="H17" s="14">
        <f>IFERROR(IF(INDEX(Dados!$I$2:$I$49,MATCH($A17&amp;"|"&amp;H$15,Dados!$A$2:$A$49,0))="","",INDEX(Dados!$I$2:$I$49,MATCH($A17&amp;"|"&amp;H$15,Dados!$A$2:$A$49,0))/1000000),"")</f>
        <v>561.42075794000004</v>
      </c>
      <c r="I17" s="14">
        <f>IFERROR(IF(INDEX(Dados!$I$2:$I$49,MATCH($A17&amp;"|"&amp;I$15,Dados!$A$2:$A$49,0))="","",INDEX(Dados!$I$2:$I$49,MATCH($A17&amp;"|"&amp;I$15,Dados!$A$2:$A$49,0))/1000000),"")</f>
        <v>569.43761006</v>
      </c>
      <c r="J17" s="14">
        <f>IFERROR(IF(INDEX(Dados!$I$2:$I$49,MATCH($A17&amp;"|"&amp;J$15,Dados!$A$2:$A$49,0))="","",INDEX(Dados!$I$2:$I$49,MATCH($A17&amp;"|"&amp;J$15,Dados!$A$2:$A$49,0))/1000000),"")</f>
        <v>575.97979522000003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1889.2025178599999</v>
      </c>
      <c r="D18" s="14">
        <f>IFERROR(IF(INDEX(Dados!$I$2:$I$49,MATCH($A18&amp;"|"&amp;D$15,Dados!$A$2:$A$49,0))="","",INDEX(Dados!$I$2:$I$49,MATCH($A18&amp;"|"&amp;D$15,Dados!$A$2:$A$49,0))/1000000),"")</f>
        <v>1993.20870175</v>
      </c>
      <c r="E18" s="14">
        <f>IFERROR(IF(INDEX(Dados!$I$2:$I$49,MATCH($A18&amp;"|"&amp;E$15,Dados!$A$2:$A$49,0))="","",INDEX(Dados!$I$2:$I$49,MATCH($A18&amp;"|"&amp;E$15,Dados!$A$2:$A$49,0))/1000000),"")</f>
        <v>1976.40109495</v>
      </c>
      <c r="F18" s="14">
        <f>IFERROR(IF(INDEX(Dados!$I$2:$I$49,MATCH($A18&amp;"|"&amp;F$15,Dados!$A$2:$A$49,0))="","",INDEX(Dados!$I$2:$I$49,MATCH($A18&amp;"|"&amp;F$15,Dados!$A$2:$A$49,0))/1000000),"")</f>
        <v>2095.0428467400002</v>
      </c>
      <c r="G18" s="14">
        <f>IFERROR(IF(INDEX(Dados!$I$2:$I$49,MATCH($A18&amp;"|"&amp;G$15,Dados!$A$2:$A$49,0))="","",INDEX(Dados!$I$2:$I$49,MATCH($A18&amp;"|"&amp;G$15,Dados!$A$2:$A$49,0))/1000000),"")</f>
        <v>2199.0463006700002</v>
      </c>
      <c r="H18" s="14">
        <f>IFERROR(IF(INDEX(Dados!$I$2:$I$49,MATCH($A18&amp;"|"&amp;H$15,Dados!$A$2:$A$49,0))="","",INDEX(Dados!$I$2:$I$49,MATCH($A18&amp;"|"&amp;H$15,Dados!$A$2:$A$49,0))/1000000),"")</f>
        <v>2125.57440301</v>
      </c>
      <c r="I18" s="14">
        <f>IFERROR(IF(INDEX(Dados!$I$2:$I$49,MATCH($A18&amp;"|"&amp;I$15,Dados!$A$2:$A$49,0))="","",INDEX(Dados!$I$2:$I$49,MATCH($A18&amp;"|"&amp;I$15,Dados!$A$2:$A$49,0))/1000000),"")</f>
        <v>2255.5987583900001</v>
      </c>
      <c r="J18" s="14">
        <f>IFERROR(IF(INDEX(Dados!$I$2:$I$49,MATCH($A18&amp;"|"&amp;J$15,Dados!$A$2:$A$49,0))="","",INDEX(Dados!$I$2:$I$49,MATCH($A18&amp;"|"&amp;J$15,Dados!$A$2:$A$49,0))/1000000),"")</f>
        <v>2321.7068366799999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419.14275113000002</v>
      </c>
      <c r="D19" s="14">
        <f>IFERROR(IF(INDEX(Dados!$I$2:$I$49,MATCH($A19&amp;"|"&amp;D$15,Dados!$A$2:$A$49,0))="","",INDEX(Dados!$I$2:$I$49,MATCH($A19&amp;"|"&amp;D$15,Dados!$A$2:$A$49,0))/1000000),"")</f>
        <v>433.12531948000003</v>
      </c>
      <c r="E19" s="14">
        <f>IFERROR(IF(INDEX(Dados!$I$2:$I$49,MATCH($A19&amp;"|"&amp;E$15,Dados!$A$2:$A$49,0))="","",INDEX(Dados!$I$2:$I$49,MATCH($A19&amp;"|"&amp;E$15,Dados!$A$2:$A$49,0))/1000000),"")</f>
        <v>441.81112526999999</v>
      </c>
      <c r="F19" s="14">
        <f>IFERROR(IF(INDEX(Dados!$I$2:$I$49,MATCH($A19&amp;"|"&amp;F$15,Dados!$A$2:$A$49,0))="","",INDEX(Dados!$I$2:$I$49,MATCH($A19&amp;"|"&amp;F$15,Dados!$A$2:$A$49,0))/1000000),"")</f>
        <v>453.79465385000003</v>
      </c>
      <c r="G19" s="14">
        <f>IFERROR(IF(INDEX(Dados!$I$2:$I$49,MATCH($A19&amp;"|"&amp;G$15,Dados!$A$2:$A$49,0))="","",INDEX(Dados!$I$2:$I$49,MATCH($A19&amp;"|"&amp;G$15,Dados!$A$2:$A$49,0))/1000000),"")</f>
        <v>462.47781113999997</v>
      </c>
      <c r="H19" s="14">
        <f>IFERROR(IF(INDEX(Dados!$I$2:$I$49,MATCH($A19&amp;"|"&amp;H$15,Dados!$A$2:$A$49,0))="","",INDEX(Dados!$I$2:$I$49,MATCH($A19&amp;"|"&amp;H$15,Dados!$A$2:$A$49,0))/1000000),"")</f>
        <v>471.38803386000001</v>
      </c>
      <c r="I19" s="14">
        <f>IFERROR(IF(INDEX(Dados!$I$2:$I$49,MATCH($A19&amp;"|"&amp;I$15,Dados!$A$2:$A$49,0))="","",INDEX(Dados!$I$2:$I$49,MATCH($A19&amp;"|"&amp;I$15,Dados!$A$2:$A$49,0))/1000000),"")</f>
        <v>488.25567144000001</v>
      </c>
      <c r="J19" s="14">
        <f>IFERROR(IF(INDEX(Dados!$I$2:$I$49,MATCH($A19&amp;"|"&amp;J$15,Dados!$A$2:$A$49,0))="","",INDEX(Dados!$I$2:$I$49,MATCH($A19&amp;"|"&amp;J$15,Dados!$A$2:$A$49,0))/1000000),"")</f>
        <v>504.45559957999996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211.05996124000001</v>
      </c>
      <c r="D20" s="14">
        <f>IFERROR(IF(INDEX(Dados!$I$2:$I$49,MATCH($A20&amp;"|"&amp;D$15,Dados!$A$2:$A$49,0))="","",INDEX(Dados!$I$2:$I$49,MATCH($A20&amp;"|"&amp;D$15,Dados!$A$2:$A$49,0))/1000000),"")</f>
        <v>221.36155491999997</v>
      </c>
      <c r="E20" s="14">
        <f>IFERROR(IF(INDEX(Dados!$I$2:$I$49,MATCH($A20&amp;"|"&amp;E$15,Dados!$A$2:$A$49,0))="","",INDEX(Dados!$I$2:$I$49,MATCH($A20&amp;"|"&amp;E$15,Dados!$A$2:$A$49,0))/1000000),"")</f>
        <v>234.59631358999999</v>
      </c>
      <c r="F20" s="14">
        <f>IFERROR(IF(INDEX(Dados!$I$2:$I$49,MATCH($A20&amp;"|"&amp;F$15,Dados!$A$2:$A$49,0))="","",INDEX(Dados!$I$2:$I$49,MATCH($A20&amp;"|"&amp;F$15,Dados!$A$2:$A$49,0))/1000000),"")</f>
        <v>245.18874638999998</v>
      </c>
      <c r="G20" s="14">
        <f>IFERROR(IF(INDEX(Dados!$I$2:$I$49,MATCH($A20&amp;"|"&amp;G$15,Dados!$A$2:$A$49,0))="","",INDEX(Dados!$I$2:$I$49,MATCH($A20&amp;"|"&amp;G$15,Dados!$A$2:$A$49,0))/1000000),"")</f>
        <v>256.84128436999998</v>
      </c>
      <c r="H20" s="14">
        <f>IFERROR(IF(INDEX(Dados!$I$2:$I$49,MATCH($A20&amp;"|"&amp;H$15,Dados!$A$2:$A$49,0))="","",INDEX(Dados!$I$2:$I$49,MATCH($A20&amp;"|"&amp;H$15,Dados!$A$2:$A$49,0))/1000000),"")</f>
        <v>273.96542104000002</v>
      </c>
      <c r="I20" s="14">
        <f>IFERROR(IF(INDEX(Dados!$I$2:$I$49,MATCH($A20&amp;"|"&amp;I$15,Dados!$A$2:$A$49,0))="","",INDEX(Dados!$I$2:$I$49,MATCH($A20&amp;"|"&amp;I$15,Dados!$A$2:$A$49,0))/1000000),"")</f>
        <v>285.45354050999998</v>
      </c>
      <c r="J20" s="14">
        <f>IFERROR(IF(INDEX(Dados!$I$2:$I$49,MATCH($A20&amp;"|"&amp;J$15,Dados!$A$2:$A$49,0))="","",INDEX(Dados!$I$2:$I$49,MATCH($A20&amp;"|"&amp;J$15,Dados!$A$2:$A$49,0))/1000000),"")</f>
        <v>298.09740855000001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575.63686795000001</v>
      </c>
      <c r="D21" s="14">
        <f>IFERROR(IF(INDEX(Dados!$I$2:$I$49,MATCH($A21&amp;"|"&amp;D$15,Dados!$A$2:$A$49,0))="","",INDEX(Dados!$I$2:$I$49,MATCH($A21&amp;"|"&amp;D$15,Dados!$A$2:$A$49,0))/1000000),"")</f>
        <v>607.96394152999994</v>
      </c>
      <c r="E21" s="14">
        <f>IFERROR(IF(INDEX(Dados!$I$2:$I$49,MATCH($A21&amp;"|"&amp;E$15,Dados!$A$2:$A$49,0))="","",INDEX(Dados!$I$2:$I$49,MATCH($A21&amp;"|"&amp;E$15,Dados!$A$2:$A$49,0))/1000000),"")</f>
        <v>651.67004212999996</v>
      </c>
      <c r="F21" s="14">
        <f>IFERROR(IF(INDEX(Dados!$I$2:$I$49,MATCH($A21&amp;"|"&amp;F$15,Dados!$A$2:$A$49,0))="","",INDEX(Dados!$I$2:$I$49,MATCH($A21&amp;"|"&amp;F$15,Dados!$A$2:$A$49,0))/1000000),"")</f>
        <v>695.20961719000002</v>
      </c>
      <c r="G21" s="14">
        <f>IFERROR(IF(INDEX(Dados!$I$2:$I$49,MATCH($A21&amp;"|"&amp;G$15,Dados!$A$2:$A$49,0))="","",INDEX(Dados!$I$2:$I$49,MATCH($A21&amp;"|"&amp;G$15,Dados!$A$2:$A$49,0))/1000000),"")</f>
        <v>731.54049242999997</v>
      </c>
      <c r="H21" s="14">
        <f>IFERROR(IF(INDEX(Dados!$I$2:$I$49,MATCH($A21&amp;"|"&amp;H$15,Dados!$A$2:$A$49,0))="","",INDEX(Dados!$I$2:$I$49,MATCH($A21&amp;"|"&amp;H$15,Dados!$A$2:$A$49,0))/1000000),"")</f>
        <v>702.33517198000004</v>
      </c>
      <c r="I21" s="14">
        <f>IFERROR(IF(INDEX(Dados!$I$2:$I$49,MATCH($A21&amp;"|"&amp;I$15,Dados!$A$2:$A$49,0))="","",INDEX(Dados!$I$2:$I$49,MATCH($A21&amp;"|"&amp;I$15,Dados!$A$2:$A$49,0))/1000000),"")</f>
        <v>753.82625412000004</v>
      </c>
      <c r="J21" s="14">
        <f>IFERROR(IF(INDEX(Dados!$I$2:$I$49,MATCH($A21&amp;"|"&amp;J$15,Dados!$A$2:$A$49,0))="","",INDEX(Dados!$I$2:$I$49,MATCH($A21&amp;"|"&amp;J$15,Dados!$A$2:$A$49,0))/1000000),"")</f>
        <v>781.90493480999999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17035811603.120001</v>
      </c>
      <c r="J2" s="15">
        <v>41519557028.849998</v>
      </c>
      <c r="K2" s="10">
        <f t="shared" ref="K2:K49" si="1">IF(OR(I2="",J2="",J2=0),"",I2/J2)</f>
        <v>0.41030812518742943</v>
      </c>
      <c r="L2" s="16">
        <v>0.4103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20344582944.139999</v>
      </c>
      <c r="R2" s="15">
        <v>19327353796.93</v>
      </c>
      <c r="S2" s="15">
        <v>18310124649.73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17341426639.509998</v>
      </c>
      <c r="J3" s="15">
        <v>42451976232.139999</v>
      </c>
      <c r="K3" s="10">
        <f t="shared" si="1"/>
        <v>0.40849515567147998</v>
      </c>
      <c r="L3" s="16">
        <v>0.40849999999999997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20801468353.75</v>
      </c>
      <c r="R3" s="15">
        <v>19761394936.060001</v>
      </c>
      <c r="S3" s="15">
        <v>18721321518.380001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17749249738.52</v>
      </c>
      <c r="J4" s="15">
        <v>43773481815.449997</v>
      </c>
      <c r="K4" s="10">
        <f t="shared" si="1"/>
        <v>0.40547950499691215</v>
      </c>
      <c r="L4" s="16">
        <v>0.40550000000000003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21449006089.57</v>
      </c>
      <c r="R4" s="15">
        <v>20376555785.09</v>
      </c>
      <c r="S4" s="15">
        <v>19304105480.610001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18297385783.369999</v>
      </c>
      <c r="J5" s="15">
        <v>43035675848.599998</v>
      </c>
      <c r="K5" s="10">
        <f t="shared" si="1"/>
        <v>0.42516785022130038</v>
      </c>
      <c r="L5" s="16">
        <v>0.42520000000000002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21087481165.810001</v>
      </c>
      <c r="R5" s="15">
        <v>20033107107.52</v>
      </c>
      <c r="S5" s="15">
        <v>18978733049.23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18776809979.540001</v>
      </c>
      <c r="J6" s="15">
        <v>44026463698.669998</v>
      </c>
      <c r="K6" s="10">
        <f t="shared" si="1"/>
        <v>0.42648917042381562</v>
      </c>
      <c r="L6" s="16">
        <v>0.42649999999999999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21572967212.349998</v>
      </c>
      <c r="R6" s="15">
        <v>20494318851.73</v>
      </c>
      <c r="S6" s="15">
        <v>19415670491.119999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19474956876.369999</v>
      </c>
      <c r="J7" s="15">
        <v>47140952729.440002</v>
      </c>
      <c r="K7" s="10">
        <f t="shared" si="1"/>
        <v>0.41312183459982749</v>
      </c>
      <c r="L7" s="16">
        <v>0.41310000000000002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23099066837.43</v>
      </c>
      <c r="R7" s="15">
        <v>21944113495.560001</v>
      </c>
      <c r="S7" s="15">
        <v>20789160153.689999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20027827984.700001</v>
      </c>
      <c r="J8" s="15">
        <v>49705858633.599998</v>
      </c>
      <c r="K8" s="10">
        <f t="shared" si="1"/>
        <v>0.40292690912619417</v>
      </c>
      <c r="L8" s="16">
        <v>0.40289999999999998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24355870730.459999</v>
      </c>
      <c r="R8" s="15">
        <v>23138077193.939999</v>
      </c>
      <c r="S8" s="15">
        <v>21920283657.41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20882040111.130001</v>
      </c>
      <c r="J9" s="15">
        <v>50807307675.419998</v>
      </c>
      <c r="K9" s="10">
        <f t="shared" si="1"/>
        <v>0.41100465792310614</v>
      </c>
      <c r="L9" s="16">
        <v>0.41099999999999998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24895580760.959999</v>
      </c>
      <c r="R9" s="15">
        <v>23650801722.91</v>
      </c>
      <c r="S9" s="15">
        <v>22406022684.860001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505478591.56</v>
      </c>
      <c r="J10" s="15">
        <v>41519557028.849998</v>
      </c>
      <c r="K10" s="10">
        <f t="shared" si="1"/>
        <v>1.21744697615335E-2</v>
      </c>
      <c r="L10" s="16">
        <v>1.2200000000000001E-2</v>
      </c>
      <c r="M10" s="9" t="str">
        <f t="shared" si="2"/>
        <v>Sim</v>
      </c>
      <c r="N10" s="16">
        <v>1.6500000000000001E-2</v>
      </c>
      <c r="O10" s="16">
        <v>1.5699999999999999E-2</v>
      </c>
      <c r="P10" s="16">
        <v>1.49E-2</v>
      </c>
      <c r="Q10" s="15">
        <v>685072690.98000002</v>
      </c>
      <c r="R10" s="15">
        <v>650819056.42999995</v>
      </c>
      <c r="S10" s="15">
        <v>616565421.88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523823886.07999998</v>
      </c>
      <c r="J11" s="15">
        <v>42451976232.139999</v>
      </c>
      <c r="K11" s="10">
        <f t="shared" si="1"/>
        <v>1.2339210858301992E-2</v>
      </c>
      <c r="L11" s="16">
        <v>1.23E-2</v>
      </c>
      <c r="M11" s="9" t="str">
        <f t="shared" si="2"/>
        <v>Sim</v>
      </c>
      <c r="N11" s="16">
        <v>1.6500000000000001E-2</v>
      </c>
      <c r="O11" s="16">
        <v>1.5699999999999999E-2</v>
      </c>
      <c r="P11" s="16">
        <v>1.49E-2</v>
      </c>
      <c r="Q11" s="15">
        <v>700457607.83000004</v>
      </c>
      <c r="R11" s="15">
        <v>665434727.44000006</v>
      </c>
      <c r="S11" s="15">
        <v>630411847.04999995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532132243.13</v>
      </c>
      <c r="J12" s="15">
        <v>43773481815.449997</v>
      </c>
      <c r="K12" s="10">
        <f t="shared" si="1"/>
        <v>1.2156497976868318E-2</v>
      </c>
      <c r="L12" s="16">
        <v>1.2200000000000001E-2</v>
      </c>
      <c r="M12" s="9" t="str">
        <f t="shared" si="2"/>
        <v>Sim</v>
      </c>
      <c r="N12" s="16">
        <v>1.6500000000000001E-2</v>
      </c>
      <c r="O12" s="16">
        <v>1.5699999999999999E-2</v>
      </c>
      <c r="P12" s="16">
        <v>1.49E-2</v>
      </c>
      <c r="Q12" s="15">
        <v>722262449.95000005</v>
      </c>
      <c r="R12" s="15">
        <v>686149327.45000005</v>
      </c>
      <c r="S12" s="15">
        <v>650036204.96000004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545640957.95000005</v>
      </c>
      <c r="J13" s="15">
        <v>43035675848.599998</v>
      </c>
      <c r="K13" s="10">
        <f t="shared" si="1"/>
        <v>1.267880536765755E-2</v>
      </c>
      <c r="L13" s="16">
        <v>1.2699999999999999E-2</v>
      </c>
      <c r="M13" s="9" t="str">
        <f t="shared" si="2"/>
        <v>Sim</v>
      </c>
      <c r="N13" s="16">
        <v>1.6500000000000001E-2</v>
      </c>
      <c r="O13" s="16">
        <v>1.5699999999999999E-2</v>
      </c>
      <c r="P13" s="16">
        <v>1.49E-2</v>
      </c>
      <c r="Q13" s="15">
        <v>710088651.5</v>
      </c>
      <c r="R13" s="15">
        <v>674584218.92999995</v>
      </c>
      <c r="S13" s="15">
        <v>639079786.35000002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551662267.26999998</v>
      </c>
      <c r="J14" s="15">
        <v>44026463698.669998</v>
      </c>
      <c r="K14" s="10">
        <f t="shared" si="1"/>
        <v>1.2530242516086188E-2</v>
      </c>
      <c r="L14" s="16">
        <v>1.2500000000000001E-2</v>
      </c>
      <c r="M14" s="9" t="str">
        <f t="shared" si="2"/>
        <v>Sim</v>
      </c>
      <c r="N14" s="16">
        <v>1.6500000000000001E-2</v>
      </c>
      <c r="O14" s="16">
        <v>1.5699999999999999E-2</v>
      </c>
      <c r="P14" s="16">
        <v>1.49E-2</v>
      </c>
      <c r="Q14" s="15">
        <v>726436651.02999997</v>
      </c>
      <c r="R14" s="15">
        <v>690114818.48000002</v>
      </c>
      <c r="S14" s="15">
        <v>653792985.92999995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561420757.94000006</v>
      </c>
      <c r="J15" s="15">
        <v>47140952729.440002</v>
      </c>
      <c r="K15" s="10">
        <f t="shared" si="1"/>
        <v>1.1909406268520049E-2</v>
      </c>
      <c r="L15" s="16">
        <v>1.1900000000000001E-2</v>
      </c>
      <c r="M15" s="9" t="str">
        <f t="shared" si="2"/>
        <v>Sim</v>
      </c>
      <c r="N15" s="16">
        <v>1.6E-2</v>
      </c>
      <c r="O15" s="16">
        <v>1.52E-2</v>
      </c>
      <c r="P15" s="16">
        <v>1.44E-2</v>
      </c>
      <c r="Q15" s="15">
        <v>754255243.66999996</v>
      </c>
      <c r="R15" s="15">
        <v>716542481.49000001</v>
      </c>
      <c r="S15" s="15">
        <v>678829719.29999995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569437610.05999994</v>
      </c>
      <c r="J16" s="15">
        <v>49705858633.599998</v>
      </c>
      <c r="K16" s="10">
        <f t="shared" si="1"/>
        <v>1.1456146734282011E-2</v>
      </c>
      <c r="L16" s="16">
        <v>1.15E-2</v>
      </c>
      <c r="M16" s="9" t="str">
        <f t="shared" si="2"/>
        <v>Sim</v>
      </c>
      <c r="N16" s="16">
        <v>1.6E-2</v>
      </c>
      <c r="O16" s="16">
        <v>1.52E-2</v>
      </c>
      <c r="P16" s="16">
        <v>1.44E-2</v>
      </c>
      <c r="Q16" s="15">
        <v>795293738.13999999</v>
      </c>
      <c r="R16" s="15">
        <v>755529051.23000002</v>
      </c>
      <c r="S16" s="15">
        <v>715764364.33000004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575979795.22000003</v>
      </c>
      <c r="J17" s="15">
        <v>50807307675.419998</v>
      </c>
      <c r="K17" s="10">
        <f t="shared" si="1"/>
        <v>1.1336554160665603E-2</v>
      </c>
      <c r="L17" s="16">
        <v>1.1299999999999999E-2</v>
      </c>
      <c r="M17" s="9" t="str">
        <f t="shared" si="2"/>
        <v>Sim</v>
      </c>
      <c r="N17" s="16">
        <v>1.6E-2</v>
      </c>
      <c r="O17" s="16">
        <v>1.52E-2</v>
      </c>
      <c r="P17" s="16">
        <v>1.44E-2</v>
      </c>
      <c r="Q17" s="15">
        <v>812916922.80999994</v>
      </c>
      <c r="R17" s="15">
        <v>772271076.66999996</v>
      </c>
      <c r="S17" s="15">
        <v>731625230.52999997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1889202517.8599999</v>
      </c>
      <c r="J18" s="15">
        <v>41519557028.849998</v>
      </c>
      <c r="K18" s="10">
        <f t="shared" si="1"/>
        <v>4.5501509482562194E-2</v>
      </c>
      <c r="L18" s="16">
        <v>4.5499999999999999E-2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2491173421.73</v>
      </c>
      <c r="R18" s="15">
        <v>2366614750.6399999</v>
      </c>
      <c r="S18" s="15">
        <v>2242056079.5599999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1993208701.75</v>
      </c>
      <c r="J19" s="15">
        <v>42451976232.139999</v>
      </c>
      <c r="K19" s="10">
        <f t="shared" si="1"/>
        <v>4.6952082768786631E-2</v>
      </c>
      <c r="L19" s="16">
        <v>4.7E-2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2547118573.9299998</v>
      </c>
      <c r="R19" s="15">
        <v>2419762645.23</v>
      </c>
      <c r="S19" s="15">
        <v>2292406716.54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1976401094.95</v>
      </c>
      <c r="J20" s="15">
        <v>43773481815.449997</v>
      </c>
      <c r="K20" s="10">
        <f t="shared" si="1"/>
        <v>4.5150648588626156E-2</v>
      </c>
      <c r="L20" s="16">
        <v>4.5199999999999997E-2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2626408908.9299998</v>
      </c>
      <c r="R20" s="15">
        <v>2495088463.48</v>
      </c>
      <c r="S20" s="15">
        <v>2363768018.04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2095042846.74</v>
      </c>
      <c r="J21" s="15">
        <v>43035675848.599998</v>
      </c>
      <c r="K21" s="10">
        <f t="shared" si="1"/>
        <v>4.8681537013857634E-2</v>
      </c>
      <c r="L21" s="16">
        <v>4.87E-2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2582140550.9200001</v>
      </c>
      <c r="R21" s="15">
        <v>2453033523.3699999</v>
      </c>
      <c r="S21" s="15">
        <v>2323926495.8299999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2199046300.6700001</v>
      </c>
      <c r="J22" s="15">
        <v>44026463698.669998</v>
      </c>
      <c r="K22" s="10">
        <f t="shared" si="1"/>
        <v>4.9948283735003485E-2</v>
      </c>
      <c r="L22" s="16">
        <v>4.99E-2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2641587821.9200001</v>
      </c>
      <c r="R22" s="15">
        <v>2509508430.8200002</v>
      </c>
      <c r="S22" s="15">
        <v>2377429039.73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2125574403.01</v>
      </c>
      <c r="J23" s="15">
        <v>47140952729.440002</v>
      </c>
      <c r="K23" s="10">
        <f t="shared" si="1"/>
        <v>4.5089763357339982E-2</v>
      </c>
      <c r="L23" s="16">
        <v>4.5100000000000001E-2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2828457163.77</v>
      </c>
      <c r="R23" s="15">
        <v>2687034305.5799999</v>
      </c>
      <c r="S23" s="15">
        <v>2545611447.3899999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2255598758.3899999</v>
      </c>
      <c r="J24" s="15">
        <v>49705858633.599998</v>
      </c>
      <c r="K24" s="10">
        <f t="shared" si="1"/>
        <v>4.5378931586653404E-2</v>
      </c>
      <c r="L24" s="16">
        <v>4.5400000000000003E-2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2982351518.02</v>
      </c>
      <c r="R24" s="15">
        <v>2833233942.1199999</v>
      </c>
      <c r="S24" s="15">
        <v>2684116366.2199998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2321706836.6799998</v>
      </c>
      <c r="J25" s="15">
        <v>50807307675.419998</v>
      </c>
      <c r="K25" s="10">
        <f t="shared" si="1"/>
        <v>4.5696316984794989E-2</v>
      </c>
      <c r="L25" s="16">
        <v>4.5699999999999998E-2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3048438460.5300002</v>
      </c>
      <c r="R25" s="15">
        <v>2896016537.5</v>
      </c>
      <c r="S25" s="15">
        <v>2743594614.48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419142751.13</v>
      </c>
      <c r="J26" s="15">
        <v>41519557028.849998</v>
      </c>
      <c r="K26" s="10">
        <f t="shared" si="1"/>
        <v>1.0095067990218616E-2</v>
      </c>
      <c r="L26" s="16">
        <v>1.01E-2</v>
      </c>
      <c r="M26" s="9" t="str">
        <f t="shared" si="2"/>
        <v>Sim</v>
      </c>
      <c r="N26" s="16">
        <v>1.35E-2</v>
      </c>
      <c r="O26" s="16">
        <v>1.2800000000000001E-2</v>
      </c>
      <c r="P26" s="16">
        <v>1.2200000000000001E-2</v>
      </c>
      <c r="Q26" s="15">
        <v>560514019.88</v>
      </c>
      <c r="R26" s="15">
        <v>532488318.88999999</v>
      </c>
      <c r="S26" s="15">
        <v>504462617.88999999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433125319.48000002</v>
      </c>
      <c r="J27" s="15">
        <v>42451976232.139999</v>
      </c>
      <c r="K27" s="10">
        <f t="shared" si="1"/>
        <v>1.0202712757388308E-2</v>
      </c>
      <c r="L27" s="16">
        <v>1.0200000000000001E-2</v>
      </c>
      <c r="M27" s="9" t="str">
        <f t="shared" si="2"/>
        <v>Sim</v>
      </c>
      <c r="N27" s="16">
        <v>1.35E-2</v>
      </c>
      <c r="O27" s="16">
        <v>1.2800000000000001E-2</v>
      </c>
      <c r="P27" s="16">
        <v>1.2200000000000001E-2</v>
      </c>
      <c r="Q27" s="15">
        <v>573101679.13</v>
      </c>
      <c r="R27" s="15">
        <v>544446595.16999996</v>
      </c>
      <c r="S27" s="15">
        <v>515791511.22000003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441811125.26999998</v>
      </c>
      <c r="J28" s="15">
        <v>43773481815.449997</v>
      </c>
      <c r="K28" s="10">
        <f t="shared" si="1"/>
        <v>1.009312275255338E-2</v>
      </c>
      <c r="L28" s="16">
        <v>1.01E-2</v>
      </c>
      <c r="M28" s="9" t="str">
        <f t="shared" si="2"/>
        <v>Sim</v>
      </c>
      <c r="N28" s="16">
        <v>1.35E-2</v>
      </c>
      <c r="O28" s="16">
        <v>1.2800000000000001E-2</v>
      </c>
      <c r="P28" s="16">
        <v>1.2200000000000001E-2</v>
      </c>
      <c r="Q28" s="15">
        <v>590942004.5</v>
      </c>
      <c r="R28" s="15">
        <v>561394904.27999997</v>
      </c>
      <c r="S28" s="15">
        <v>531847804.05000001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453794653.85000002</v>
      </c>
      <c r="J29" s="15">
        <v>43035675848.599998</v>
      </c>
      <c r="K29" s="10">
        <f t="shared" si="1"/>
        <v>1.0544615482430316E-2</v>
      </c>
      <c r="L29" s="16">
        <v>1.0500000000000001E-2</v>
      </c>
      <c r="M29" s="9" t="str">
        <f t="shared" si="2"/>
        <v>Sim</v>
      </c>
      <c r="N29" s="16">
        <v>1.35E-2</v>
      </c>
      <c r="O29" s="16">
        <v>1.2800000000000001E-2</v>
      </c>
      <c r="P29" s="16">
        <v>1.2200000000000001E-2</v>
      </c>
      <c r="Q29" s="15">
        <v>580981623.95000005</v>
      </c>
      <c r="R29" s="15">
        <v>551932542.75</v>
      </c>
      <c r="S29" s="15">
        <v>522883461.56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462477811.13999999</v>
      </c>
      <c r="J30" s="15">
        <v>44026463698.669998</v>
      </c>
      <c r="K30" s="10">
        <f t="shared" si="1"/>
        <v>1.0504541411850234E-2</v>
      </c>
      <c r="L30" s="16">
        <v>1.0500000000000001E-2</v>
      </c>
      <c r="M30" s="9" t="str">
        <f t="shared" si="2"/>
        <v>Sim</v>
      </c>
      <c r="N30" s="16">
        <v>1.35E-2</v>
      </c>
      <c r="O30" s="16">
        <v>1.2800000000000001E-2</v>
      </c>
      <c r="P30" s="16">
        <v>1.2200000000000001E-2</v>
      </c>
      <c r="Q30" s="15">
        <v>594357259.92999995</v>
      </c>
      <c r="R30" s="15">
        <v>564639396.92999995</v>
      </c>
      <c r="S30" s="15">
        <v>534921533.94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471388033.86000001</v>
      </c>
      <c r="J31" s="15">
        <v>47140952729.440002</v>
      </c>
      <c r="K31" s="10">
        <f t="shared" si="1"/>
        <v>9.999544060245804E-3</v>
      </c>
      <c r="L31" s="16">
        <v>0.01</v>
      </c>
      <c r="M31" s="9" t="str">
        <f t="shared" si="2"/>
        <v>Sim</v>
      </c>
      <c r="N31" s="16">
        <v>1.4E-2</v>
      </c>
      <c r="O31" s="16">
        <v>1.3299999999999999E-2</v>
      </c>
      <c r="P31" s="16">
        <v>1.26E-2</v>
      </c>
      <c r="Q31" s="15">
        <v>659973338.21000004</v>
      </c>
      <c r="R31" s="15">
        <v>626974671.29999995</v>
      </c>
      <c r="S31" s="15">
        <v>593976004.38999999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488255671.44</v>
      </c>
      <c r="J32" s="15">
        <v>49705858633.599998</v>
      </c>
      <c r="K32" s="10">
        <f t="shared" si="1"/>
        <v>9.8228998524924494E-3</v>
      </c>
      <c r="L32" s="16">
        <v>9.7999999999999997E-3</v>
      </c>
      <c r="M32" s="9" t="str">
        <f t="shared" si="2"/>
        <v>Sim</v>
      </c>
      <c r="N32" s="16">
        <v>1.4E-2</v>
      </c>
      <c r="O32" s="16">
        <v>1.3299999999999999E-2</v>
      </c>
      <c r="P32" s="16">
        <v>1.26E-2</v>
      </c>
      <c r="Q32" s="15">
        <v>695882020.87</v>
      </c>
      <c r="R32" s="15">
        <v>661087919.83000004</v>
      </c>
      <c r="S32" s="15">
        <v>626293818.77999997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504455599.57999998</v>
      </c>
      <c r="J33" s="15">
        <v>50807307675.419998</v>
      </c>
      <c r="K33" s="10">
        <f t="shared" si="1"/>
        <v>9.9288000616503808E-3</v>
      </c>
      <c r="L33" s="16">
        <v>9.8999999999999991E-3</v>
      </c>
      <c r="M33" s="9" t="str">
        <f t="shared" si="2"/>
        <v>Sim</v>
      </c>
      <c r="N33" s="16">
        <v>1.4E-2</v>
      </c>
      <c r="O33" s="16">
        <v>1.3299999999999999E-2</v>
      </c>
      <c r="P33" s="16">
        <v>1.26E-2</v>
      </c>
      <c r="Q33" s="15">
        <v>711302307.46000004</v>
      </c>
      <c r="R33" s="15">
        <v>675737192.09000003</v>
      </c>
      <c r="S33" s="15">
        <v>640172076.71000004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211059961.24000001</v>
      </c>
      <c r="J34" s="15">
        <v>41519557028.849998</v>
      </c>
      <c r="K34" s="10">
        <f t="shared" si="1"/>
        <v>5.0833866337577811E-3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221361554.91999999</v>
      </c>
      <c r="J35" s="15">
        <v>42451976232.139999</v>
      </c>
      <c r="K35" s="10">
        <f t="shared" si="1"/>
        <v>5.2143992946177423E-3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234596313.59</v>
      </c>
      <c r="J36" s="15">
        <v>43773481815.449997</v>
      </c>
      <c r="K36" s="10">
        <f t="shared" si="1"/>
        <v>5.3593249579520184E-3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245188746.38999999</v>
      </c>
      <c r="J37" s="15">
        <v>43035675848.599998</v>
      </c>
      <c r="K37" s="10">
        <f t="shared" si="1"/>
        <v>5.6973369548691836E-3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256841284.37</v>
      </c>
      <c r="J38" s="15">
        <v>44026463698.669998</v>
      </c>
      <c r="K38" s="10">
        <f t="shared" si="1"/>
        <v>5.8337931960172167E-3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273965421.04000002</v>
      </c>
      <c r="J39" s="15">
        <v>47140952729.440002</v>
      </c>
      <c r="K39" s="10">
        <f t="shared" si="1"/>
        <v>5.8116224890997128E-3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285453540.50999999</v>
      </c>
      <c r="J40" s="15">
        <v>49705858633.599998</v>
      </c>
      <c r="K40" s="10">
        <f t="shared" si="1"/>
        <v>5.7428550347391055E-3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298097408.55000001</v>
      </c>
      <c r="J41" s="15">
        <v>50807307675.419998</v>
      </c>
      <c r="K41" s="10">
        <f t="shared" si="1"/>
        <v>5.8672152134960727E-3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575636867.95000005</v>
      </c>
      <c r="J42" s="15">
        <v>41519557028.849998</v>
      </c>
      <c r="K42" s="10">
        <f t="shared" si="1"/>
        <v>1.3864234330583463E-2</v>
      </c>
      <c r="L42" s="16">
        <v>1.3899999999999999E-2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830391140.58000004</v>
      </c>
      <c r="R42" s="15">
        <v>788871583.54999995</v>
      </c>
      <c r="S42" s="15">
        <v>747352026.51999998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607963941.52999997</v>
      </c>
      <c r="J43" s="15">
        <v>42451976232.139999</v>
      </c>
      <c r="K43" s="10">
        <f t="shared" si="1"/>
        <v>1.4321216477778863E-2</v>
      </c>
      <c r="L43" s="16">
        <v>1.43E-2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849039524.63999999</v>
      </c>
      <c r="R43" s="15">
        <v>806587548.40999997</v>
      </c>
      <c r="S43" s="15">
        <v>764135572.17999995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651670042.13</v>
      </c>
      <c r="J44" s="15">
        <v>43773481815.449997</v>
      </c>
      <c r="K44" s="10">
        <f t="shared" si="1"/>
        <v>1.4887324816368409E-2</v>
      </c>
      <c r="L44" s="16">
        <v>1.49E-2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875469636.30999994</v>
      </c>
      <c r="R44" s="15">
        <v>831696154.49000001</v>
      </c>
      <c r="S44" s="15">
        <v>787922672.67999995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695209617.19000006</v>
      </c>
      <c r="J45" s="15">
        <v>43035675848.599998</v>
      </c>
      <c r="K45" s="10">
        <f t="shared" si="1"/>
        <v>1.6154262794332672E-2</v>
      </c>
      <c r="L45" s="16">
        <v>1.6199999999999999E-2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860713516.97000003</v>
      </c>
      <c r="R45" s="15">
        <v>817677841.12</v>
      </c>
      <c r="S45" s="15">
        <v>774642165.26999998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731540492.42999995</v>
      </c>
      <c r="J46" s="15">
        <v>44026463698.669998</v>
      </c>
      <c r="K46" s="10">
        <f t="shared" si="1"/>
        <v>1.6615926671669046E-2</v>
      </c>
      <c r="L46" s="16">
        <v>1.66E-2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880529273.97000003</v>
      </c>
      <c r="R46" s="15">
        <v>836502810.26999998</v>
      </c>
      <c r="S46" s="15">
        <v>792476346.57000005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702335171.98000002</v>
      </c>
      <c r="J47" s="15">
        <v>47140952729.440002</v>
      </c>
      <c r="K47" s="10">
        <f t="shared" si="1"/>
        <v>1.489862065391361E-2</v>
      </c>
      <c r="L47" s="16">
        <v>1.49E-2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942819054.59000003</v>
      </c>
      <c r="R47" s="15">
        <v>895678101.86000001</v>
      </c>
      <c r="S47" s="15">
        <v>848537149.13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753826254.12</v>
      </c>
      <c r="J48" s="15">
        <v>49705858633.599998</v>
      </c>
      <c r="K48" s="10">
        <f t="shared" si="1"/>
        <v>1.5165742526987172E-2</v>
      </c>
      <c r="L48" s="16">
        <v>1.52E-2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994117172.66999996</v>
      </c>
      <c r="R48" s="15">
        <v>944411314.03999996</v>
      </c>
      <c r="S48" s="15">
        <v>894705455.39999998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781904934.80999994</v>
      </c>
      <c r="J49" s="15">
        <v>50807307675.419998</v>
      </c>
      <c r="K49" s="10">
        <f t="shared" si="1"/>
        <v>1.5389615600282569E-2</v>
      </c>
      <c r="L49" s="16">
        <v>1.54E-2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1016146153.51</v>
      </c>
      <c r="R49" s="15">
        <v>965338845.83000004</v>
      </c>
      <c r="S49" s="15">
        <v>914531538.15999997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2026-10-15T10:08:07Z</dcterms:created>
  <dcterms:modified xsi:type="dcterms:W3CDTF">2026-10-15T10:08:35Z</dcterms:modified>
</cp:coreProperties>
</file>