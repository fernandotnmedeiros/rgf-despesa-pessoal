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9999B2EF4446F22DD4DAFC73A4C8551F57834287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H19" i="1"/>
  <c r="G19" i="1"/>
  <c r="F19" i="1"/>
  <c r="E19" i="1"/>
  <c r="D19" i="1"/>
  <c r="C19" i="1"/>
  <c r="J18" i="1"/>
  <c r="I18" i="1"/>
  <c r="H18" i="1"/>
  <c r="G18" i="1"/>
  <c r="F18" i="1"/>
  <c r="E18" i="1"/>
  <c r="D18" i="1"/>
  <c r="C18" i="1"/>
  <c r="J17" i="1"/>
  <c r="I17" i="1"/>
  <c r="H17" i="1"/>
  <c r="G17" i="1"/>
  <c r="F17" i="1"/>
  <c r="E17" i="1"/>
  <c r="D17" i="1"/>
  <c r="G16" i="1"/>
  <c r="F16" i="1"/>
  <c r="E16" i="1"/>
  <c r="D16" i="1"/>
  <c r="C16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L10" i="1" l="1"/>
  <c r="M43" i="2"/>
  <c r="T43" i="2"/>
  <c r="J21" i="1"/>
  <c r="E21" i="1"/>
  <c r="J20" i="1"/>
  <c r="H20" i="1"/>
  <c r="C20" i="1"/>
  <c r="H21" i="1"/>
  <c r="F21" i="1"/>
  <c r="I20" i="1"/>
  <c r="G20" i="1"/>
  <c r="D20" i="1"/>
  <c r="G21" i="1"/>
  <c r="D21" i="1"/>
  <c r="F20" i="1"/>
  <c r="J19" i="1"/>
  <c r="I21" i="1"/>
  <c r="C21" i="1"/>
  <c r="E20" i="1"/>
  <c r="I19" i="1"/>
  <c r="M30" i="2"/>
  <c r="T30" i="2"/>
  <c r="T24" i="2"/>
  <c r="M24" i="2"/>
  <c r="T11" i="2"/>
  <c r="M11" i="2"/>
  <c r="T49" i="2"/>
  <c r="L11" i="1" s="1"/>
  <c r="M49" i="2"/>
  <c r="T48" i="2"/>
  <c r="M48" i="2"/>
  <c r="T47" i="2"/>
  <c r="M47" i="2"/>
  <c r="T46" i="2"/>
  <c r="M46" i="2"/>
  <c r="T45" i="2"/>
  <c r="M45" i="2"/>
  <c r="T44" i="2"/>
  <c r="M44" i="2"/>
  <c r="T42" i="2"/>
  <c r="M42" i="2"/>
  <c r="T33" i="2"/>
  <c r="L9" i="1" s="1"/>
  <c r="M33" i="2"/>
  <c r="T32" i="2"/>
  <c r="M32" i="2"/>
  <c r="T31" i="2"/>
  <c r="M31" i="2"/>
  <c r="T29" i="2"/>
  <c r="M29" i="2"/>
  <c r="T28" i="2"/>
  <c r="M28" i="2"/>
  <c r="T27" i="2"/>
  <c r="M27" i="2"/>
  <c r="T26" i="2"/>
  <c r="M26" i="2"/>
  <c r="T25" i="2"/>
  <c r="L8" i="1" s="1"/>
  <c r="M25" i="2"/>
  <c r="T23" i="2"/>
  <c r="M23" i="2"/>
  <c r="T22" i="2"/>
  <c r="M22" i="2"/>
  <c r="T21" i="2"/>
  <c r="M21" i="2"/>
  <c r="T20" i="2"/>
  <c r="M20" i="2"/>
  <c r="T19" i="2"/>
  <c r="M19" i="2"/>
  <c r="T18" i="2"/>
  <c r="M18" i="2"/>
  <c r="M17" i="2"/>
  <c r="T17" i="2"/>
  <c r="L7" i="1" s="1"/>
  <c r="M16" i="2"/>
  <c r="T16" i="2"/>
  <c r="T15" i="2"/>
  <c r="M15" i="2"/>
  <c r="T14" i="2"/>
  <c r="M14" i="2"/>
  <c r="M13" i="2"/>
  <c r="T13" i="2"/>
  <c r="T12" i="2"/>
  <c r="M12" i="2"/>
  <c r="T10" i="2"/>
  <c r="M10" i="2"/>
  <c r="T9" i="2"/>
  <c r="L6" i="1" s="1"/>
  <c r="M9" i="2"/>
  <c r="M8" i="2"/>
  <c r="T8" i="2"/>
  <c r="M7" i="2"/>
  <c r="T7" i="2"/>
  <c r="M6" i="2"/>
  <c r="T6" i="2"/>
  <c r="D8" i="1"/>
  <c r="I16" i="1"/>
  <c r="H16" i="1"/>
  <c r="F8" i="1"/>
  <c r="E8" i="1"/>
  <c r="T5" i="2"/>
  <c r="M5" i="2"/>
  <c r="T4" i="2"/>
  <c r="M4" i="2"/>
  <c r="T3" i="2"/>
  <c r="M3" i="2"/>
  <c r="T2" i="2"/>
  <c r="M2" i="2"/>
  <c r="C17" i="1"/>
  <c r="H8" i="1"/>
  <c r="G8" i="1"/>
  <c r="J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<sst xmlns="http://schemas.openxmlformats.org/spreadsheetml/2006/main" count="427" uniqueCount="83">
  <si>
    <t>Despesa total com pessoal - Espírito Santo (ES)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</si>
  <si>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</si>
  <si>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</si>
  <si>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</si>
  <si>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</si>
  <si>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</si>
  <si>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</si>
  <si>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</si>
  <si>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</si>
  <si>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</si>
  <si>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</si>
  <si>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</si>
  <si>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</si>
  <si>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</si>
  <si>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</si>
  <si>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</si>
  <si>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</si>
  <si>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</si>
  <si>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</si>
  <si>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</si>
  <si>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</si>
  <si>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</si>
  <si>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</si>
  <si>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</si>
  <si>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</si>
  <si>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</si>
  <si>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</si>
  <si>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</si>
  <si>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</si>
  <si>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</si>
  <si>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</si>
  <si>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</si>
  <si>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</si>
  <si>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</si>
  <si>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</si>
  <si>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</si>
  <si>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</si>
  <si>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</si>
  <si>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</si>
  <si>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</si>
  <si>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</si>
  <si>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</si>
  <si>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</si>
  <si>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</si>
  <si>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</si>
  <si>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</si>
  <si>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</si>
  <si>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do Espírito Santo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</si>
  <si>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</si>
  <si>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</si>
  <si>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</si>
  <si>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</si>
  <si>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</si>
  <si>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</si>
  <si>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</si>
  <si>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</si>
  <si>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</si>
  <si>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</si>
  <si>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</si>
  <si>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</si>
  <si>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do Espírito Santo</t>
  </si>
  <si>
    <t>Tribunal de Justiça do Estado do Espírito Santo</t>
  </si>
  <si>
    <t>Tribunal de Contas do Estado do Espírito Santo</t>
  </si>
  <si>
    <t>Defensoria Pública do Estado do Espírito Santo</t>
  </si>
  <si>
    <t>Calculado (despesa líquida / RCL Ajustada do Executivo)</t>
  </si>
  <si>
    <t>Ministério Público do Estado do Espírito Santo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</si>
  <si>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</si>
  <si>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</si>
  <si>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</si>
  <si>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</si>
  <si>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Espírito Santo (ES).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</si>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</sst>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0.37829828551066647</v>
      </c>
      <c r="D6" s="7">
        <f>IFERROR(IF(INDEX(Dados!$K$2:$K$49,MATCH($A6&amp;"|"&amp;D$5,Dados!$A$2:$A$49,0))="","",INDEX(Dados!$K$2:$K$49,MATCH($A6&amp;"|"&amp;D$5,Dados!$A$2:$A$49,0))),"")</f>
        <v>0.37140983349061779</v>
      </c>
      <c r="E6" s="7">
        <f>IFERROR(IF(INDEX(Dados!$K$2:$K$49,MATCH($A6&amp;"|"&amp;E$5,Dados!$A$2:$A$49,0))="","",INDEX(Dados!$K$2:$K$49,MATCH($A6&amp;"|"&amp;E$5,Dados!$A$2:$A$49,0))),"")</f>
        <v>0.36048401842493766</v>
      </c>
      <c r="F6" s="7">
        <f>IFERROR(IF(INDEX(Dados!$K$2:$K$49,MATCH($A6&amp;"|"&amp;F$5,Dados!$A$2:$A$49,0))="","",INDEX(Dados!$K$2:$K$49,MATCH($A6&amp;"|"&amp;F$5,Dados!$A$2:$A$49,0))),"")</f>
        <v>0.36201573965298472</v>
      </c>
      <c r="G6" s="7">
        <f>IFERROR(IF(INDEX(Dados!$K$2:$K$49,MATCH($A6&amp;"|"&amp;G$5,Dados!$A$2:$A$49,0))="","",INDEX(Dados!$K$2:$K$49,MATCH($A6&amp;"|"&amp;G$5,Dados!$A$2:$A$49,0))),"")</f>
        <v>0.35262699552341792</v>
      </c>
      <c r="H6" s="7">
        <f>IFERROR(IF(INDEX(Dados!$K$2:$K$49,MATCH($A6&amp;"|"&amp;H$5,Dados!$A$2:$A$49,0))="","",INDEX(Dados!$K$2:$K$49,MATCH($A6&amp;"|"&amp;H$5,Dados!$A$2:$A$49,0))),"")</f>
        <v>0.35405018959278023</v>
      </c>
      <c r="I6" s="7">
        <f>IFERROR(IF(INDEX(Dados!$K$2:$K$49,MATCH($A6&amp;"|"&amp;I$5,Dados!$A$2:$A$49,0))="","",INDEX(Dados!$K$2:$K$49,MATCH($A6&amp;"|"&amp;I$5,Dados!$A$2:$A$49,0))),"")</f>
        <v>0.34526703121807534</v>
      </c>
      <c r="J6" s="7">
        <f>IFERROR(IF(INDEX(Dados!$K$2:$K$49,MATCH($A6&amp;"|"&amp;J$5,Dados!$A$2:$A$49,0))="","",INDEX(Dados!$K$2:$K$49,MATCH($A6&amp;"|"&amp;J$5,Dados!$A$2:$A$49,0))),"")</f>
        <v>0.34192970505209519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Abaixo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9.1977470157574084E-3</v>
      </c>
      <c r="D7" s="10">
        <f>IFERROR(IF(INDEX(Dados!$K$2:$K$49,MATCH($A7&amp;"|"&amp;D$5,Dados!$A$2:$A$49,0))="","",INDEX(Dados!$K$2:$K$49,MATCH($A7&amp;"|"&amp;D$5,Dados!$A$2:$A$49,0))),"")</f>
        <v>9.1745746719155506E-3</v>
      </c>
      <c r="E7" s="10">
        <f>IFERROR(IF(INDEX(Dados!$K$2:$K$49,MATCH($A7&amp;"|"&amp;E$5,Dados!$A$2:$A$49,0))="","",INDEX(Dados!$K$2:$K$49,MATCH($A7&amp;"|"&amp;E$5,Dados!$A$2:$A$49,0))),"")</f>
        <v>8.7434805814312882E-3</v>
      </c>
      <c r="F7" s="10">
        <f>IFERROR(IF(INDEX(Dados!$K$2:$K$49,MATCH($A7&amp;"|"&amp;F$5,Dados!$A$2:$A$49,0))="","",INDEX(Dados!$K$2:$K$49,MATCH($A7&amp;"|"&amp;F$5,Dados!$A$2:$A$49,0))),"")</f>
        <v>8.8779287719552916E-3</v>
      </c>
      <c r="G7" s="10">
        <f>IFERROR(IF(INDEX(Dados!$K$2:$K$49,MATCH($A7&amp;"|"&amp;G$5,Dados!$A$2:$A$49,0))="","",INDEX(Dados!$K$2:$K$49,MATCH($A7&amp;"|"&amp;G$5,Dados!$A$2:$A$49,0))),"")</f>
        <v>8.5233639740221589E-3</v>
      </c>
      <c r="H7" s="10">
        <f>IFERROR(IF(INDEX(Dados!$K$2:$K$49,MATCH($A7&amp;"|"&amp;H$5,Dados!$A$2:$A$49,0))="","",INDEX(Dados!$K$2:$K$49,MATCH($A7&amp;"|"&amp;H$5,Dados!$A$2:$A$49,0))),"")</f>
        <v>8.6794841160891568E-3</v>
      </c>
      <c r="I7" s="10">
        <f>IFERROR(IF(INDEX(Dados!$K$2:$K$49,MATCH($A7&amp;"|"&amp;I$5,Dados!$A$2:$A$49,0))="","",INDEX(Dados!$K$2:$K$49,MATCH($A7&amp;"|"&amp;I$5,Dados!$A$2:$A$49,0))),"")</f>
        <v>8.3448086670825528E-3</v>
      </c>
      <c r="J7" s="10">
        <f>IFERROR(IF(INDEX(Dados!$K$2:$K$49,MATCH($A7&amp;"|"&amp;J$5,Dados!$A$2:$A$49,0))="","",INDEX(Dados!$K$2:$K$49,MATCH($A7&amp;"|"&amp;J$5,Dados!$A$2:$A$49,0))),"")</f>
        <v>8.3026405476253617E-3</v>
      </c>
      <c r="K7" s="10">
        <f>IFERROR(IF(INDEX(Dados!$N$2:$N$49,MATCH($A7&amp;"|"&amp;J$5,Dados!$A$2:$A$49,0))=0,"—",INDEX(Dados!$N$2:$N$49,MATCH($A7&amp;"|"&amp;J$5,Dados!$A$2:$A$49,0))),"—")</f>
        <v>1.7000000000000001E-2</v>
      </c>
      <c r="L7" s="9" t="str">
        <f>IFERROR(IF(INDEX(Dados!$T$2:$T$49,MATCH($A7&amp;"|"&amp;J$5,Dados!$A$2:$A$49,0))="","—",INDEX(Dados!$T$2:$T$49,MATCH($A7&amp;"|"&amp;J$5,Dados!$A$2:$A$49,0))),"—")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4.6485801521550095E-2</v>
      </c>
      <c r="D8" s="10">
        <f>IFERROR(IF(INDEX(Dados!$K$2:$K$49,MATCH($A8&amp;"|"&amp;D$5,Dados!$A$2:$A$49,0))="","",INDEX(Dados!$K$2:$K$49,MATCH($A8&amp;"|"&amp;D$5,Dados!$A$2:$A$49,0))),"")</f>
        <v>4.616558028415841E-2</v>
      </c>
      <c r="E8" s="10">
        <f>IFERROR(IF(INDEX(Dados!$K$2:$K$49,MATCH($A8&amp;"|"&amp;E$5,Dados!$A$2:$A$49,0))="","",INDEX(Dados!$K$2:$K$49,MATCH($A8&amp;"|"&amp;E$5,Dados!$A$2:$A$49,0))),"")</f>
        <v>4.4837876959925339E-2</v>
      </c>
      <c r="F8" s="10">
        <f>IFERROR(IF(INDEX(Dados!$K$2:$K$49,MATCH($A8&amp;"|"&amp;F$5,Dados!$A$2:$A$49,0))="","",INDEX(Dados!$K$2:$K$49,MATCH($A8&amp;"|"&amp;F$5,Dados!$A$2:$A$49,0))),"")</f>
        <v>4.6201410900559021E-2</v>
      </c>
      <c r="G8" s="10">
        <f>IFERROR(IF(INDEX(Dados!$K$2:$K$49,MATCH($A8&amp;"|"&amp;G$5,Dados!$A$2:$A$49,0))="","",INDEX(Dados!$K$2:$K$49,MATCH($A8&amp;"|"&amp;G$5,Dados!$A$2:$A$49,0))),"")</f>
        <v>4.5328078209451748E-2</v>
      </c>
      <c r="H8" s="10">
        <f>IFERROR(IF(INDEX(Dados!$K$2:$K$49,MATCH($A8&amp;"|"&amp;H$5,Dados!$A$2:$A$49,0))="","",INDEX(Dados!$K$2:$K$49,MATCH($A8&amp;"|"&amp;H$5,Dados!$A$2:$A$49,0))),"")</f>
        <v>4.5472613092934218E-2</v>
      </c>
      <c r="I8" s="10">
        <f>IFERROR(IF(INDEX(Dados!$K$2:$K$49,MATCH($A8&amp;"|"&amp;I$5,Dados!$A$2:$A$49,0))="","",INDEX(Dados!$K$2:$K$49,MATCH($A8&amp;"|"&amp;I$5,Dados!$A$2:$A$49,0))),"")</f>
        <v>4.4447721948155036E-2</v>
      </c>
      <c r="J8" s="10">
        <f>IFERROR(IF(INDEX(Dados!$K$2:$K$49,MATCH($A8&amp;"|"&amp;J$5,Dados!$A$2:$A$49,0))="","",INDEX(Dados!$K$2:$K$49,MATCH($A8&amp;"|"&amp;J$5,Dados!$A$2:$A$49,0))),"")</f>
        <v>4.3977042560661123E-2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7.3006737495273609E-3</v>
      </c>
      <c r="D9" s="10">
        <f>IFERROR(IF(INDEX(Dados!$K$2:$K$49,MATCH($A9&amp;"|"&amp;D$5,Dados!$A$2:$A$49,0))="","",INDEX(Dados!$K$2:$K$49,MATCH($A9&amp;"|"&amp;D$5,Dados!$A$2:$A$49,0))),"")</f>
        <v>7.3896010243728891E-3</v>
      </c>
      <c r="E9" s="10">
        <f>IFERROR(IF(INDEX(Dados!$K$2:$K$49,MATCH($A9&amp;"|"&amp;E$5,Dados!$A$2:$A$49,0))="","",INDEX(Dados!$K$2:$K$49,MATCH($A9&amp;"|"&amp;E$5,Dados!$A$2:$A$49,0))),"")</f>
        <v>7.4368299780596045E-3</v>
      </c>
      <c r="F9" s="10">
        <f>IFERROR(IF(INDEX(Dados!$K$2:$K$49,MATCH($A9&amp;"|"&amp;F$5,Dados!$A$2:$A$49,0))="","",INDEX(Dados!$K$2:$K$49,MATCH($A9&amp;"|"&amp;F$5,Dados!$A$2:$A$49,0))),"")</f>
        <v>7.7461039289749185E-3</v>
      </c>
      <c r="G9" s="10">
        <f>IFERROR(IF(INDEX(Dados!$K$2:$K$49,MATCH($A9&amp;"|"&amp;G$5,Dados!$A$2:$A$49,0))="","",INDEX(Dados!$K$2:$K$49,MATCH($A9&amp;"|"&amp;G$5,Dados!$A$2:$A$49,0))),"")</f>
        <v>7.6655022768513451E-3</v>
      </c>
      <c r="H9" s="10">
        <f>IFERROR(IF(INDEX(Dados!$K$2:$K$49,MATCH($A9&amp;"|"&amp;H$5,Dados!$A$2:$A$49,0))="","",INDEX(Dados!$K$2:$K$49,MATCH($A9&amp;"|"&amp;H$5,Dados!$A$2:$A$49,0))),"")</f>
        <v>7.7779540584703771E-3</v>
      </c>
      <c r="I9" s="10">
        <f>IFERROR(IF(INDEX(Dados!$K$2:$K$49,MATCH($A9&amp;"|"&amp;I$5,Dados!$A$2:$A$49,0))="","",INDEX(Dados!$K$2:$K$49,MATCH($A9&amp;"|"&amp;I$5,Dados!$A$2:$A$49,0))),"")</f>
        <v>7.4755821710292512E-3</v>
      </c>
      <c r="J9" s="10">
        <f>IFERROR(IF(INDEX(Dados!$K$2:$K$49,MATCH($A9&amp;"|"&amp;J$5,Dados!$A$2:$A$49,0))="","",INDEX(Dados!$K$2:$K$49,MATCH($A9&amp;"|"&amp;J$5,Dados!$A$2:$A$49,0))),"")</f>
        <v>7.3737258119458745E-3</v>
      </c>
      <c r="K9" s="10">
        <f>IFERROR(IF(INDEX(Dados!$N$2:$N$49,MATCH($A9&amp;"|"&amp;J$5,Dados!$A$2:$A$49,0))=0,"—",INDEX(Dados!$N$2:$N$49,MATCH($A9&amp;"|"&amp;J$5,Dados!$A$2:$A$49,0))),"—")</f>
        <v>1.2999999999999999E-2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4.2255374909307749E-3</v>
      </c>
      <c r="D10" s="10">
        <f>IFERROR(IF(INDEX(Dados!$K$2:$K$49,MATCH($A10&amp;"|"&amp;D$5,Dados!$A$2:$A$49,0))="","",INDEX(Dados!$K$2:$K$49,MATCH($A10&amp;"|"&amp;D$5,Dados!$A$2:$A$49,0))),"")</f>
        <v>4.0516516285523194E-3</v>
      </c>
      <c r="E10" s="10">
        <f>IFERROR(IF(INDEX(Dados!$K$2:$K$49,MATCH($A10&amp;"|"&amp;E$5,Dados!$A$2:$A$49,0))="","",INDEX(Dados!$K$2:$K$49,MATCH($A10&amp;"|"&amp;E$5,Dados!$A$2:$A$49,0))),"")</f>
        <v>4.285859154431409E-3</v>
      </c>
      <c r="F10" s="10">
        <f>IFERROR(IF(INDEX(Dados!$K$2:$K$49,MATCH($A10&amp;"|"&amp;F$5,Dados!$A$2:$A$49,0))="","",INDEX(Dados!$K$2:$K$49,MATCH($A10&amp;"|"&amp;F$5,Dados!$A$2:$A$49,0))),"")</f>
        <v>4.6539424797199117E-3</v>
      </c>
      <c r="G10" s="10">
        <f>IFERROR(IF(INDEX(Dados!$K$2:$K$49,MATCH($A10&amp;"|"&amp;G$5,Dados!$A$2:$A$49,0))="","",INDEX(Dados!$K$2:$K$49,MATCH($A10&amp;"|"&amp;G$5,Dados!$A$2:$A$49,0))),"")</f>
        <v>4.7811565344999772E-3</v>
      </c>
      <c r="H10" s="10">
        <f>IFERROR(IF(INDEX(Dados!$K$2:$K$49,MATCH($A10&amp;"|"&amp;H$5,Dados!$A$2:$A$49,0))="","",INDEX(Dados!$K$2:$K$49,MATCH($A10&amp;"|"&amp;H$5,Dados!$A$2:$A$49,0))),"")</f>
        <v>4.6730662355751055E-3</v>
      </c>
      <c r="I10" s="10">
        <f>IFERROR(IF(INDEX(Dados!$K$2:$K$49,MATCH($A10&amp;"|"&amp;I$5,Dados!$A$2:$A$49,0))="","",INDEX(Dados!$K$2:$K$49,MATCH($A10&amp;"|"&amp;I$5,Dados!$A$2:$A$49,0))),"")</f>
        <v>4.4126943189750929E-3</v>
      </c>
      <c r="J10" s="10">
        <f>IFERROR(IF(INDEX(Dados!$K$2:$K$49,MATCH($A10&amp;"|"&amp;J$5,Dados!$A$2:$A$49,0))="","",INDEX(Dados!$K$2:$K$49,MATCH($A10&amp;"|"&amp;J$5,Dados!$A$2:$A$49,0))),"")</f>
        <v>4.3874381296322906E-3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1.603202634886125E-2</v>
      </c>
      <c r="D11" s="10">
        <f>IFERROR(IF(INDEX(Dados!$K$2:$K$49,MATCH($A11&amp;"|"&amp;D$5,Dados!$A$2:$A$49,0))="","",INDEX(Dados!$K$2:$K$49,MATCH($A11&amp;"|"&amp;D$5,Dados!$A$2:$A$49,0))),"")</f>
        <v>1.5794059529644321E-2</v>
      </c>
      <c r="E11" s="10">
        <f>IFERROR(IF(INDEX(Dados!$K$2:$K$49,MATCH($A11&amp;"|"&amp;E$5,Dados!$A$2:$A$49,0))="","",INDEX(Dados!$K$2:$K$49,MATCH($A11&amp;"|"&amp;E$5,Dados!$A$2:$A$49,0))),"")</f>
        <v>1.5114425455403721E-2</v>
      </c>
      <c r="F11" s="10">
        <f>IFERROR(IF(INDEX(Dados!$K$2:$K$49,MATCH($A11&amp;"|"&amp;F$5,Dados!$A$2:$A$49,0))="","",INDEX(Dados!$K$2:$K$49,MATCH($A11&amp;"|"&amp;F$5,Dados!$A$2:$A$49,0))),"")</f>
        <v>1.5492381048654144E-2</v>
      </c>
      <c r="G11" s="10">
        <f>IFERROR(IF(INDEX(Dados!$K$2:$K$49,MATCH($A11&amp;"|"&amp;G$5,Dados!$A$2:$A$49,0))="","",INDEX(Dados!$K$2:$K$49,MATCH($A11&amp;"|"&amp;G$5,Dados!$A$2:$A$49,0))),"")</f>
        <v>1.5175050064536805E-2</v>
      </c>
      <c r="H11" s="10">
        <f>IFERROR(IF(INDEX(Dados!$K$2:$K$49,MATCH($A11&amp;"|"&amp;H$5,Dados!$A$2:$A$49,0))="","",INDEX(Dados!$K$2:$K$49,MATCH($A11&amp;"|"&amp;H$5,Dados!$A$2:$A$49,0))),"")</f>
        <v>1.470233389355035E-2</v>
      </c>
      <c r="I11" s="10">
        <f>IFERROR(IF(INDEX(Dados!$K$2:$K$49,MATCH($A11&amp;"|"&amp;I$5,Dados!$A$2:$A$49,0))="","",INDEX(Dados!$K$2:$K$49,MATCH($A11&amp;"|"&amp;I$5,Dados!$A$2:$A$49,0))),"")</f>
        <v>1.4643966150992832E-2</v>
      </c>
      <c r="J11" s="10">
        <f>IFERROR(IF(INDEX(Dados!$K$2:$K$49,MATCH($A11&amp;"|"&amp;J$5,Dados!$A$2:$A$49,0))="","",INDEX(Dados!$K$2:$K$49,MATCH($A11&amp;"|"&amp;J$5,Dados!$A$2:$A$49,0))),"")</f>
        <v>1.464888587458261E-2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23504.378941889998</v>
      </c>
      <c r="D12" s="12">
        <f>IFERROR(INDEX(Dados!$J$2:$J$49,MATCH("Governo|"&amp;D$5,Dados!$A$2:$A$49,0))/1000000,"")</f>
        <v>24568.371213980001</v>
      </c>
      <c r="E12" s="12">
        <f>IFERROR(INDEX(Dados!$J$2:$J$49,MATCH("Governo|"&amp;E$5,Dados!$A$2:$A$49,0))/1000000,"")</f>
        <v>26201.08125436</v>
      </c>
      <c r="F12" s="12">
        <f>IFERROR(INDEX(Dados!$J$2:$J$49,MATCH("Governo|"&amp;F$5,Dados!$A$2:$A$49,0))/1000000,"")</f>
        <v>26543.514664890001</v>
      </c>
      <c r="G12" s="12">
        <f>IFERROR(INDEX(Dados!$J$2:$J$49,MATCH("Governo|"&amp;G$5,Dados!$A$2:$A$49,0))/1000000,"")</f>
        <v>27868.809376669997</v>
      </c>
      <c r="H12" s="12">
        <f>IFERROR(INDEX(Dados!$J$2:$J$49,MATCH("Governo|"&amp;H$5,Dados!$A$2:$A$49,0))/1000000,"")</f>
        <v>28054.49746934</v>
      </c>
      <c r="I12" s="12">
        <f>IFERROR(INDEX(Dados!$J$2:$J$49,MATCH("Governo|"&amp;I$5,Dados!$A$2:$A$49,0))/1000000,"")</f>
        <v>29846.38343147</v>
      </c>
      <c r="J12" s="12">
        <f>IFERROR(INDEX(Dados!$J$2:$J$49,MATCH("Governo|"&amp;J$5,Dados!$A$2:$A$49,0))/1000000,"")</f>
        <v>30896.82472203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8891.6662557099989</v>
      </c>
      <c r="D16" s="13">
        <f>IFERROR(IF(INDEX(Dados!$I$2:$I$49,MATCH($A16&amp;"|"&amp;D$15,Dados!$A$2:$A$49,0))="","",INDEX(Dados!$I$2:$I$49,MATCH($A16&amp;"|"&amp;D$15,Dados!$A$2:$A$49,0))/1000000),"")</f>
        <v>9124.934661719999</v>
      </c>
      <c r="E16" s="13">
        <f>IFERROR(IF(INDEX(Dados!$I$2:$I$49,MATCH($A16&amp;"|"&amp;E$15,Dados!$A$2:$A$49,0))="","",INDEX(Dados!$I$2:$I$49,MATCH($A16&amp;"|"&amp;E$15,Dados!$A$2:$A$49,0))/1000000),"")</f>
        <v>9445.0710576500005</v>
      </c>
      <c r="F16" s="13">
        <f>IFERROR(IF(INDEX(Dados!$I$2:$I$49,MATCH($A16&amp;"|"&amp;F$15,Dados!$A$2:$A$49,0))="","",INDEX(Dados!$I$2:$I$49,MATCH($A16&amp;"|"&amp;F$15,Dados!$A$2:$A$49,0))/1000000),"")</f>
        <v>9609.1700944000004</v>
      </c>
      <c r="G16" s="13">
        <f>IFERROR(IF(INDEX(Dados!$I$2:$I$49,MATCH($A16&amp;"|"&amp;G$15,Dados!$A$2:$A$49,0))="","",INDEX(Dados!$I$2:$I$49,MATCH($A16&amp;"|"&amp;G$15,Dados!$A$2:$A$49,0))/1000000),"")</f>
        <v>9827.2945193099986</v>
      </c>
      <c r="H16" s="13">
        <f>IFERROR(IF(INDEX(Dados!$I$2:$I$49,MATCH($A16&amp;"|"&amp;H$15,Dados!$A$2:$A$49,0))="","",INDEX(Dados!$I$2:$I$49,MATCH($A16&amp;"|"&amp;H$15,Dados!$A$2:$A$49,0))/1000000),"")</f>
        <v>9932.7001479500013</v>
      </c>
      <c r="I16" s="13">
        <f>IFERROR(IF(INDEX(Dados!$I$2:$I$49,MATCH($A16&amp;"|"&amp;I$15,Dados!$A$2:$A$49,0))="","",INDEX(Dados!$I$2:$I$49,MATCH($A16&amp;"|"&amp;I$15,Dados!$A$2:$A$49,0))/1000000),"")</f>
        <v>10304.97219998</v>
      </c>
      <c r="J16" s="13">
        <f>IFERROR(IF(INDEX(Dados!$I$2:$I$49,MATCH($A16&amp;"|"&amp;J$15,Dados!$A$2:$A$49,0))="","",INDEX(Dados!$I$2:$I$49,MATCH($A16&amp;"|"&amp;J$15,Dados!$A$2:$A$49,0))/1000000),"")</f>
        <v>10564.54216425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216.18733127000002</v>
      </c>
      <c r="D17" s="14">
        <f>IFERROR(IF(INDEX(Dados!$I$2:$I$49,MATCH($A17&amp;"|"&amp;D$15,Dados!$A$2:$A$49,0))="","",INDEX(Dados!$I$2:$I$49,MATCH($A17&amp;"|"&amp;D$15,Dados!$A$2:$A$49,0))/1000000),"")</f>
        <v>225.40435627000002</v>
      </c>
      <c r="E17" s="14">
        <f>IFERROR(IF(INDEX(Dados!$I$2:$I$49,MATCH($A17&amp;"|"&amp;E$15,Dados!$A$2:$A$49,0))="","",INDEX(Dados!$I$2:$I$49,MATCH($A17&amp;"|"&amp;E$15,Dados!$A$2:$A$49,0))/1000000),"")</f>
        <v>229.08864516</v>
      </c>
      <c r="F17" s="14">
        <f>IFERROR(IF(INDEX(Dados!$I$2:$I$49,MATCH($A17&amp;"|"&amp;F$15,Dados!$A$2:$A$49,0))="","",INDEX(Dados!$I$2:$I$49,MATCH($A17&amp;"|"&amp;F$15,Dados!$A$2:$A$49,0))/1000000),"")</f>
        <v>235.65143257</v>
      </c>
      <c r="G17" s="14">
        <f>IFERROR(IF(INDEX(Dados!$I$2:$I$49,MATCH($A17&amp;"|"&amp;G$15,Dados!$A$2:$A$49,0))="","",INDEX(Dados!$I$2:$I$49,MATCH($A17&amp;"|"&amp;G$15,Dados!$A$2:$A$49,0))/1000000),"")</f>
        <v>237.53600584</v>
      </c>
      <c r="H17" s="14">
        <f>IFERROR(IF(INDEX(Dados!$I$2:$I$49,MATCH($A17&amp;"|"&amp;H$15,Dados!$A$2:$A$49,0))="","",INDEX(Dados!$I$2:$I$49,MATCH($A17&amp;"|"&amp;H$15,Dados!$A$2:$A$49,0))/1000000),"")</f>
        <v>243.49856516999998</v>
      </c>
      <c r="I17" s="14">
        <f>IFERROR(IF(INDEX(Dados!$I$2:$I$49,MATCH($A17&amp;"|"&amp;I$15,Dados!$A$2:$A$49,0))="","",INDEX(Dados!$I$2:$I$49,MATCH($A17&amp;"|"&amp;I$15,Dados!$A$2:$A$49,0))/1000000),"")</f>
        <v>249.06235913999998</v>
      </c>
      <c r="J17" s="14">
        <f>IFERROR(IF(INDEX(Dados!$I$2:$I$49,MATCH($A17&amp;"|"&amp;J$15,Dados!$A$2:$A$49,0))="","",INDEX(Dados!$I$2:$I$49,MATCH($A17&amp;"|"&amp;J$15,Dados!$A$2:$A$49,0))/1000000),"")</f>
        <v>256.52522972999998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1092.61989438</v>
      </c>
      <c r="D18" s="14">
        <f>IFERROR(IF(INDEX(Dados!$I$2:$I$49,MATCH($A18&amp;"|"&amp;D$15,Dados!$A$2:$A$49,0))="","",INDEX(Dados!$I$2:$I$49,MATCH($A18&amp;"|"&amp;D$15,Dados!$A$2:$A$49,0))/1000000),"")</f>
        <v>1134.21311373</v>
      </c>
      <c r="E18" s="14">
        <f>IFERROR(IF(INDEX(Dados!$I$2:$I$49,MATCH($A18&amp;"|"&amp;E$15,Dados!$A$2:$A$49,0))="","",INDEX(Dados!$I$2:$I$49,MATCH($A18&amp;"|"&amp;E$15,Dados!$A$2:$A$49,0))/1000000),"")</f>
        <v>1174.8008574999999</v>
      </c>
      <c r="F18" s="14">
        <f>IFERROR(IF(INDEX(Dados!$I$2:$I$49,MATCH($A18&amp;"|"&amp;F$15,Dados!$A$2:$A$49,0))="","",INDEX(Dados!$I$2:$I$49,MATCH($A18&amp;"|"&amp;F$15,Dados!$A$2:$A$49,0))/1000000),"")</f>
        <v>1226.3478278699999</v>
      </c>
      <c r="G18" s="14">
        <f>IFERROR(IF(INDEX(Dados!$I$2:$I$49,MATCH($A18&amp;"|"&amp;G$15,Dados!$A$2:$A$49,0))="","",INDEX(Dados!$I$2:$I$49,MATCH($A18&amp;"|"&amp;G$15,Dados!$A$2:$A$49,0))/1000000),"")</f>
        <v>1263.23957103</v>
      </c>
      <c r="H18" s="14">
        <f>IFERROR(IF(INDEX(Dados!$I$2:$I$49,MATCH($A18&amp;"|"&amp;H$15,Dados!$A$2:$A$49,0))="","",INDEX(Dados!$I$2:$I$49,MATCH($A18&amp;"|"&amp;H$15,Dados!$A$2:$A$49,0))/1000000),"")</f>
        <v>1275.71130894</v>
      </c>
      <c r="I18" s="14">
        <f>IFERROR(IF(INDEX(Dados!$I$2:$I$49,MATCH($A18&amp;"|"&amp;I$15,Dados!$A$2:$A$49,0))="","",INDEX(Dados!$I$2:$I$49,MATCH($A18&amp;"|"&amp;I$15,Dados!$A$2:$A$49,0))/1000000),"")</f>
        <v>1326.6037519200001</v>
      </c>
      <c r="J18" s="14">
        <f>IFERROR(IF(INDEX(Dados!$I$2:$I$49,MATCH($A18&amp;"|"&amp;J$15,Dados!$A$2:$A$49,0))="","",INDEX(Dados!$I$2:$I$49,MATCH($A18&amp;"|"&amp;J$15,Dados!$A$2:$A$49,0))/1000000),"")</f>
        <v>1358.75097579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171.59780234000002</v>
      </c>
      <c r="D19" s="14">
        <f>IFERROR(IF(INDEX(Dados!$I$2:$I$49,MATCH($A19&amp;"|"&amp;D$15,Dados!$A$2:$A$49,0))="","",INDEX(Dados!$I$2:$I$49,MATCH($A19&amp;"|"&amp;D$15,Dados!$A$2:$A$49,0))/1000000),"")</f>
        <v>181.55046109</v>
      </c>
      <c r="E19" s="14">
        <f>IFERROR(IF(INDEX(Dados!$I$2:$I$49,MATCH($A19&amp;"|"&amp;E$15,Dados!$A$2:$A$49,0))="","",INDEX(Dados!$I$2:$I$49,MATCH($A19&amp;"|"&amp;E$15,Dados!$A$2:$A$49,0))/1000000),"")</f>
        <v>194.85298653000001</v>
      </c>
      <c r="F19" s="14">
        <f>IFERROR(IF(INDEX(Dados!$I$2:$I$49,MATCH($A19&amp;"|"&amp;F$15,Dados!$A$2:$A$49,0))="","",INDEX(Dados!$I$2:$I$49,MATCH($A19&amp;"|"&amp;F$15,Dados!$A$2:$A$49,0))/1000000),"")</f>
        <v>205.60882325</v>
      </c>
      <c r="G19" s="14">
        <f>IFERROR(IF(INDEX(Dados!$I$2:$I$49,MATCH($A19&amp;"|"&amp;G$15,Dados!$A$2:$A$49,0))="","",INDEX(Dados!$I$2:$I$49,MATCH($A19&amp;"|"&amp;G$15,Dados!$A$2:$A$49,0))/1000000),"")</f>
        <v>213.62842172999999</v>
      </c>
      <c r="H19" s="14">
        <f>IFERROR(IF(INDEX(Dados!$I$2:$I$49,MATCH($A19&amp;"|"&amp;H$15,Dados!$A$2:$A$49,0))="","",INDEX(Dados!$I$2:$I$49,MATCH($A19&amp;"|"&amp;H$15,Dados!$A$2:$A$49,0))/1000000),"")</f>
        <v>218.20659244999999</v>
      </c>
      <c r="I19" s="14">
        <f>IFERROR(IF(INDEX(Dados!$I$2:$I$49,MATCH($A19&amp;"|"&amp;I$15,Dados!$A$2:$A$49,0))="","",INDEX(Dados!$I$2:$I$49,MATCH($A19&amp;"|"&amp;I$15,Dados!$A$2:$A$49,0))/1000000),"")</f>
        <v>223.11909184999999</v>
      </c>
      <c r="J19" s="14">
        <f>IFERROR(IF(INDEX(Dados!$I$2:$I$49,MATCH($A19&amp;"|"&amp;J$15,Dados!$A$2:$A$49,0))="","",INDEX(Dados!$I$2:$I$49,MATCH($A19&amp;"|"&amp;J$15,Dados!$A$2:$A$49,0))/1000000),"")</f>
        <v>227.82471396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99.318634419999995</v>
      </c>
      <c r="D20" s="14">
        <f>IFERROR(IF(INDEX(Dados!$I$2:$I$49,MATCH($A20&amp;"|"&amp;D$15,Dados!$A$2:$A$49,0))="","",INDEX(Dados!$I$2:$I$49,MATCH($A20&amp;"|"&amp;D$15,Dados!$A$2:$A$49,0))/1000000),"")</f>
        <v>99.542481240000001</v>
      </c>
      <c r="E20" s="14">
        <f>IFERROR(IF(INDEX(Dados!$I$2:$I$49,MATCH($A20&amp;"|"&amp;E$15,Dados!$A$2:$A$49,0))="","",INDEX(Dados!$I$2:$I$49,MATCH($A20&amp;"|"&amp;E$15,Dados!$A$2:$A$49,0))/1000000),"")</f>
        <v>112.29414395000001</v>
      </c>
      <c r="F20" s="14">
        <f>IFERROR(IF(INDEX(Dados!$I$2:$I$49,MATCH($A20&amp;"|"&amp;F$15,Dados!$A$2:$A$49,0))="","",INDEX(Dados!$I$2:$I$49,MATCH($A20&amp;"|"&amp;F$15,Dados!$A$2:$A$49,0))/1000000),"")</f>
        <v>123.53199045999999</v>
      </c>
      <c r="G20" s="14">
        <f>IFERROR(IF(INDEX(Dados!$I$2:$I$49,MATCH($A20&amp;"|"&amp;G$15,Dados!$A$2:$A$49,0))="","",INDEX(Dados!$I$2:$I$49,MATCH($A20&amp;"|"&amp;G$15,Dados!$A$2:$A$49,0))/1000000),"")</f>
        <v>133.24514006000001</v>
      </c>
      <c r="H20" s="14">
        <f>IFERROR(IF(INDEX(Dados!$I$2:$I$49,MATCH($A20&amp;"|"&amp;H$15,Dados!$A$2:$A$49,0))="","",INDEX(Dados!$I$2:$I$49,MATCH($A20&amp;"|"&amp;H$15,Dados!$A$2:$A$49,0))/1000000),"")</f>
        <v>131.10052487999999</v>
      </c>
      <c r="I20" s="14">
        <f>IFERROR(IF(INDEX(Dados!$I$2:$I$49,MATCH($A20&amp;"|"&amp;I$15,Dados!$A$2:$A$49,0))="","",INDEX(Dados!$I$2:$I$49,MATCH($A20&amp;"|"&amp;I$15,Dados!$A$2:$A$49,0))/1000000),"")</f>
        <v>131.70296661</v>
      </c>
      <c r="J20" s="14">
        <f>IFERROR(IF(INDEX(Dados!$I$2:$I$49,MATCH($A20&amp;"|"&amp;J$15,Dados!$A$2:$A$49,0))="","",INDEX(Dados!$I$2:$I$49,MATCH($A20&amp;"|"&amp;J$15,Dados!$A$2:$A$49,0))/1000000),"")</f>
        <v>135.55790687000001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376.82282250999998</v>
      </c>
      <c r="D21" s="14">
        <f>IFERROR(IF(INDEX(Dados!$I$2:$I$49,MATCH($A21&amp;"|"&amp;D$15,Dados!$A$2:$A$49,0))="","",INDEX(Dados!$I$2:$I$49,MATCH($A21&amp;"|"&amp;D$15,Dados!$A$2:$A$49,0))/1000000),"")</f>
        <v>388.03431749999999</v>
      </c>
      <c r="E21" s="14">
        <f>IFERROR(IF(INDEX(Dados!$I$2:$I$49,MATCH($A21&amp;"|"&amp;E$15,Dados!$A$2:$A$49,0))="","",INDEX(Dados!$I$2:$I$49,MATCH($A21&amp;"|"&amp;E$15,Dados!$A$2:$A$49,0))/1000000),"")</f>
        <v>396.01428947000005</v>
      </c>
      <c r="F21" s="14">
        <f>IFERROR(IF(INDEX(Dados!$I$2:$I$49,MATCH($A21&amp;"|"&amp;F$15,Dados!$A$2:$A$49,0))="","",INDEX(Dados!$I$2:$I$49,MATCH($A21&amp;"|"&amp;F$15,Dados!$A$2:$A$49,0))/1000000),"")</f>
        <v>411.22224358999995</v>
      </c>
      <c r="G21" s="14">
        <f>IFERROR(IF(INDEX(Dados!$I$2:$I$49,MATCH($A21&amp;"|"&amp;G$15,Dados!$A$2:$A$49,0))="","",INDEX(Dados!$I$2:$I$49,MATCH($A21&amp;"|"&amp;G$15,Dados!$A$2:$A$49,0))/1000000),"")</f>
        <v>422.91057752999996</v>
      </c>
      <c r="H21" s="14">
        <f>IFERROR(IF(INDEX(Dados!$I$2:$I$49,MATCH($A21&amp;"|"&amp;H$15,Dados!$A$2:$A$49,0))="","",INDEX(Dados!$I$2:$I$49,MATCH($A21&amp;"|"&amp;H$15,Dados!$A$2:$A$49,0))/1000000),"")</f>
        <v>412.46658901000001</v>
      </c>
      <c r="I21" s="14">
        <f>IFERROR(IF(INDEX(Dados!$I$2:$I$49,MATCH($A21&amp;"|"&amp;I$15,Dados!$A$2:$A$49,0))="","",INDEX(Dados!$I$2:$I$49,MATCH($A21&amp;"|"&amp;I$15,Dados!$A$2:$A$49,0))/1000000),"")</f>
        <v>437.0694287</v>
      </c>
      <c r="J21" s="14">
        <f>IFERROR(IF(INDEX(Dados!$I$2:$I$49,MATCH($A21&amp;"|"&amp;J$15,Dados!$A$2:$A$49,0))="","",INDEX(Dados!$I$2:$I$49,MATCH($A21&amp;"|"&amp;J$15,Dados!$A$2:$A$49,0))/1000000),"")</f>
        <v>452.60405924000003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8891666255.7099991</v>
      </c>
      <c r="J2" s="15">
        <v>23504378941.889999</v>
      </c>
      <c r="K2" s="10">
        <f t="shared" ref="K2:K49" si="1">IF(OR(I2="",J2="",J2=0),"",I2/J2)</f>
        <v>0.37829828551066647</v>
      </c>
      <c r="L2" s="16">
        <v>0.37830000000000003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11517145681.530001</v>
      </c>
      <c r="R2" s="15">
        <v>10941288397.450001</v>
      </c>
      <c r="S2" s="15">
        <v>10365431113.379999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Abaixo do limite de alerta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9124934661.7199993</v>
      </c>
      <c r="J3" s="15">
        <v>24568371213.98</v>
      </c>
      <c r="K3" s="10">
        <f t="shared" si="1"/>
        <v>0.37140983349061779</v>
      </c>
      <c r="L3" s="16">
        <v>0.37140000000000001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12038501894.85</v>
      </c>
      <c r="R3" s="15">
        <v>11436576800.110001</v>
      </c>
      <c r="S3" s="15">
        <v>10834651705.370001</v>
      </c>
      <c r="T3" s="9" t="str">
        <f t="shared" si="3"/>
        <v>Abaixo do limite de alerta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9445071057.6499996</v>
      </c>
      <c r="J4" s="15">
        <v>26201081254.360001</v>
      </c>
      <c r="K4" s="10">
        <f t="shared" si="1"/>
        <v>0.36048401842493766</v>
      </c>
      <c r="L4" s="16">
        <v>0.36049999999999999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12838529814.629999</v>
      </c>
      <c r="R4" s="15">
        <v>12196603323.9</v>
      </c>
      <c r="S4" s="15">
        <v>11554676833.17</v>
      </c>
      <c r="T4" s="9" t="str">
        <f t="shared" si="3"/>
        <v>Abaixo do limite de alerta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9609170094.3999996</v>
      </c>
      <c r="J5" s="15">
        <v>26543514664.889999</v>
      </c>
      <c r="K5" s="10">
        <f t="shared" si="1"/>
        <v>0.36201573965298472</v>
      </c>
      <c r="L5" s="16">
        <v>0.36199999999999999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13006322185.799999</v>
      </c>
      <c r="R5" s="15">
        <v>12356006076.51</v>
      </c>
      <c r="S5" s="15">
        <v>11705689967.219999</v>
      </c>
      <c r="T5" s="9" t="str">
        <f t="shared" si="3"/>
        <v>Abaixo do limite de alerta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9827294519.3099995</v>
      </c>
      <c r="J6" s="15">
        <v>27868809376.669998</v>
      </c>
      <c r="K6" s="10">
        <f t="shared" si="1"/>
        <v>0.35262699552341792</v>
      </c>
      <c r="L6" s="16">
        <v>0.35260000000000002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13655716594.57</v>
      </c>
      <c r="R6" s="15">
        <v>12972930764.84</v>
      </c>
      <c r="S6" s="15">
        <v>12290144935.110001</v>
      </c>
      <c r="T6" s="9" t="str">
        <f t="shared" si="3"/>
        <v>Abaixo do limite de alerta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9932700147.9500008</v>
      </c>
      <c r="J7" s="15">
        <v>28054497469.34</v>
      </c>
      <c r="K7" s="10">
        <f t="shared" si="1"/>
        <v>0.35405018959278023</v>
      </c>
      <c r="L7" s="16">
        <v>0.35410000000000003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13746703759.98</v>
      </c>
      <c r="R7" s="15">
        <v>13059368571.98</v>
      </c>
      <c r="S7" s="15">
        <v>12372033383.98</v>
      </c>
      <c r="T7" s="9" t="str">
        <f t="shared" si="3"/>
        <v>Abaixo do limite de alerta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10304972199.98</v>
      </c>
      <c r="J8" s="15">
        <v>29846383431.470001</v>
      </c>
      <c r="K8" s="10">
        <f t="shared" si="1"/>
        <v>0.34526703121807534</v>
      </c>
      <c r="L8" s="16">
        <v>0.3453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14624727881.42</v>
      </c>
      <c r="R8" s="15">
        <v>13893491487.35</v>
      </c>
      <c r="S8" s="15">
        <v>13162255093.280001</v>
      </c>
      <c r="T8" s="9" t="str">
        <f t="shared" si="3"/>
        <v>Abaixo do limite de alerta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10564542164.25</v>
      </c>
      <c r="J9" s="15">
        <v>30896824722.029999</v>
      </c>
      <c r="K9" s="10">
        <f t="shared" si="1"/>
        <v>0.34192970505209519</v>
      </c>
      <c r="L9" s="16">
        <v>0.34189999999999998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15139444113.790001</v>
      </c>
      <c r="R9" s="15">
        <v>14382471908.1</v>
      </c>
      <c r="S9" s="15">
        <v>13625499702.41</v>
      </c>
      <c r="T9" s="9" t="str">
        <f t="shared" si="3"/>
        <v>Abaixo do limite de alerta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216187331.27000001</v>
      </c>
      <c r="J10" s="15">
        <v>23504378941.889999</v>
      </c>
      <c r="K10" s="10">
        <f t="shared" si="1"/>
        <v>9.1977470157574084E-3</v>
      </c>
      <c r="L10" s="16">
        <v>9.1999999999999998E-3</v>
      </c>
      <c r="M10" s="9" t="str">
        <f t="shared" si="2"/>
        <v>Sim</v>
      </c>
      <c r="N10" s="16">
        <v>1.7000000000000001E-2</v>
      </c>
      <c r="O10" s="16">
        <v>1.6199999999999999E-2</v>
      </c>
      <c r="P10" s="16">
        <v>1.5299999999999999E-2</v>
      </c>
      <c r="Q10" s="15">
        <v>399574442.00999999</v>
      </c>
      <c r="R10" s="15">
        <v>379595719.91000003</v>
      </c>
      <c r="S10" s="15">
        <v>359616997.81</v>
      </c>
      <c r="T10" s="9" t="str">
        <f t="shared" si="3"/>
        <v>Abaixo do limite de alerta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225404356.27000001</v>
      </c>
      <c r="J11" s="15">
        <v>24568371213.98</v>
      </c>
      <c r="K11" s="10">
        <f t="shared" si="1"/>
        <v>9.1745746719155506E-3</v>
      </c>
      <c r="L11" s="16">
        <v>9.1999999999999998E-3</v>
      </c>
      <c r="M11" s="9" t="str">
        <f t="shared" si="2"/>
        <v>Sim</v>
      </c>
      <c r="N11" s="16">
        <v>1.7000000000000001E-2</v>
      </c>
      <c r="O11" s="16">
        <v>1.6199999999999999E-2</v>
      </c>
      <c r="P11" s="16">
        <v>1.5299999999999999E-2</v>
      </c>
      <c r="Q11" s="15">
        <v>417662310.63999999</v>
      </c>
      <c r="R11" s="15">
        <v>396779195.11000001</v>
      </c>
      <c r="S11" s="15">
        <v>375896079.57999998</v>
      </c>
      <c r="T11" s="9" t="str">
        <f t="shared" si="3"/>
        <v>Abaixo do limite de alerta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229088645.16</v>
      </c>
      <c r="J12" s="15">
        <v>26201081254.360001</v>
      </c>
      <c r="K12" s="10">
        <f t="shared" si="1"/>
        <v>8.7434805814312882E-3</v>
      </c>
      <c r="L12" s="16">
        <v>8.6999999999999994E-3</v>
      </c>
      <c r="M12" s="9" t="str">
        <f t="shared" si="2"/>
        <v>Sim</v>
      </c>
      <c r="N12" s="16">
        <v>1.7000000000000001E-2</v>
      </c>
      <c r="O12" s="16">
        <v>1.6199999999999999E-2</v>
      </c>
      <c r="P12" s="16">
        <v>1.5299999999999999E-2</v>
      </c>
      <c r="Q12" s="15">
        <v>445418381.31999999</v>
      </c>
      <c r="R12" s="15">
        <v>423147462.25</v>
      </c>
      <c r="S12" s="15">
        <v>400876543.19</v>
      </c>
      <c r="T12" s="9" t="str">
        <f t="shared" si="3"/>
        <v>Abaixo do limite de alerta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235651432.56999999</v>
      </c>
      <c r="J13" s="15">
        <v>26543514666.889999</v>
      </c>
      <c r="K13" s="10">
        <f t="shared" si="1"/>
        <v>8.8779287719552916E-3</v>
      </c>
      <c r="L13" s="16">
        <v>8.8999999999999999E-3</v>
      </c>
      <c r="M13" s="9" t="str">
        <f t="shared" si="2"/>
        <v>Sim</v>
      </c>
      <c r="N13" s="16">
        <v>1.7000000000000001E-2</v>
      </c>
      <c r="O13" s="16">
        <v>1.6199999999999999E-2</v>
      </c>
      <c r="P13" s="16">
        <v>1.5299999999999999E-2</v>
      </c>
      <c r="Q13" s="15">
        <v>451239749.33999997</v>
      </c>
      <c r="R13" s="15">
        <v>428677761.87</v>
      </c>
      <c r="S13" s="15">
        <v>406115774.41000003</v>
      </c>
      <c r="T13" s="9" t="str">
        <f t="shared" si="3"/>
        <v>Abaixo do limite de alerta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237536005.84</v>
      </c>
      <c r="J14" s="15">
        <v>27868809376.669998</v>
      </c>
      <c r="K14" s="10">
        <f t="shared" si="1"/>
        <v>8.5233639740221589E-3</v>
      </c>
      <c r="L14" s="16">
        <v>8.5000000000000006E-3</v>
      </c>
      <c r="M14" s="9" t="str">
        <f t="shared" si="2"/>
        <v>Sim</v>
      </c>
      <c r="N14" s="16">
        <v>1.7000000000000001E-2</v>
      </c>
      <c r="O14" s="16">
        <v>1.6199999999999999E-2</v>
      </c>
      <c r="P14" s="16">
        <v>1.5299999999999999E-2</v>
      </c>
      <c r="Q14" s="15">
        <v>473769759.39999998</v>
      </c>
      <c r="R14" s="15">
        <v>450081271.43000001</v>
      </c>
      <c r="S14" s="15">
        <v>426392783.45999998</v>
      </c>
      <c r="T14" s="9" t="str">
        <f t="shared" si="3"/>
        <v>Abaixo do limite de alerta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243498565.16999999</v>
      </c>
      <c r="J15" s="15">
        <v>28054497469.34</v>
      </c>
      <c r="K15" s="10">
        <f t="shared" si="1"/>
        <v>8.6794841160891568E-3</v>
      </c>
      <c r="L15" s="16">
        <v>8.6999999999999994E-3</v>
      </c>
      <c r="M15" s="9" t="str">
        <f t="shared" si="2"/>
        <v>Sim</v>
      </c>
      <c r="N15" s="16">
        <v>1.7000000000000001E-2</v>
      </c>
      <c r="O15" s="16">
        <v>1.6199999999999999E-2</v>
      </c>
      <c r="P15" s="16">
        <v>1.5299999999999999E-2</v>
      </c>
      <c r="Q15" s="15">
        <v>476926456.98000002</v>
      </c>
      <c r="R15" s="15">
        <v>453080134.13</v>
      </c>
      <c r="S15" s="15">
        <v>429233811.27999997</v>
      </c>
      <c r="T15" s="9" t="str">
        <f t="shared" si="3"/>
        <v>Abaixo do limite de alerta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249062359.13999999</v>
      </c>
      <c r="J16" s="15">
        <v>29846383431.470001</v>
      </c>
      <c r="K16" s="10">
        <f t="shared" si="1"/>
        <v>8.3448086670825528E-3</v>
      </c>
      <c r="L16" s="16">
        <v>8.3000000000000001E-3</v>
      </c>
      <c r="M16" s="9" t="str">
        <f t="shared" si="2"/>
        <v>Sim</v>
      </c>
      <c r="N16" s="16">
        <v>1.7000000000000001E-2</v>
      </c>
      <c r="O16" s="16">
        <v>1.6199999999999999E-2</v>
      </c>
      <c r="P16" s="16">
        <v>1.5299999999999999E-2</v>
      </c>
      <c r="Q16" s="15">
        <v>507388518.32999998</v>
      </c>
      <c r="R16" s="15">
        <v>482019092.41000003</v>
      </c>
      <c r="S16" s="15">
        <v>456649666.5</v>
      </c>
      <c r="T16" s="9" t="str">
        <f t="shared" si="3"/>
        <v>Abaixo do limite de alerta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256525229.72999999</v>
      </c>
      <c r="J17" s="15">
        <v>30896824722.029999</v>
      </c>
      <c r="K17" s="10">
        <f t="shared" si="1"/>
        <v>8.3026405476253617E-3</v>
      </c>
      <c r="L17" s="16">
        <v>8.3000000000000001E-3</v>
      </c>
      <c r="M17" s="9" t="str">
        <f t="shared" si="2"/>
        <v>Sim</v>
      </c>
      <c r="N17" s="16">
        <v>1.7000000000000001E-2</v>
      </c>
      <c r="O17" s="16">
        <v>1.6199999999999999E-2</v>
      </c>
      <c r="P17" s="16">
        <v>1.5299999999999999E-2</v>
      </c>
      <c r="Q17" s="15">
        <v>525246020.26999998</v>
      </c>
      <c r="R17" s="15">
        <v>498983719.25999999</v>
      </c>
      <c r="S17" s="15">
        <v>472721418.24000001</v>
      </c>
      <c r="T17" s="9" t="str">
        <f t="shared" si="3"/>
        <v>Abaixo do limite de alerta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1092619894.3800001</v>
      </c>
      <c r="J18" s="15">
        <v>23504378941.889999</v>
      </c>
      <c r="K18" s="10">
        <f t="shared" si="1"/>
        <v>4.6485801521550095E-2</v>
      </c>
      <c r="L18" s="16">
        <v>4.6500000000000007E-2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1410262736.51</v>
      </c>
      <c r="R18" s="15">
        <v>1339749599.6800001</v>
      </c>
      <c r="S18" s="15">
        <v>1269236462.8599999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1134213113.73</v>
      </c>
      <c r="J19" s="15">
        <v>24568371213.98</v>
      </c>
      <c r="K19" s="10">
        <f t="shared" si="1"/>
        <v>4.616558028415841E-2</v>
      </c>
      <c r="L19" s="16">
        <v>4.6199999999999998E-2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1474102272.8399999</v>
      </c>
      <c r="R19" s="15">
        <v>1400397159.2</v>
      </c>
      <c r="S19" s="15">
        <v>1326692045.5599999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1174800857.5</v>
      </c>
      <c r="J20" s="15">
        <v>26201081254.360001</v>
      </c>
      <c r="K20" s="10">
        <f t="shared" si="1"/>
        <v>4.4837876959925339E-2</v>
      </c>
      <c r="L20" s="16">
        <v>4.4800000000000013E-2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1572064875.26</v>
      </c>
      <c r="R20" s="15">
        <v>1493461631.5</v>
      </c>
      <c r="S20" s="15">
        <v>1414858387.73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1226347827.8699999</v>
      </c>
      <c r="J21" s="15">
        <v>26543514666.889999</v>
      </c>
      <c r="K21" s="10">
        <f t="shared" si="1"/>
        <v>4.6201410900559021E-2</v>
      </c>
      <c r="L21" s="16">
        <v>4.6199999999999998E-2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1592610880.01</v>
      </c>
      <c r="R21" s="15">
        <v>1512980336.01</v>
      </c>
      <c r="S21" s="15">
        <v>1433349792.01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1263239571.03</v>
      </c>
      <c r="J22" s="15">
        <v>27868809376.669998</v>
      </c>
      <c r="K22" s="10">
        <f t="shared" si="1"/>
        <v>4.5328078209451748E-2</v>
      </c>
      <c r="L22" s="16">
        <v>4.53E-2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1672128562.5999999</v>
      </c>
      <c r="R22" s="15">
        <v>1588522134.47</v>
      </c>
      <c r="S22" s="15">
        <v>1504915706.3399999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1275711308.9400001</v>
      </c>
      <c r="J23" s="15">
        <v>28054497469.34</v>
      </c>
      <c r="K23" s="10">
        <f t="shared" si="1"/>
        <v>4.5472613092934218E-2</v>
      </c>
      <c r="L23" s="16">
        <v>4.5499999999999999E-2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1683269848.1600001</v>
      </c>
      <c r="R23" s="15">
        <v>1599106355.75</v>
      </c>
      <c r="S23" s="15">
        <v>1514942863.3399999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1326603751.9200001</v>
      </c>
      <c r="J24" s="15">
        <v>29846383431.470001</v>
      </c>
      <c r="K24" s="10">
        <f t="shared" si="1"/>
        <v>4.4447721948155036E-2</v>
      </c>
      <c r="L24" s="16">
        <v>4.4400000000000002E-2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1790783005.8900001</v>
      </c>
      <c r="R24" s="15">
        <v>1701243855.5999999</v>
      </c>
      <c r="S24" s="15">
        <v>1611704705.3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1358750975.79</v>
      </c>
      <c r="J25" s="15">
        <v>30896824722.029999</v>
      </c>
      <c r="K25" s="10">
        <f t="shared" si="1"/>
        <v>4.3977042560661123E-2</v>
      </c>
      <c r="L25" s="16">
        <v>4.3999999999999997E-2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1853809483.3199999</v>
      </c>
      <c r="R25" s="15">
        <v>1761119009.1500001</v>
      </c>
      <c r="S25" s="15">
        <v>1668428534.99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171597802.34</v>
      </c>
      <c r="J26" s="15">
        <v>23504378941.889999</v>
      </c>
      <c r="K26" s="10">
        <f t="shared" si="1"/>
        <v>7.3006737495273609E-3</v>
      </c>
      <c r="L26" s="16">
        <v>7.3000000000000001E-3</v>
      </c>
      <c r="M26" s="9" t="str">
        <f t="shared" si="2"/>
        <v>Sim</v>
      </c>
      <c r="N26" s="16">
        <v>1.2999999999999999E-2</v>
      </c>
      <c r="O26" s="16">
        <v>1.24E-2</v>
      </c>
      <c r="P26" s="16">
        <v>1.17E-2</v>
      </c>
      <c r="Q26" s="15">
        <v>305556926.24000001</v>
      </c>
      <c r="R26" s="15">
        <v>290279079.93000001</v>
      </c>
      <c r="S26" s="15">
        <v>275001233.62</v>
      </c>
      <c r="T26" s="9" t="str">
        <f t="shared" si="3"/>
        <v>Abaixo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181550461.09</v>
      </c>
      <c r="J27" s="15">
        <v>24568371213.98</v>
      </c>
      <c r="K27" s="10">
        <f t="shared" si="1"/>
        <v>7.3896010243728891E-3</v>
      </c>
      <c r="L27" s="16">
        <v>7.4000000000000003E-3</v>
      </c>
      <c r="M27" s="9" t="str">
        <f t="shared" si="2"/>
        <v>Sim</v>
      </c>
      <c r="N27" s="16">
        <v>1.2999999999999999E-2</v>
      </c>
      <c r="O27" s="16">
        <v>1.24E-2</v>
      </c>
      <c r="P27" s="16">
        <v>1.17E-2</v>
      </c>
      <c r="Q27" s="15">
        <v>319388825.77999997</v>
      </c>
      <c r="R27" s="15">
        <v>303419384.49000001</v>
      </c>
      <c r="S27" s="15">
        <v>287449943.19999999</v>
      </c>
      <c r="T27" s="9" t="str">
        <f t="shared" si="3"/>
        <v>Abaixo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194852986.53</v>
      </c>
      <c r="J28" s="15">
        <v>26201081254.360001</v>
      </c>
      <c r="K28" s="10">
        <f t="shared" si="1"/>
        <v>7.4368299780596045E-3</v>
      </c>
      <c r="L28" s="16">
        <v>7.4000000000000003E-3</v>
      </c>
      <c r="M28" s="9" t="str">
        <f t="shared" si="2"/>
        <v>Sim</v>
      </c>
      <c r="N28" s="16">
        <v>1.2999999999999999E-2</v>
      </c>
      <c r="O28" s="16">
        <v>1.24E-2</v>
      </c>
      <c r="P28" s="16">
        <v>1.17E-2</v>
      </c>
      <c r="Q28" s="15">
        <v>340614056.31</v>
      </c>
      <c r="R28" s="15">
        <v>323583353.49000001</v>
      </c>
      <c r="S28" s="15">
        <v>306552650.68000001</v>
      </c>
      <c r="T28" s="9" t="str">
        <f t="shared" si="3"/>
        <v>Abaixo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205608823.25</v>
      </c>
      <c r="J29" s="15">
        <v>26543514666.889999</v>
      </c>
      <c r="K29" s="10">
        <f t="shared" si="1"/>
        <v>7.7461039289749185E-3</v>
      </c>
      <c r="L29" s="16">
        <v>7.7000000000000002E-3</v>
      </c>
      <c r="M29" s="9" t="str">
        <f t="shared" si="2"/>
        <v>Sim</v>
      </c>
      <c r="N29" s="16">
        <v>1.2999999999999999E-2</v>
      </c>
      <c r="O29" s="16">
        <v>1.24E-2</v>
      </c>
      <c r="P29" s="16">
        <v>1.17E-2</v>
      </c>
      <c r="Q29" s="15">
        <v>345065690.67000002</v>
      </c>
      <c r="R29" s="15">
        <v>327812406.13999999</v>
      </c>
      <c r="S29" s="15">
        <v>310559121.60000002</v>
      </c>
      <c r="T29" s="9" t="str">
        <f t="shared" si="3"/>
        <v>Abaixo do limite de alerta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213628421.72999999</v>
      </c>
      <c r="J30" s="15">
        <v>27868809376.669998</v>
      </c>
      <c r="K30" s="10">
        <f t="shared" si="1"/>
        <v>7.6655022768513451E-3</v>
      </c>
      <c r="L30" s="16">
        <v>7.7000000000000002E-3</v>
      </c>
      <c r="M30" s="9" t="str">
        <f t="shared" si="2"/>
        <v>Sim</v>
      </c>
      <c r="N30" s="16">
        <v>1.2999999999999999E-2</v>
      </c>
      <c r="O30" s="16">
        <v>1.24E-2</v>
      </c>
      <c r="P30" s="16">
        <v>1.17E-2</v>
      </c>
      <c r="Q30" s="15">
        <v>362294521.89999998</v>
      </c>
      <c r="R30" s="15">
        <v>344179795.81</v>
      </c>
      <c r="S30" s="15">
        <v>326065069.70999998</v>
      </c>
      <c r="T30" s="9" t="str">
        <f t="shared" si="3"/>
        <v>Abaixo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218206592.44999999</v>
      </c>
      <c r="J31" s="15">
        <v>28054497469.34</v>
      </c>
      <c r="K31" s="10">
        <f t="shared" si="1"/>
        <v>7.7779540584703771E-3</v>
      </c>
      <c r="L31" s="16">
        <v>7.8000000000000014E-3</v>
      </c>
      <c r="M31" s="9" t="str">
        <f t="shared" si="2"/>
        <v>Sim</v>
      </c>
      <c r="N31" s="16">
        <v>1.2999999999999999E-2</v>
      </c>
      <c r="O31" s="16">
        <v>1.24E-2</v>
      </c>
      <c r="P31" s="16">
        <v>1.17E-2</v>
      </c>
      <c r="Q31" s="15">
        <v>364708467.10000002</v>
      </c>
      <c r="R31" s="15">
        <v>346473043.75</v>
      </c>
      <c r="S31" s="15">
        <v>328237620.38999999</v>
      </c>
      <c r="T31" s="9" t="str">
        <f t="shared" si="3"/>
        <v>Abaixo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223119091.84999999</v>
      </c>
      <c r="J32" s="15">
        <v>29846383431.470001</v>
      </c>
      <c r="K32" s="10">
        <f t="shared" si="1"/>
        <v>7.4755821710292512E-3</v>
      </c>
      <c r="L32" s="16">
        <v>7.4999999999999997E-3</v>
      </c>
      <c r="M32" s="9" t="str">
        <f t="shared" si="2"/>
        <v>Sim</v>
      </c>
      <c r="N32" s="16">
        <v>1.2999999999999999E-2</v>
      </c>
      <c r="O32" s="16">
        <v>1.24E-2</v>
      </c>
      <c r="P32" s="16">
        <v>1.17E-2</v>
      </c>
      <c r="Q32" s="15">
        <v>388002984.61000001</v>
      </c>
      <c r="R32" s="15">
        <v>368602835.38</v>
      </c>
      <c r="S32" s="15">
        <v>349202686.14999998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227824713.96000001</v>
      </c>
      <c r="J33" s="15">
        <v>30896824722.029999</v>
      </c>
      <c r="K33" s="10">
        <f t="shared" si="1"/>
        <v>7.3737258119458745E-3</v>
      </c>
      <c r="L33" s="16">
        <v>7.4000000000000003E-3</v>
      </c>
      <c r="M33" s="9" t="str">
        <f t="shared" si="2"/>
        <v>Sim</v>
      </c>
      <c r="N33" s="16">
        <v>1.2999999999999999E-2</v>
      </c>
      <c r="O33" s="16">
        <v>1.24E-2</v>
      </c>
      <c r="P33" s="16">
        <v>1.17E-2</v>
      </c>
      <c r="Q33" s="15">
        <v>401658721.38999999</v>
      </c>
      <c r="R33" s="15">
        <v>381575785.31999999</v>
      </c>
      <c r="S33" s="15">
        <v>361492849.25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99318634.420000002</v>
      </c>
      <c r="J34" s="15">
        <v>23504378941.889999</v>
      </c>
      <c r="K34" s="10">
        <f t="shared" si="1"/>
        <v>4.2255374909307749E-3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99542481.239999995</v>
      </c>
      <c r="J35" s="15">
        <v>24568371213.98</v>
      </c>
      <c r="K35" s="10">
        <f t="shared" si="1"/>
        <v>4.0516516285523194E-3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112294143.95</v>
      </c>
      <c r="J36" s="15">
        <v>26201081254.360001</v>
      </c>
      <c r="K36" s="10">
        <f t="shared" si="1"/>
        <v>4.285859154431409E-3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123531990.45999999</v>
      </c>
      <c r="J37" s="15">
        <v>26543514664.889999</v>
      </c>
      <c r="K37" s="10">
        <f t="shared" si="1"/>
        <v>4.6539424797199117E-3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133245140.06</v>
      </c>
      <c r="J38" s="15">
        <v>27868809376.669998</v>
      </c>
      <c r="K38" s="10">
        <f t="shared" si="1"/>
        <v>4.7811565344999772E-3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131100524.88</v>
      </c>
      <c r="J39" s="15">
        <v>28054497469.34</v>
      </c>
      <c r="K39" s="10">
        <f t="shared" si="1"/>
        <v>4.6730662355751055E-3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131702966.61</v>
      </c>
      <c r="J40" s="15">
        <v>29846383431.470001</v>
      </c>
      <c r="K40" s="10">
        <f t="shared" si="1"/>
        <v>4.4126943189750929E-3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135557906.87</v>
      </c>
      <c r="J41" s="15">
        <v>30896824722.029999</v>
      </c>
      <c r="K41" s="10">
        <f t="shared" si="1"/>
        <v>4.3874381296322906E-3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376822822.50999999</v>
      </c>
      <c r="J42" s="15">
        <v>23504378941.889999</v>
      </c>
      <c r="K42" s="10">
        <f t="shared" si="1"/>
        <v>1.603202634886125E-2</v>
      </c>
      <c r="L42" s="16">
        <v>1.6E-2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470087578.83999997</v>
      </c>
      <c r="R42" s="15">
        <v>446583199.89999998</v>
      </c>
      <c r="S42" s="15">
        <v>423078820.95999998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388034317.5</v>
      </c>
      <c r="J43" s="15">
        <v>24568371213.98</v>
      </c>
      <c r="K43" s="10">
        <f t="shared" si="1"/>
        <v>1.5794059529644321E-2</v>
      </c>
      <c r="L43" s="16">
        <v>1.5800000000000002E-2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491367424.27999997</v>
      </c>
      <c r="R43" s="15">
        <v>466799053.06999999</v>
      </c>
      <c r="S43" s="15">
        <v>442230681.85000002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396014289.47000003</v>
      </c>
      <c r="J44" s="15">
        <v>26201081254.360001</v>
      </c>
      <c r="K44" s="10">
        <f t="shared" si="1"/>
        <v>1.5114425455403721E-2</v>
      </c>
      <c r="L44" s="16">
        <v>1.5100000000000001E-2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524021625.08999997</v>
      </c>
      <c r="R44" s="15">
        <v>497820543.83999997</v>
      </c>
      <c r="S44" s="15">
        <v>471619462.57999998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411222243.58999997</v>
      </c>
      <c r="J45" s="15">
        <v>26543514666.889999</v>
      </c>
      <c r="K45" s="10">
        <f t="shared" si="1"/>
        <v>1.5492381048654144E-2</v>
      </c>
      <c r="L45" s="16">
        <v>1.55E-2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530870293.33999997</v>
      </c>
      <c r="R45" s="15">
        <v>504326778.67000002</v>
      </c>
      <c r="S45" s="15">
        <v>477783264.00999999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422910577.52999997</v>
      </c>
      <c r="J46" s="15">
        <v>27868809376.669998</v>
      </c>
      <c r="K46" s="10">
        <f t="shared" si="1"/>
        <v>1.5175050064536805E-2</v>
      </c>
      <c r="L46" s="16">
        <v>1.52E-2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557376187.52999997</v>
      </c>
      <c r="R46" s="15">
        <v>529507378.14999998</v>
      </c>
      <c r="S46" s="15">
        <v>501638568.77999997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412466589.00999999</v>
      </c>
      <c r="J47" s="15">
        <v>28054497469.34</v>
      </c>
      <c r="K47" s="10">
        <f t="shared" si="1"/>
        <v>1.470233389355035E-2</v>
      </c>
      <c r="L47" s="16">
        <v>1.47E-2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561089949.38999999</v>
      </c>
      <c r="R47" s="15">
        <v>533035451.92000002</v>
      </c>
      <c r="S47" s="15">
        <v>504980954.44999999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437069428.69999999</v>
      </c>
      <c r="J48" s="15">
        <v>29846383431.470001</v>
      </c>
      <c r="K48" s="10">
        <f t="shared" si="1"/>
        <v>1.4643966150992832E-2</v>
      </c>
      <c r="L48" s="16">
        <v>1.46E-2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596927668.63</v>
      </c>
      <c r="R48" s="15">
        <v>567081285.20000005</v>
      </c>
      <c r="S48" s="15">
        <v>537234901.76999998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452604059.24000001</v>
      </c>
      <c r="J49" s="15">
        <v>30896824722.029999</v>
      </c>
      <c r="K49" s="10">
        <f t="shared" si="1"/>
        <v>1.464888587458261E-2</v>
      </c>
      <c r="L49" s="16">
        <v>1.46E-2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617936494.44000006</v>
      </c>
      <c r="R49" s="15">
        <v>587039669.72000003</v>
      </c>
      <c r="S49" s="15">
        <v>556142845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30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2026-10-15T09:56:21Z</dcterms:created>
  <dcterms:modified xsi:type="dcterms:W3CDTF">2026-10-15T09:56:55Z</dcterms:modified>
</cp:coreProperties>
</file>