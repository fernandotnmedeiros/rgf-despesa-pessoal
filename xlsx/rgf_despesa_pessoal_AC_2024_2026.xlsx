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Dados" sheetId="2" state="visible" r:id="rId2"/>
    <sheet name="Notas" sheetId="3" state="visible" r:id="rId3"/>
  </sheets>
  <definedNames>
    <definedName name="_xlnm._FilterDatabase" localSheetId="1" hidden="1">'Dados'!$A$1:$U$49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;(&quot;R$&quot; #,##0.00);-"/>
    <numFmt numFmtId="165" formatCode="0.00%;(0.00%);-"/>
    <numFmt numFmtId="166" formatCode="#,##0.0;(#,##0.0);-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sz val="10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sz val="10"/>
    </font>
    <font>
      <name val="Arial"/>
      <i val="1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EF2F8"/>
      </patternFill>
    </fill>
  </fills>
  <borders count="2">
    <border>
      <left/>
      <right/>
      <top/>
      <bottom/>
      <diagonal/>
    </border>
    <border>
      <bottom style="thin">
        <color rgb="00C9D2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1" pivotButton="0" quotePrefix="0" xfId="0"/>
    <xf numFmtId="0" fontId="3" fillId="3" borderId="1" pivotButton="0" quotePrefix="0" xfId="0"/>
    <xf numFmtId="165" fontId="3" fillId="3" borderId="1" pivotButton="0" quotePrefix="0" xfId="0"/>
    <xf numFmtId="0" fontId="6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0" fontId="7" fillId="0" borderId="0" pivotButton="0" quotePrefix="0" xfId="0"/>
    <xf numFmtId="166" fontId="7" fillId="0" borderId="0" pivotButton="0" quotePrefix="0" xfId="0"/>
    <xf numFmtId="166" fontId="3" fillId="3" borderId="1" pivotButton="0" quotePrefix="0" xfId="0"/>
    <xf numFmtId="166" fontId="3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4" fontId="3" fillId="0" borderId="1" pivotButton="0" quotePrefix="0" xfId="0"/>
    <xf numFmtId="0" fontId="6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Planilha</author>
  </authors>
  <commentList>
    <comment ref="K1" authorId="0" shapeId="0">
      <text>
        <t>Fórmula: DTP / RCL Ajustada. Reproduz o % declarado no RGF, que vem arredondado em 2 casas.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26" customWidth="1" min="12" max="12"/>
  </cols>
  <sheetData>
    <row r="1">
      <c r="A1" s="1" t="inlineStr">
        <is>
          <t>Despesa total com pessoal - Acre (AC)</t>
        </is>
      </c>
    </row>
    <row r="2">
      <c r="A2" s="2" t="inlineStr">
        <is>
          <t>RGF, Anexo 1 (Siconfi/Tesouro Nacional). Percentual da Despesa Total com Pessoal (DTP) sobre a Receita Corrente Líquida Ajustada, últimos 12 meses de cada quadrimestre.</t>
        </is>
      </c>
    </row>
    <row r="4">
      <c r="A4" s="3" t="inlineStr">
        <is>
          <t>% da DTP sobre a RCL Ajustada</t>
        </is>
      </c>
    </row>
    <row r="5" ht="44" customHeight="1">
      <c r="A5" s="4" t="inlineStr">
        <is>
          <t>Órgão</t>
        </is>
      </c>
      <c r="B5" s="4" t="inlineStr">
        <is>
          <t>Poder / órgão</t>
        </is>
      </c>
      <c r="C5" s="4" t="inlineStr">
        <is>
          <t>1º quad. 2024</t>
        </is>
      </c>
      <c r="D5" s="4" t="inlineStr">
        <is>
          <t>2º quad. 2024</t>
        </is>
      </c>
      <c r="E5" s="4" t="inlineStr">
        <is>
          <t>3º quad. 2024</t>
        </is>
      </c>
      <c r="F5" s="4" t="inlineStr">
        <is>
          <t>1º quad. 2025</t>
        </is>
      </c>
      <c r="G5" s="4" t="inlineStr">
        <is>
          <t>2º quad. 2025</t>
        </is>
      </c>
      <c r="H5" s="4" t="inlineStr">
        <is>
          <t>3º quad. 2025</t>
        </is>
      </c>
      <c r="I5" s="4" t="inlineStr">
        <is>
          <t>1º quad. 2026</t>
        </is>
      </c>
      <c r="J5" s="4" t="inlineStr">
        <is>
          <t>2º quad. 2026</t>
        </is>
      </c>
      <c r="K5" s="4" t="inlineStr">
        <is>
          <t>Limite máximo (2º quad. 2026)</t>
        </is>
      </c>
      <c r="L5" s="4" t="inlineStr">
        <is>
          <t>Situação (2º quad. 2026)</t>
        </is>
      </c>
    </row>
    <row r="6">
      <c r="A6" s="5" t="inlineStr">
        <is>
          <t>Governo</t>
        </is>
      </c>
      <c r="B6" s="6" t="inlineStr">
        <is>
          <t>Poder Executivo</t>
        </is>
      </c>
      <c r="C6" s="7">
        <f>IFERROR(IF(INDEX(Dados!$K$2:$K$49,MATCH($A6&amp;"|"&amp;C$5,Dados!$A$2:$A$49,0))="","",INDEX(Dados!$K$2:$K$49,MATCH($A6&amp;"|"&amp;C$5,Dados!$A$2:$A$49,0))),"")</f>
        <v/>
      </c>
      <c r="D6" s="7">
        <f>IFERROR(IF(INDEX(Dados!$K$2:$K$49,MATCH($A6&amp;"|"&amp;D$5,Dados!$A$2:$A$49,0))="","",INDEX(Dados!$K$2:$K$49,MATCH($A6&amp;"|"&amp;D$5,Dados!$A$2:$A$49,0))),"")</f>
        <v/>
      </c>
      <c r="E6" s="7">
        <f>IFERROR(IF(INDEX(Dados!$K$2:$K$49,MATCH($A6&amp;"|"&amp;E$5,Dados!$A$2:$A$49,0))="","",INDEX(Dados!$K$2:$K$49,MATCH($A6&amp;"|"&amp;E$5,Dados!$A$2:$A$49,0))),"")</f>
        <v/>
      </c>
      <c r="F6" s="7">
        <f>IFERROR(IF(INDEX(Dados!$K$2:$K$49,MATCH($A6&amp;"|"&amp;F$5,Dados!$A$2:$A$49,0))="","",INDEX(Dados!$K$2:$K$49,MATCH($A6&amp;"|"&amp;F$5,Dados!$A$2:$A$49,0))),"")</f>
        <v/>
      </c>
      <c r="G6" s="7">
        <f>IFERROR(IF(INDEX(Dados!$K$2:$K$49,MATCH($A6&amp;"|"&amp;G$5,Dados!$A$2:$A$49,0))="","",INDEX(Dados!$K$2:$K$49,MATCH($A6&amp;"|"&amp;G$5,Dados!$A$2:$A$49,0))),"")</f>
        <v/>
      </c>
      <c r="H6" s="7">
        <f>IFERROR(IF(INDEX(Dados!$K$2:$K$49,MATCH($A6&amp;"|"&amp;H$5,Dados!$A$2:$A$49,0))="","",INDEX(Dados!$K$2:$K$49,MATCH($A6&amp;"|"&amp;H$5,Dados!$A$2:$A$49,0))),"")</f>
        <v/>
      </c>
      <c r="I6" s="7">
        <f>IFERROR(IF(INDEX(Dados!$K$2:$K$49,MATCH($A6&amp;"|"&amp;I$5,Dados!$A$2:$A$49,0))="","",INDEX(Dados!$K$2:$K$49,MATCH($A6&amp;"|"&amp;I$5,Dados!$A$2:$A$49,0))),"")</f>
        <v/>
      </c>
      <c r="J6" s="7">
        <f>IFERROR(IF(INDEX(Dados!$K$2:$K$49,MATCH($A6&amp;"|"&amp;J$5,Dados!$A$2:$A$49,0))="","",INDEX(Dados!$K$2:$K$49,MATCH($A6&amp;"|"&amp;J$5,Dados!$A$2:$A$49,0))),"")</f>
        <v/>
      </c>
      <c r="K6" s="7">
        <f>IFERROR(IF(INDEX(Dados!$N$2:$N$49,MATCH($A6&amp;"|"&amp;J$5,Dados!$A$2:$A$49,0))=0,"—",INDEX(Dados!$N$2:$N$49,MATCH($A6&amp;"|"&amp;J$5,Dados!$A$2:$A$49,0))),"—")</f>
        <v/>
      </c>
      <c r="L6" s="6">
        <f>IFERROR(IF(INDEX(Dados!$T$2:$T$49,MATCH($A6&amp;"|"&amp;J$5,Dados!$A$2:$A$49,0))="","—",INDEX(Dados!$T$2:$T$49,MATCH($A6&amp;"|"&amp;J$5,Dados!$A$2:$A$49,0))),"—")</f>
        <v/>
      </c>
    </row>
    <row r="7">
      <c r="A7" s="8" t="inlineStr">
        <is>
          <t>Assembleia Legislativa</t>
        </is>
      </c>
      <c r="B7" s="9" t="inlineStr">
        <is>
          <t>Poder Legislativo</t>
        </is>
      </c>
      <c r="C7" s="10">
        <f>IFERROR(IF(INDEX(Dados!$K$2:$K$49,MATCH($A7&amp;"|"&amp;C$5,Dados!$A$2:$A$49,0))="","",INDEX(Dados!$K$2:$K$49,MATCH($A7&amp;"|"&amp;C$5,Dados!$A$2:$A$49,0))),"")</f>
        <v/>
      </c>
      <c r="D7" s="10">
        <f>IFERROR(IF(INDEX(Dados!$K$2:$K$49,MATCH($A7&amp;"|"&amp;D$5,Dados!$A$2:$A$49,0))="","",INDEX(Dados!$K$2:$K$49,MATCH($A7&amp;"|"&amp;D$5,Dados!$A$2:$A$49,0))),"")</f>
        <v/>
      </c>
      <c r="E7" s="10">
        <f>IFERROR(IF(INDEX(Dados!$K$2:$K$49,MATCH($A7&amp;"|"&amp;E$5,Dados!$A$2:$A$49,0))="","",INDEX(Dados!$K$2:$K$49,MATCH($A7&amp;"|"&amp;E$5,Dados!$A$2:$A$49,0))),"")</f>
        <v/>
      </c>
      <c r="F7" s="10">
        <f>IFERROR(IF(INDEX(Dados!$K$2:$K$49,MATCH($A7&amp;"|"&amp;F$5,Dados!$A$2:$A$49,0))="","",INDEX(Dados!$K$2:$K$49,MATCH($A7&amp;"|"&amp;F$5,Dados!$A$2:$A$49,0))),"")</f>
        <v/>
      </c>
      <c r="G7" s="10">
        <f>IFERROR(IF(INDEX(Dados!$K$2:$K$49,MATCH($A7&amp;"|"&amp;G$5,Dados!$A$2:$A$49,0))="","",INDEX(Dados!$K$2:$K$49,MATCH($A7&amp;"|"&amp;G$5,Dados!$A$2:$A$49,0))),"")</f>
        <v/>
      </c>
      <c r="H7" s="10">
        <f>IFERROR(IF(INDEX(Dados!$K$2:$K$49,MATCH($A7&amp;"|"&amp;H$5,Dados!$A$2:$A$49,0))="","",INDEX(Dados!$K$2:$K$49,MATCH($A7&amp;"|"&amp;H$5,Dados!$A$2:$A$49,0))),"")</f>
        <v/>
      </c>
      <c r="I7" s="10">
        <f>IFERROR(IF(INDEX(Dados!$K$2:$K$49,MATCH($A7&amp;"|"&amp;I$5,Dados!$A$2:$A$49,0))="","",INDEX(Dados!$K$2:$K$49,MATCH($A7&amp;"|"&amp;I$5,Dados!$A$2:$A$49,0))),"")</f>
        <v/>
      </c>
      <c r="J7" s="10">
        <f>IFERROR(IF(INDEX(Dados!$K$2:$K$49,MATCH($A7&amp;"|"&amp;J$5,Dados!$A$2:$A$49,0))="","",INDEX(Dados!$K$2:$K$49,MATCH($A7&amp;"|"&amp;J$5,Dados!$A$2:$A$49,0))),"")</f>
        <v/>
      </c>
      <c r="K7" s="10">
        <f>IFERROR(IF(INDEX(Dados!$N$2:$N$49,MATCH($A7&amp;"|"&amp;J$5,Dados!$A$2:$A$49,0))=0,"—",INDEX(Dados!$N$2:$N$49,MATCH($A7&amp;"|"&amp;J$5,Dados!$A$2:$A$49,0))),"—")</f>
        <v/>
      </c>
      <c r="L7" s="9">
        <f>IFERROR(IF(INDEX(Dados!$T$2:$T$49,MATCH($A7&amp;"|"&amp;J$5,Dados!$A$2:$A$49,0))="","—",INDEX(Dados!$T$2:$T$49,MATCH($A7&amp;"|"&amp;J$5,Dados!$A$2:$A$49,0))),"—")</f>
        <v/>
      </c>
    </row>
    <row r="8">
      <c r="A8" s="8" t="inlineStr">
        <is>
          <t>Tribunal de Justiça</t>
        </is>
      </c>
      <c r="B8" s="9" t="inlineStr">
        <is>
          <t>Poder Judiciário</t>
        </is>
      </c>
      <c r="C8" s="10">
        <f>IFERROR(IF(INDEX(Dados!$K$2:$K$49,MATCH($A8&amp;"|"&amp;C$5,Dados!$A$2:$A$49,0))="","",INDEX(Dados!$K$2:$K$49,MATCH($A8&amp;"|"&amp;C$5,Dados!$A$2:$A$49,0))),"")</f>
        <v/>
      </c>
      <c r="D8" s="10">
        <f>IFERROR(IF(INDEX(Dados!$K$2:$K$49,MATCH($A8&amp;"|"&amp;D$5,Dados!$A$2:$A$49,0))="","",INDEX(Dados!$K$2:$K$49,MATCH($A8&amp;"|"&amp;D$5,Dados!$A$2:$A$49,0))),"")</f>
        <v/>
      </c>
      <c r="E8" s="10">
        <f>IFERROR(IF(INDEX(Dados!$K$2:$K$49,MATCH($A8&amp;"|"&amp;E$5,Dados!$A$2:$A$49,0))="","",INDEX(Dados!$K$2:$K$49,MATCH($A8&amp;"|"&amp;E$5,Dados!$A$2:$A$49,0))),"")</f>
        <v/>
      </c>
      <c r="F8" s="10">
        <f>IFERROR(IF(INDEX(Dados!$K$2:$K$49,MATCH($A8&amp;"|"&amp;F$5,Dados!$A$2:$A$49,0))="","",INDEX(Dados!$K$2:$K$49,MATCH($A8&amp;"|"&amp;F$5,Dados!$A$2:$A$49,0))),"")</f>
        <v/>
      </c>
      <c r="G8" s="10">
        <f>IFERROR(IF(INDEX(Dados!$K$2:$K$49,MATCH($A8&amp;"|"&amp;G$5,Dados!$A$2:$A$49,0))="","",INDEX(Dados!$K$2:$K$49,MATCH($A8&amp;"|"&amp;G$5,Dados!$A$2:$A$49,0))),"")</f>
        <v/>
      </c>
      <c r="H8" s="10">
        <f>IFERROR(IF(INDEX(Dados!$K$2:$K$49,MATCH($A8&amp;"|"&amp;H$5,Dados!$A$2:$A$49,0))="","",INDEX(Dados!$K$2:$K$49,MATCH($A8&amp;"|"&amp;H$5,Dados!$A$2:$A$49,0))),"")</f>
        <v/>
      </c>
      <c r="I8" s="10">
        <f>IFERROR(IF(INDEX(Dados!$K$2:$K$49,MATCH($A8&amp;"|"&amp;I$5,Dados!$A$2:$A$49,0))="","",INDEX(Dados!$K$2:$K$49,MATCH($A8&amp;"|"&amp;I$5,Dados!$A$2:$A$49,0))),"")</f>
        <v/>
      </c>
      <c r="J8" s="10">
        <f>IFERROR(IF(INDEX(Dados!$K$2:$K$49,MATCH($A8&amp;"|"&amp;J$5,Dados!$A$2:$A$49,0))="","",INDEX(Dados!$K$2:$K$49,MATCH($A8&amp;"|"&amp;J$5,Dados!$A$2:$A$49,0))),"")</f>
        <v/>
      </c>
      <c r="K8" s="10">
        <f>IFERROR(IF(INDEX(Dados!$N$2:$N$49,MATCH($A8&amp;"|"&amp;J$5,Dados!$A$2:$A$49,0))=0,"—",INDEX(Dados!$N$2:$N$49,MATCH($A8&amp;"|"&amp;J$5,Dados!$A$2:$A$49,0))),"—")</f>
        <v/>
      </c>
      <c r="L8" s="9">
        <f>IFERROR(IF(INDEX(Dados!$T$2:$T$49,MATCH($A8&amp;"|"&amp;J$5,Dados!$A$2:$A$49,0))="","—",INDEX(Dados!$T$2:$T$49,MATCH($A8&amp;"|"&amp;J$5,Dados!$A$2:$A$49,0))),"—")</f>
        <v/>
      </c>
    </row>
    <row r="9">
      <c r="A9" s="8" t="inlineStr">
        <is>
          <t>Tribunal de Contas</t>
        </is>
      </c>
      <c r="B9" s="9" t="inlineStr">
        <is>
          <t>Tribunal de Contas</t>
        </is>
      </c>
      <c r="C9" s="10">
        <f>IFERROR(IF(INDEX(Dados!$K$2:$K$49,MATCH($A9&amp;"|"&amp;C$5,Dados!$A$2:$A$49,0))="","",INDEX(Dados!$K$2:$K$49,MATCH($A9&amp;"|"&amp;C$5,Dados!$A$2:$A$49,0))),"")</f>
        <v/>
      </c>
      <c r="D9" s="10">
        <f>IFERROR(IF(INDEX(Dados!$K$2:$K$49,MATCH($A9&amp;"|"&amp;D$5,Dados!$A$2:$A$49,0))="","",INDEX(Dados!$K$2:$K$49,MATCH($A9&amp;"|"&amp;D$5,Dados!$A$2:$A$49,0))),"")</f>
        <v/>
      </c>
      <c r="E9" s="10">
        <f>IFERROR(IF(INDEX(Dados!$K$2:$K$49,MATCH($A9&amp;"|"&amp;E$5,Dados!$A$2:$A$49,0))="","",INDEX(Dados!$K$2:$K$49,MATCH($A9&amp;"|"&amp;E$5,Dados!$A$2:$A$49,0))),"")</f>
        <v/>
      </c>
      <c r="F9" s="10">
        <f>IFERROR(IF(INDEX(Dados!$K$2:$K$49,MATCH($A9&amp;"|"&amp;F$5,Dados!$A$2:$A$49,0))="","",INDEX(Dados!$K$2:$K$49,MATCH($A9&amp;"|"&amp;F$5,Dados!$A$2:$A$49,0))),"")</f>
        <v/>
      </c>
      <c r="G9" s="10">
        <f>IFERROR(IF(INDEX(Dados!$K$2:$K$49,MATCH($A9&amp;"|"&amp;G$5,Dados!$A$2:$A$49,0))="","",INDEX(Dados!$K$2:$K$49,MATCH($A9&amp;"|"&amp;G$5,Dados!$A$2:$A$49,0))),"")</f>
        <v/>
      </c>
      <c r="H9" s="10">
        <f>IFERROR(IF(INDEX(Dados!$K$2:$K$49,MATCH($A9&amp;"|"&amp;H$5,Dados!$A$2:$A$49,0))="","",INDEX(Dados!$K$2:$K$49,MATCH($A9&amp;"|"&amp;H$5,Dados!$A$2:$A$49,0))),"")</f>
        <v/>
      </c>
      <c r="I9" s="10">
        <f>IFERROR(IF(INDEX(Dados!$K$2:$K$49,MATCH($A9&amp;"|"&amp;I$5,Dados!$A$2:$A$49,0))="","",INDEX(Dados!$K$2:$K$49,MATCH($A9&amp;"|"&amp;I$5,Dados!$A$2:$A$49,0))),"")</f>
        <v/>
      </c>
      <c r="J9" s="10">
        <f>IFERROR(IF(INDEX(Dados!$K$2:$K$49,MATCH($A9&amp;"|"&amp;J$5,Dados!$A$2:$A$49,0))="","",INDEX(Dados!$K$2:$K$49,MATCH($A9&amp;"|"&amp;J$5,Dados!$A$2:$A$49,0))),"")</f>
        <v/>
      </c>
      <c r="K9" s="10">
        <f>IFERROR(IF(INDEX(Dados!$N$2:$N$49,MATCH($A9&amp;"|"&amp;J$5,Dados!$A$2:$A$49,0))=0,"—",INDEX(Dados!$N$2:$N$49,MATCH($A9&amp;"|"&amp;J$5,Dados!$A$2:$A$49,0))),"—")</f>
        <v/>
      </c>
      <c r="L9" s="9">
        <f>IFERROR(IF(INDEX(Dados!$T$2:$T$49,MATCH($A9&amp;"|"&amp;J$5,Dados!$A$2:$A$49,0))="","—",INDEX(Dados!$T$2:$T$49,MATCH($A9&amp;"|"&amp;J$5,Dados!$A$2:$A$49,0))),"—")</f>
        <v/>
      </c>
    </row>
    <row r="10">
      <c r="A10" s="8" t="inlineStr">
        <is>
          <t>Defensoria Pública</t>
        </is>
      </c>
      <c r="B10" s="9" t="inlineStr">
        <is>
          <t>Defensoria Pública</t>
        </is>
      </c>
      <c r="C10" s="10">
        <f>IFERROR(IF(INDEX(Dados!$K$2:$K$49,MATCH($A10&amp;"|"&amp;C$5,Dados!$A$2:$A$49,0))="","",INDEX(Dados!$K$2:$K$49,MATCH($A10&amp;"|"&amp;C$5,Dados!$A$2:$A$49,0))),"")</f>
        <v/>
      </c>
      <c r="D10" s="10">
        <f>IFERROR(IF(INDEX(Dados!$K$2:$K$49,MATCH($A10&amp;"|"&amp;D$5,Dados!$A$2:$A$49,0))="","",INDEX(Dados!$K$2:$K$49,MATCH($A10&amp;"|"&amp;D$5,Dados!$A$2:$A$49,0))),"")</f>
        <v/>
      </c>
      <c r="E10" s="10">
        <f>IFERROR(IF(INDEX(Dados!$K$2:$K$49,MATCH($A10&amp;"|"&amp;E$5,Dados!$A$2:$A$49,0))="","",INDEX(Dados!$K$2:$K$49,MATCH($A10&amp;"|"&amp;E$5,Dados!$A$2:$A$49,0))),"")</f>
        <v/>
      </c>
      <c r="F10" s="10">
        <f>IFERROR(IF(INDEX(Dados!$K$2:$K$49,MATCH($A10&amp;"|"&amp;F$5,Dados!$A$2:$A$49,0))="","",INDEX(Dados!$K$2:$K$49,MATCH($A10&amp;"|"&amp;F$5,Dados!$A$2:$A$49,0))),"")</f>
        <v/>
      </c>
      <c r="G10" s="10">
        <f>IFERROR(IF(INDEX(Dados!$K$2:$K$49,MATCH($A10&amp;"|"&amp;G$5,Dados!$A$2:$A$49,0))="","",INDEX(Dados!$K$2:$K$49,MATCH($A10&amp;"|"&amp;G$5,Dados!$A$2:$A$49,0))),"")</f>
        <v/>
      </c>
      <c r="H10" s="10">
        <f>IFERROR(IF(INDEX(Dados!$K$2:$K$49,MATCH($A10&amp;"|"&amp;H$5,Dados!$A$2:$A$49,0))="","",INDEX(Dados!$K$2:$K$49,MATCH($A10&amp;"|"&amp;H$5,Dados!$A$2:$A$49,0))),"")</f>
        <v/>
      </c>
      <c r="I10" s="10">
        <f>IFERROR(IF(INDEX(Dados!$K$2:$K$49,MATCH($A10&amp;"|"&amp;I$5,Dados!$A$2:$A$49,0))="","",INDEX(Dados!$K$2:$K$49,MATCH($A10&amp;"|"&amp;I$5,Dados!$A$2:$A$49,0))),"")</f>
        <v/>
      </c>
      <c r="J10" s="10">
        <f>IFERROR(IF(INDEX(Dados!$K$2:$K$49,MATCH($A10&amp;"|"&amp;J$5,Dados!$A$2:$A$49,0))="","",INDEX(Dados!$K$2:$K$49,MATCH($A10&amp;"|"&amp;J$5,Dados!$A$2:$A$49,0))),"")</f>
        <v/>
      </c>
      <c r="K10" s="10">
        <f>IFERROR(IF(INDEX(Dados!$N$2:$N$49,MATCH($A10&amp;"|"&amp;J$5,Dados!$A$2:$A$49,0))=0,"—",INDEX(Dados!$N$2:$N$49,MATCH($A10&amp;"|"&amp;J$5,Dados!$A$2:$A$49,0))),"—")</f>
        <v/>
      </c>
      <c r="L10" s="9">
        <f>IFERROR(IF(INDEX(Dados!$T$2:$T$49,MATCH($A10&amp;"|"&amp;J$5,Dados!$A$2:$A$49,0))="","—",INDEX(Dados!$T$2:$T$49,MATCH($A10&amp;"|"&amp;J$5,Dados!$A$2:$A$49,0))),"—")</f>
        <v/>
      </c>
    </row>
    <row r="11">
      <c r="A11" s="8" t="inlineStr">
        <is>
          <t>Ministério Público</t>
        </is>
      </c>
      <c r="B11" s="9" t="inlineStr">
        <is>
          <t>Ministério Público</t>
        </is>
      </c>
      <c r="C11" s="10">
        <f>IFERROR(IF(INDEX(Dados!$K$2:$K$49,MATCH($A11&amp;"|"&amp;C$5,Dados!$A$2:$A$49,0))="","",INDEX(Dados!$K$2:$K$49,MATCH($A11&amp;"|"&amp;C$5,Dados!$A$2:$A$49,0))),"")</f>
        <v/>
      </c>
      <c r="D11" s="10">
        <f>IFERROR(IF(INDEX(Dados!$K$2:$K$49,MATCH($A11&amp;"|"&amp;D$5,Dados!$A$2:$A$49,0))="","",INDEX(Dados!$K$2:$K$49,MATCH($A11&amp;"|"&amp;D$5,Dados!$A$2:$A$49,0))),"")</f>
        <v/>
      </c>
      <c r="E11" s="10">
        <f>IFERROR(IF(INDEX(Dados!$K$2:$K$49,MATCH($A11&amp;"|"&amp;E$5,Dados!$A$2:$A$49,0))="","",INDEX(Dados!$K$2:$K$49,MATCH($A11&amp;"|"&amp;E$5,Dados!$A$2:$A$49,0))),"")</f>
        <v/>
      </c>
      <c r="F11" s="10">
        <f>IFERROR(IF(INDEX(Dados!$K$2:$K$49,MATCH($A11&amp;"|"&amp;F$5,Dados!$A$2:$A$49,0))="","",INDEX(Dados!$K$2:$K$49,MATCH($A11&amp;"|"&amp;F$5,Dados!$A$2:$A$49,0))),"")</f>
        <v/>
      </c>
      <c r="G11" s="10">
        <f>IFERROR(IF(INDEX(Dados!$K$2:$K$49,MATCH($A11&amp;"|"&amp;G$5,Dados!$A$2:$A$49,0))="","",INDEX(Dados!$K$2:$K$49,MATCH($A11&amp;"|"&amp;G$5,Dados!$A$2:$A$49,0))),"")</f>
        <v/>
      </c>
      <c r="H11" s="10">
        <f>IFERROR(IF(INDEX(Dados!$K$2:$K$49,MATCH($A11&amp;"|"&amp;H$5,Dados!$A$2:$A$49,0))="","",INDEX(Dados!$K$2:$K$49,MATCH($A11&amp;"|"&amp;H$5,Dados!$A$2:$A$49,0))),"")</f>
        <v/>
      </c>
      <c r="I11" s="10">
        <f>IFERROR(IF(INDEX(Dados!$K$2:$K$49,MATCH($A11&amp;"|"&amp;I$5,Dados!$A$2:$A$49,0))="","",INDEX(Dados!$K$2:$K$49,MATCH($A11&amp;"|"&amp;I$5,Dados!$A$2:$A$49,0))),"")</f>
        <v/>
      </c>
      <c r="J11" s="10">
        <f>IFERROR(IF(INDEX(Dados!$K$2:$K$49,MATCH($A11&amp;"|"&amp;J$5,Dados!$A$2:$A$49,0))="","",INDEX(Dados!$K$2:$K$49,MATCH($A11&amp;"|"&amp;J$5,Dados!$A$2:$A$49,0))),"")</f>
        <v/>
      </c>
      <c r="K11" s="10">
        <f>IFERROR(IF(INDEX(Dados!$N$2:$N$49,MATCH($A11&amp;"|"&amp;J$5,Dados!$A$2:$A$49,0))=0,"—",INDEX(Dados!$N$2:$N$49,MATCH($A11&amp;"|"&amp;J$5,Dados!$A$2:$A$49,0))),"—")</f>
        <v/>
      </c>
      <c r="L11" s="9">
        <f>IFERROR(IF(INDEX(Dados!$T$2:$T$49,MATCH($A11&amp;"|"&amp;J$5,Dados!$A$2:$A$49,0))="","—",INDEX(Dados!$T$2:$T$49,MATCH($A11&amp;"|"&amp;J$5,Dados!$A$2:$A$49,0))),"—")</f>
        <v/>
      </c>
    </row>
    <row r="12">
      <c r="A12" s="3" t="inlineStr">
        <is>
          <t>RCL Ajustada (R$ milhões)</t>
        </is>
      </c>
      <c r="B12" s="11" t="inlineStr">
        <is>
          <t>base comum</t>
        </is>
      </c>
      <c r="C12" s="12">
        <f>IFERROR(INDEX(Dados!$J$2:$J$49,MATCH("Governo|"&amp;C$5,Dados!$A$2:$A$49,0))/1000000,"")</f>
        <v/>
      </c>
      <c r="D12" s="12">
        <f>IFERROR(INDEX(Dados!$J$2:$J$49,MATCH("Governo|"&amp;D$5,Dados!$A$2:$A$49,0))/1000000,"")</f>
        <v/>
      </c>
      <c r="E12" s="12">
        <f>IFERROR(INDEX(Dados!$J$2:$J$49,MATCH("Governo|"&amp;E$5,Dados!$A$2:$A$49,0))/1000000,"")</f>
        <v/>
      </c>
      <c r="F12" s="12">
        <f>IFERROR(INDEX(Dados!$J$2:$J$49,MATCH("Governo|"&amp;F$5,Dados!$A$2:$A$49,0))/1000000,"")</f>
        <v/>
      </c>
      <c r="G12" s="12">
        <f>IFERROR(INDEX(Dados!$J$2:$J$49,MATCH("Governo|"&amp;G$5,Dados!$A$2:$A$49,0))/1000000,"")</f>
        <v/>
      </c>
      <c r="H12" s="12">
        <f>IFERROR(INDEX(Dados!$J$2:$J$49,MATCH("Governo|"&amp;H$5,Dados!$A$2:$A$49,0))/1000000,"")</f>
        <v/>
      </c>
      <c r="I12" s="12">
        <f>IFERROR(INDEX(Dados!$J$2:$J$49,MATCH("Governo|"&amp;I$5,Dados!$A$2:$A$49,0))/1000000,"")</f>
        <v/>
      </c>
      <c r="J12" s="12">
        <f>IFERROR(INDEX(Dados!$J$2:$J$49,MATCH("Governo|"&amp;J$5,Dados!$A$2:$A$49,0))/1000000,"")</f>
        <v/>
      </c>
    </row>
    <row r="14">
      <c r="A14" s="3" t="inlineStr">
        <is>
          <t>Despesa total com pessoal (R$ milhões)</t>
        </is>
      </c>
    </row>
    <row r="15" ht="44" customHeight="1">
      <c r="A15" s="4" t="inlineStr">
        <is>
          <t>Órgão</t>
        </is>
      </c>
      <c r="B15" s="4" t="inlineStr">
        <is>
          <t>Poder / órgão</t>
        </is>
      </c>
      <c r="C15" s="4" t="inlineStr">
        <is>
          <t>1º quad. 2024</t>
        </is>
      </c>
      <c r="D15" s="4" t="inlineStr">
        <is>
          <t>2º quad. 2024</t>
        </is>
      </c>
      <c r="E15" s="4" t="inlineStr">
        <is>
          <t>3º quad. 2024</t>
        </is>
      </c>
      <c r="F15" s="4" t="inlineStr">
        <is>
          <t>1º quad. 2025</t>
        </is>
      </c>
      <c r="G15" s="4" t="inlineStr">
        <is>
          <t>2º quad. 2025</t>
        </is>
      </c>
      <c r="H15" s="4" t="inlineStr">
        <is>
          <t>3º quad. 2025</t>
        </is>
      </c>
      <c r="I15" s="4" t="inlineStr">
        <is>
          <t>1º quad. 2026</t>
        </is>
      </c>
      <c r="J15" s="4" t="inlineStr">
        <is>
          <t>2º quad. 2026</t>
        </is>
      </c>
    </row>
    <row r="16">
      <c r="A16" s="5" t="inlineStr">
        <is>
          <t>Governo</t>
        </is>
      </c>
      <c r="B16" s="6" t="inlineStr">
        <is>
          <t>Poder Executivo</t>
        </is>
      </c>
      <c r="C16" s="13">
        <f>IFERROR(IF(INDEX(Dados!$I$2:$I$49,MATCH($A16&amp;"|"&amp;C$15,Dados!$A$2:$A$49,0))="","",INDEX(Dados!$I$2:$I$49,MATCH($A16&amp;"|"&amp;C$15,Dados!$A$2:$A$49,0))/1000000),"")</f>
        <v/>
      </c>
      <c r="D16" s="13">
        <f>IFERROR(IF(INDEX(Dados!$I$2:$I$49,MATCH($A16&amp;"|"&amp;D$15,Dados!$A$2:$A$49,0))="","",INDEX(Dados!$I$2:$I$49,MATCH($A16&amp;"|"&amp;D$15,Dados!$A$2:$A$49,0))/1000000),"")</f>
        <v/>
      </c>
      <c r="E16" s="13">
        <f>IFERROR(IF(INDEX(Dados!$I$2:$I$49,MATCH($A16&amp;"|"&amp;E$15,Dados!$A$2:$A$49,0))="","",INDEX(Dados!$I$2:$I$49,MATCH($A16&amp;"|"&amp;E$15,Dados!$A$2:$A$49,0))/1000000),"")</f>
        <v/>
      </c>
      <c r="F16" s="13">
        <f>IFERROR(IF(INDEX(Dados!$I$2:$I$49,MATCH($A16&amp;"|"&amp;F$15,Dados!$A$2:$A$49,0))="","",INDEX(Dados!$I$2:$I$49,MATCH($A16&amp;"|"&amp;F$15,Dados!$A$2:$A$49,0))/1000000),"")</f>
        <v/>
      </c>
      <c r="G16" s="13">
        <f>IFERROR(IF(INDEX(Dados!$I$2:$I$49,MATCH($A16&amp;"|"&amp;G$15,Dados!$A$2:$A$49,0))="","",INDEX(Dados!$I$2:$I$49,MATCH($A16&amp;"|"&amp;G$15,Dados!$A$2:$A$49,0))/1000000),"")</f>
        <v/>
      </c>
      <c r="H16" s="13">
        <f>IFERROR(IF(INDEX(Dados!$I$2:$I$49,MATCH($A16&amp;"|"&amp;H$15,Dados!$A$2:$A$49,0))="","",INDEX(Dados!$I$2:$I$49,MATCH($A16&amp;"|"&amp;H$15,Dados!$A$2:$A$49,0))/1000000),"")</f>
        <v/>
      </c>
      <c r="I16" s="13">
        <f>IFERROR(IF(INDEX(Dados!$I$2:$I$49,MATCH($A16&amp;"|"&amp;I$15,Dados!$A$2:$A$49,0))="","",INDEX(Dados!$I$2:$I$49,MATCH($A16&amp;"|"&amp;I$15,Dados!$A$2:$A$49,0))/1000000),"")</f>
        <v/>
      </c>
      <c r="J16" s="13">
        <f>IFERROR(IF(INDEX(Dados!$I$2:$I$49,MATCH($A16&amp;"|"&amp;J$15,Dados!$A$2:$A$49,0))="","",INDEX(Dados!$I$2:$I$49,MATCH($A16&amp;"|"&amp;J$15,Dados!$A$2:$A$49,0))/1000000),"")</f>
        <v/>
      </c>
    </row>
    <row r="17">
      <c r="A17" s="8" t="inlineStr">
        <is>
          <t>Assembleia Legislativa</t>
        </is>
      </c>
      <c r="B17" s="9" t="inlineStr">
        <is>
          <t>Poder Legislativo</t>
        </is>
      </c>
      <c r="C17" s="14">
        <f>IFERROR(IF(INDEX(Dados!$I$2:$I$49,MATCH($A17&amp;"|"&amp;C$15,Dados!$A$2:$A$49,0))="","",INDEX(Dados!$I$2:$I$49,MATCH($A17&amp;"|"&amp;C$15,Dados!$A$2:$A$49,0))/1000000),"")</f>
        <v/>
      </c>
      <c r="D17" s="14">
        <f>IFERROR(IF(INDEX(Dados!$I$2:$I$49,MATCH($A17&amp;"|"&amp;D$15,Dados!$A$2:$A$49,0))="","",INDEX(Dados!$I$2:$I$49,MATCH($A17&amp;"|"&amp;D$15,Dados!$A$2:$A$49,0))/1000000),"")</f>
        <v/>
      </c>
      <c r="E17" s="14">
        <f>IFERROR(IF(INDEX(Dados!$I$2:$I$49,MATCH($A17&amp;"|"&amp;E$15,Dados!$A$2:$A$49,0))="","",INDEX(Dados!$I$2:$I$49,MATCH($A17&amp;"|"&amp;E$15,Dados!$A$2:$A$49,0))/1000000),"")</f>
        <v/>
      </c>
      <c r="F17" s="14">
        <f>IFERROR(IF(INDEX(Dados!$I$2:$I$49,MATCH($A17&amp;"|"&amp;F$15,Dados!$A$2:$A$49,0))="","",INDEX(Dados!$I$2:$I$49,MATCH($A17&amp;"|"&amp;F$15,Dados!$A$2:$A$49,0))/1000000),"")</f>
        <v/>
      </c>
      <c r="G17" s="14">
        <f>IFERROR(IF(INDEX(Dados!$I$2:$I$49,MATCH($A17&amp;"|"&amp;G$15,Dados!$A$2:$A$49,0))="","",INDEX(Dados!$I$2:$I$49,MATCH($A17&amp;"|"&amp;G$15,Dados!$A$2:$A$49,0))/1000000),"")</f>
        <v/>
      </c>
      <c r="H17" s="14">
        <f>IFERROR(IF(INDEX(Dados!$I$2:$I$49,MATCH($A17&amp;"|"&amp;H$15,Dados!$A$2:$A$49,0))="","",INDEX(Dados!$I$2:$I$49,MATCH($A17&amp;"|"&amp;H$15,Dados!$A$2:$A$49,0))/1000000),"")</f>
        <v/>
      </c>
      <c r="I17" s="14">
        <f>IFERROR(IF(INDEX(Dados!$I$2:$I$49,MATCH($A17&amp;"|"&amp;I$15,Dados!$A$2:$A$49,0))="","",INDEX(Dados!$I$2:$I$49,MATCH($A17&amp;"|"&amp;I$15,Dados!$A$2:$A$49,0))/1000000),"")</f>
        <v/>
      </c>
      <c r="J17" s="14">
        <f>IFERROR(IF(INDEX(Dados!$I$2:$I$49,MATCH($A17&amp;"|"&amp;J$15,Dados!$A$2:$A$49,0))="","",INDEX(Dados!$I$2:$I$49,MATCH($A17&amp;"|"&amp;J$15,Dados!$A$2:$A$49,0))/1000000),"")</f>
        <v/>
      </c>
    </row>
    <row r="18">
      <c r="A18" s="8" t="inlineStr">
        <is>
          <t>Tribunal de Justiça</t>
        </is>
      </c>
      <c r="B18" s="9" t="inlineStr">
        <is>
          <t>Poder Judiciário</t>
        </is>
      </c>
      <c r="C18" s="14">
        <f>IFERROR(IF(INDEX(Dados!$I$2:$I$49,MATCH($A18&amp;"|"&amp;C$15,Dados!$A$2:$A$49,0))="","",INDEX(Dados!$I$2:$I$49,MATCH($A18&amp;"|"&amp;C$15,Dados!$A$2:$A$49,0))/1000000),"")</f>
        <v/>
      </c>
      <c r="D18" s="14">
        <f>IFERROR(IF(INDEX(Dados!$I$2:$I$49,MATCH($A18&amp;"|"&amp;D$15,Dados!$A$2:$A$49,0))="","",INDEX(Dados!$I$2:$I$49,MATCH($A18&amp;"|"&amp;D$15,Dados!$A$2:$A$49,0))/1000000),"")</f>
        <v/>
      </c>
      <c r="E18" s="14">
        <f>IFERROR(IF(INDEX(Dados!$I$2:$I$49,MATCH($A18&amp;"|"&amp;E$15,Dados!$A$2:$A$49,0))="","",INDEX(Dados!$I$2:$I$49,MATCH($A18&amp;"|"&amp;E$15,Dados!$A$2:$A$49,0))/1000000),"")</f>
        <v/>
      </c>
      <c r="F18" s="14">
        <f>IFERROR(IF(INDEX(Dados!$I$2:$I$49,MATCH($A18&amp;"|"&amp;F$15,Dados!$A$2:$A$49,0))="","",INDEX(Dados!$I$2:$I$49,MATCH($A18&amp;"|"&amp;F$15,Dados!$A$2:$A$49,0))/1000000),"")</f>
        <v/>
      </c>
      <c r="G18" s="14">
        <f>IFERROR(IF(INDEX(Dados!$I$2:$I$49,MATCH($A18&amp;"|"&amp;G$15,Dados!$A$2:$A$49,0))="","",INDEX(Dados!$I$2:$I$49,MATCH($A18&amp;"|"&amp;G$15,Dados!$A$2:$A$49,0))/1000000),"")</f>
        <v/>
      </c>
      <c r="H18" s="14">
        <f>IFERROR(IF(INDEX(Dados!$I$2:$I$49,MATCH($A18&amp;"|"&amp;H$15,Dados!$A$2:$A$49,0))="","",INDEX(Dados!$I$2:$I$49,MATCH($A18&amp;"|"&amp;H$15,Dados!$A$2:$A$49,0))/1000000),"")</f>
        <v/>
      </c>
      <c r="I18" s="14">
        <f>IFERROR(IF(INDEX(Dados!$I$2:$I$49,MATCH($A18&amp;"|"&amp;I$15,Dados!$A$2:$A$49,0))="","",INDEX(Dados!$I$2:$I$49,MATCH($A18&amp;"|"&amp;I$15,Dados!$A$2:$A$49,0))/1000000),"")</f>
        <v/>
      </c>
      <c r="J18" s="14">
        <f>IFERROR(IF(INDEX(Dados!$I$2:$I$49,MATCH($A18&amp;"|"&amp;J$15,Dados!$A$2:$A$49,0))="","",INDEX(Dados!$I$2:$I$49,MATCH($A18&amp;"|"&amp;J$15,Dados!$A$2:$A$49,0))/1000000),"")</f>
        <v/>
      </c>
    </row>
    <row r="19">
      <c r="A19" s="8" t="inlineStr">
        <is>
          <t>Tribunal de Contas</t>
        </is>
      </c>
      <c r="B19" s="9" t="inlineStr">
        <is>
          <t>Tribunal de Contas</t>
        </is>
      </c>
      <c r="C19" s="14">
        <f>IFERROR(IF(INDEX(Dados!$I$2:$I$49,MATCH($A19&amp;"|"&amp;C$15,Dados!$A$2:$A$49,0))="","",INDEX(Dados!$I$2:$I$49,MATCH($A19&amp;"|"&amp;C$15,Dados!$A$2:$A$49,0))/1000000),"")</f>
        <v/>
      </c>
      <c r="D19" s="14">
        <f>IFERROR(IF(INDEX(Dados!$I$2:$I$49,MATCH($A19&amp;"|"&amp;D$15,Dados!$A$2:$A$49,0))="","",INDEX(Dados!$I$2:$I$49,MATCH($A19&amp;"|"&amp;D$15,Dados!$A$2:$A$49,0))/1000000),"")</f>
        <v/>
      </c>
      <c r="E19" s="14">
        <f>IFERROR(IF(INDEX(Dados!$I$2:$I$49,MATCH($A19&amp;"|"&amp;E$15,Dados!$A$2:$A$49,0))="","",INDEX(Dados!$I$2:$I$49,MATCH($A19&amp;"|"&amp;E$15,Dados!$A$2:$A$49,0))/1000000),"")</f>
        <v/>
      </c>
      <c r="F19" s="14">
        <f>IFERROR(IF(INDEX(Dados!$I$2:$I$49,MATCH($A19&amp;"|"&amp;F$15,Dados!$A$2:$A$49,0))="","",INDEX(Dados!$I$2:$I$49,MATCH($A19&amp;"|"&amp;F$15,Dados!$A$2:$A$49,0))/1000000),"")</f>
        <v/>
      </c>
      <c r="G19" s="14">
        <f>IFERROR(IF(INDEX(Dados!$I$2:$I$49,MATCH($A19&amp;"|"&amp;G$15,Dados!$A$2:$A$49,0))="","",INDEX(Dados!$I$2:$I$49,MATCH($A19&amp;"|"&amp;G$15,Dados!$A$2:$A$49,0))/1000000),"")</f>
        <v/>
      </c>
      <c r="H19" s="14">
        <f>IFERROR(IF(INDEX(Dados!$I$2:$I$49,MATCH($A19&amp;"|"&amp;H$15,Dados!$A$2:$A$49,0))="","",INDEX(Dados!$I$2:$I$49,MATCH($A19&amp;"|"&amp;H$15,Dados!$A$2:$A$49,0))/1000000),"")</f>
        <v/>
      </c>
      <c r="I19" s="14">
        <f>IFERROR(IF(INDEX(Dados!$I$2:$I$49,MATCH($A19&amp;"|"&amp;I$15,Dados!$A$2:$A$49,0))="","",INDEX(Dados!$I$2:$I$49,MATCH($A19&amp;"|"&amp;I$15,Dados!$A$2:$A$49,0))/1000000),"")</f>
        <v/>
      </c>
      <c r="J19" s="14">
        <f>IFERROR(IF(INDEX(Dados!$I$2:$I$49,MATCH($A19&amp;"|"&amp;J$15,Dados!$A$2:$A$49,0))="","",INDEX(Dados!$I$2:$I$49,MATCH($A19&amp;"|"&amp;J$15,Dados!$A$2:$A$49,0))/1000000),"")</f>
        <v/>
      </c>
    </row>
    <row r="20">
      <c r="A20" s="8" t="inlineStr">
        <is>
          <t>Defensoria Pública</t>
        </is>
      </c>
      <c r="B20" s="9" t="inlineStr">
        <is>
          <t>Defensoria Pública</t>
        </is>
      </c>
      <c r="C20" s="14">
        <f>IFERROR(IF(INDEX(Dados!$I$2:$I$49,MATCH($A20&amp;"|"&amp;C$15,Dados!$A$2:$A$49,0))="","",INDEX(Dados!$I$2:$I$49,MATCH($A20&amp;"|"&amp;C$15,Dados!$A$2:$A$49,0))/1000000),"")</f>
        <v/>
      </c>
      <c r="D20" s="14">
        <f>IFERROR(IF(INDEX(Dados!$I$2:$I$49,MATCH($A20&amp;"|"&amp;D$15,Dados!$A$2:$A$49,0))="","",INDEX(Dados!$I$2:$I$49,MATCH($A20&amp;"|"&amp;D$15,Dados!$A$2:$A$49,0))/1000000),"")</f>
        <v/>
      </c>
      <c r="E20" s="14">
        <f>IFERROR(IF(INDEX(Dados!$I$2:$I$49,MATCH($A20&amp;"|"&amp;E$15,Dados!$A$2:$A$49,0))="","",INDEX(Dados!$I$2:$I$49,MATCH($A20&amp;"|"&amp;E$15,Dados!$A$2:$A$49,0))/1000000),"")</f>
        <v/>
      </c>
      <c r="F20" s="14">
        <f>IFERROR(IF(INDEX(Dados!$I$2:$I$49,MATCH($A20&amp;"|"&amp;F$15,Dados!$A$2:$A$49,0))="","",INDEX(Dados!$I$2:$I$49,MATCH($A20&amp;"|"&amp;F$15,Dados!$A$2:$A$49,0))/1000000),"")</f>
        <v/>
      </c>
      <c r="G20" s="14">
        <f>IFERROR(IF(INDEX(Dados!$I$2:$I$49,MATCH($A20&amp;"|"&amp;G$15,Dados!$A$2:$A$49,0))="","",INDEX(Dados!$I$2:$I$49,MATCH($A20&amp;"|"&amp;G$15,Dados!$A$2:$A$49,0))/1000000),"")</f>
        <v/>
      </c>
      <c r="H20" s="14">
        <f>IFERROR(IF(INDEX(Dados!$I$2:$I$49,MATCH($A20&amp;"|"&amp;H$15,Dados!$A$2:$A$49,0))="","",INDEX(Dados!$I$2:$I$49,MATCH($A20&amp;"|"&amp;H$15,Dados!$A$2:$A$49,0))/1000000),"")</f>
        <v/>
      </c>
      <c r="I20" s="14">
        <f>IFERROR(IF(INDEX(Dados!$I$2:$I$49,MATCH($A20&amp;"|"&amp;I$15,Dados!$A$2:$A$49,0))="","",INDEX(Dados!$I$2:$I$49,MATCH($A20&amp;"|"&amp;I$15,Dados!$A$2:$A$49,0))/1000000),"")</f>
        <v/>
      </c>
      <c r="J20" s="14">
        <f>IFERROR(IF(INDEX(Dados!$I$2:$I$49,MATCH($A20&amp;"|"&amp;J$15,Dados!$A$2:$A$49,0))="","",INDEX(Dados!$I$2:$I$49,MATCH($A20&amp;"|"&amp;J$15,Dados!$A$2:$A$49,0))/1000000),"")</f>
        <v/>
      </c>
    </row>
    <row r="21">
      <c r="A21" s="8" t="inlineStr">
        <is>
          <t>Ministério Público</t>
        </is>
      </c>
      <c r="B21" s="9" t="inlineStr">
        <is>
          <t>Ministério Público</t>
        </is>
      </c>
      <c r="C21" s="14">
        <f>IFERROR(IF(INDEX(Dados!$I$2:$I$49,MATCH($A21&amp;"|"&amp;C$15,Dados!$A$2:$A$49,0))="","",INDEX(Dados!$I$2:$I$49,MATCH($A21&amp;"|"&amp;C$15,Dados!$A$2:$A$49,0))/1000000),"")</f>
        <v/>
      </c>
      <c r="D21" s="14">
        <f>IFERROR(IF(INDEX(Dados!$I$2:$I$49,MATCH($A21&amp;"|"&amp;D$15,Dados!$A$2:$A$49,0))="","",INDEX(Dados!$I$2:$I$49,MATCH($A21&amp;"|"&amp;D$15,Dados!$A$2:$A$49,0))/1000000),"")</f>
        <v/>
      </c>
      <c r="E21" s="14">
        <f>IFERROR(IF(INDEX(Dados!$I$2:$I$49,MATCH($A21&amp;"|"&amp;E$15,Dados!$A$2:$A$49,0))="","",INDEX(Dados!$I$2:$I$49,MATCH($A21&amp;"|"&amp;E$15,Dados!$A$2:$A$49,0))/1000000),"")</f>
        <v/>
      </c>
      <c r="F21" s="14">
        <f>IFERROR(IF(INDEX(Dados!$I$2:$I$49,MATCH($A21&amp;"|"&amp;F$15,Dados!$A$2:$A$49,0))="","",INDEX(Dados!$I$2:$I$49,MATCH($A21&amp;"|"&amp;F$15,Dados!$A$2:$A$49,0))/1000000),"")</f>
        <v/>
      </c>
      <c r="G21" s="14">
        <f>IFERROR(IF(INDEX(Dados!$I$2:$I$49,MATCH($A21&amp;"|"&amp;G$15,Dados!$A$2:$A$49,0))="","",INDEX(Dados!$I$2:$I$49,MATCH($A21&amp;"|"&amp;G$15,Dados!$A$2:$A$49,0))/1000000),"")</f>
        <v/>
      </c>
      <c r="H21" s="14">
        <f>IFERROR(IF(INDEX(Dados!$I$2:$I$49,MATCH($A21&amp;"|"&amp;H$15,Dados!$A$2:$A$49,0))="","",INDEX(Dados!$I$2:$I$49,MATCH($A21&amp;"|"&amp;H$15,Dados!$A$2:$A$49,0))/1000000),"")</f>
        <v/>
      </c>
      <c r="I21" s="14">
        <f>IFERROR(IF(INDEX(Dados!$I$2:$I$49,MATCH($A21&amp;"|"&amp;I$15,Dados!$A$2:$A$49,0))="","",INDEX(Dados!$I$2:$I$49,MATCH($A21&amp;"|"&amp;I$15,Dados!$A$2:$A$49,0))/1000000),"")</f>
        <v/>
      </c>
      <c r="J21" s="14">
        <f>IFERROR(IF(INDEX(Dados!$I$2:$I$49,MATCH($A21&amp;"|"&amp;J$15,Dados!$A$2:$A$49,0))="","",INDEX(Dados!$I$2:$I$49,MATCH($A21&amp;"|"&amp;J$15,Dados!$A$2:$A$49,0))/1000000),"")</f>
        <v/>
      </c>
    </row>
    <row r="23">
      <c r="A23" s="2" t="inlineStr">
        <is>
          <t>Órgãos sem % declarado no RGF (ex.: Defensoria Pública, sem limite próprio na LRF) têm o % calculado como despesa líquida com pessoal / RCL Ajustada do Executivo. Ver aba Notas.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8" customWidth="1" min="1" max="1"/>
    <col width="30" customWidth="1" min="2" max="2"/>
    <col width="20" customWidth="1" min="3" max="3"/>
    <col width="44" customWidth="1" min="4" max="4"/>
    <col width="10" customWidth="1" min="5" max="5"/>
    <col width="12" customWidth="1" min="6" max="6"/>
    <col width="15" customWidth="1" min="7" max="7"/>
    <col width="20" customWidth="1" min="8" max="8"/>
    <col width="22" customWidth="1" min="9" max="9"/>
    <col width="22" customWidth="1" min="10" max="10"/>
    <col width="13" customWidth="1" min="11" max="11"/>
    <col width="13" customWidth="1" min="12" max="12"/>
    <col width="14" customWidth="1" min="13" max="13"/>
    <col width="11" customWidth="1" min="14" max="14"/>
    <col width="11" customWidth="1" min="15" max="15"/>
    <col width="11" customWidth="1" min="16" max="16"/>
    <col width="20" customWidth="1" min="17" max="17"/>
    <col width="20" customWidth="1" min="18" max="18"/>
    <col width="20" customWidth="1" min="19" max="19"/>
    <col width="26" customWidth="1" min="20" max="20"/>
    <col width="44" customWidth="1" min="21" max="21"/>
  </cols>
  <sheetData>
    <row r="1" ht="42" customHeight="1">
      <c r="A1" s="4" t="inlineStr">
        <is>
          <t>Chave</t>
        </is>
      </c>
      <c r="B1" s="4" t="inlineStr">
        <is>
          <t>Órgão</t>
        </is>
      </c>
      <c r="C1" s="4" t="inlineStr">
        <is>
          <t>Poder / órgão</t>
        </is>
      </c>
      <c r="D1" s="4" t="inlineStr">
        <is>
          <t>Instituição</t>
        </is>
      </c>
      <c r="E1" s="4" t="inlineStr">
        <is>
          <t>Exercício</t>
        </is>
      </c>
      <c r="F1" s="4" t="inlineStr">
        <is>
          <t>Quadrimestre</t>
        </is>
      </c>
      <c r="G1" s="4" t="inlineStr">
        <is>
          <t>Período</t>
        </is>
      </c>
      <c r="H1" s="4" t="inlineStr">
        <is>
          <t>Meses de referência</t>
        </is>
      </c>
      <c r="I1" s="4" t="inlineStr">
        <is>
          <t>Despesa total com pessoal - DTP (R$)</t>
        </is>
      </c>
      <c r="J1" s="4" t="inlineStr">
        <is>
          <t>RCL Ajustada (R$)</t>
        </is>
      </c>
      <c r="K1" s="4" t="inlineStr">
        <is>
          <t>% DTP / RCL Ajustada</t>
        </is>
      </c>
      <c r="L1" s="4" t="inlineStr">
        <is>
          <t>% declarado no RGF</t>
        </is>
      </c>
      <c r="M1" s="4" t="inlineStr">
        <is>
          <t>Confere com o declarado?</t>
        </is>
      </c>
      <c r="N1" s="4" t="inlineStr">
        <is>
          <t>Limite máximo (%)</t>
        </is>
      </c>
      <c r="O1" s="4" t="inlineStr">
        <is>
          <t>Limite prudencial (%)</t>
        </is>
      </c>
      <c r="P1" s="4" t="inlineStr">
        <is>
          <t>Limite de alerta (%)</t>
        </is>
      </c>
      <c r="Q1" s="4" t="inlineStr">
        <is>
          <t>Limite máximo (R$)</t>
        </is>
      </c>
      <c r="R1" s="4" t="inlineStr">
        <is>
          <t>Limite prudencial (R$)</t>
        </is>
      </c>
      <c r="S1" s="4" t="inlineStr">
        <is>
          <t>Limite de alerta (R$)</t>
        </is>
      </c>
      <c r="T1" s="4" t="inlineStr">
        <is>
          <t>Situação</t>
        </is>
      </c>
      <c r="U1" s="4" t="inlineStr">
        <is>
          <t>Origem do %</t>
        </is>
      </c>
    </row>
    <row r="2">
      <c r="A2" s="9">
        <f>B2&amp;"|"&amp;G2</f>
        <v/>
      </c>
      <c r="B2" s="9" t="inlineStr">
        <is>
          <t>Governo</t>
        </is>
      </c>
      <c r="C2" s="9" t="inlineStr">
        <is>
          <t>Poder Executivo</t>
        </is>
      </c>
      <c r="D2" s="9" t="inlineStr">
        <is>
          <t>Governo do Estado do Acre</t>
        </is>
      </c>
      <c r="E2" s="9" t="inlineStr">
        <is>
          <t>2024</t>
        </is>
      </c>
      <c r="F2" s="9" t="n">
        <v>1</v>
      </c>
      <c r="G2" s="9" t="inlineStr">
        <is>
          <t>1º quad. 2024</t>
        </is>
      </c>
      <c r="H2" s="9" t="inlineStr">
        <is>
          <t>mai/2023 a abr/2024</t>
        </is>
      </c>
      <c r="I2" s="15" t="n">
        <v>4316200095.23</v>
      </c>
      <c r="J2" s="15" t="n">
        <v>9078322800.43</v>
      </c>
      <c r="K2" s="10">
        <f>IF(OR(I2="",J2="",J2=0),"",I2/J2)</f>
        <v/>
      </c>
      <c r="L2" s="16" t="n">
        <v>0.4754</v>
      </c>
      <c r="M2" s="9">
        <f>IF(L2="","Não declarado",IF(K2="","Sem dado",IF(ABS(K2-L2)&lt;=0.00005,"Sim","Não")))</f>
        <v/>
      </c>
      <c r="N2" s="16" t="n">
        <v>0.49</v>
      </c>
      <c r="O2" s="16" t="n">
        <v>0.4655</v>
      </c>
      <c r="P2" s="16" t="n">
        <v>0.441</v>
      </c>
      <c r="Q2" s="15" t="n">
        <v>4448378172.21</v>
      </c>
      <c r="R2" s="15" t="n">
        <v>4225959263.6</v>
      </c>
      <c r="S2" s="15" t="n">
        <v>4003540354.99</v>
      </c>
      <c r="T2" s="9">
        <f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/>
      </c>
      <c r="U2" s="9" t="inlineStr">
        <is>
          <t>Declarado no RGF</t>
        </is>
      </c>
    </row>
    <row r="3">
      <c r="A3" s="9">
        <f>B3&amp;"|"&amp;G3</f>
        <v/>
      </c>
      <c r="B3" s="9" t="inlineStr">
        <is>
          <t>Governo</t>
        </is>
      </c>
      <c r="C3" s="9" t="inlineStr">
        <is>
          <t>Poder Executivo</t>
        </is>
      </c>
      <c r="D3" s="9" t="inlineStr">
        <is>
          <t>Governo do Estado do Acre</t>
        </is>
      </c>
      <c r="E3" s="9" t="inlineStr">
        <is>
          <t>2024</t>
        </is>
      </c>
      <c r="F3" s="9" t="n">
        <v>2</v>
      </c>
      <c r="G3" s="9" t="inlineStr">
        <is>
          <t>2º quad. 2024</t>
        </is>
      </c>
      <c r="H3" s="9" t="inlineStr">
        <is>
          <t>set/2023 a ago/2024</t>
        </is>
      </c>
      <c r="I3" s="15" t="n">
        <v>4498860077.78</v>
      </c>
      <c r="J3" s="15" t="n">
        <v>9601846954.870001</v>
      </c>
      <c r="K3" s="10">
        <f>IF(OR(I3="",J3="",J3=0),"",I3/J3)</f>
        <v/>
      </c>
      <c r="L3" s="16" t="n">
        <v>0.4685</v>
      </c>
      <c r="M3" s="9">
        <f>IF(L3="","Não declarado",IF(K3="","Sem dado",IF(ABS(K3-L3)&lt;=0.00005,"Sim","Não")))</f>
        <v/>
      </c>
      <c r="N3" s="16" t="n">
        <v>0.49</v>
      </c>
      <c r="O3" s="16" t="n">
        <v>0.4655</v>
      </c>
      <c r="P3" s="16" t="n">
        <v>0.441</v>
      </c>
      <c r="Q3" s="15" t="n">
        <v>4704905007.89</v>
      </c>
      <c r="R3" s="15" t="n">
        <v>4469659757.5</v>
      </c>
      <c r="S3" s="15" t="n">
        <v>4234414507.1</v>
      </c>
      <c r="T3" s="9">
        <f>IF(K3="","Sem dado",IF(N3="","Sem limite próprio na LRF",IF(AND(Q3&lt;&gt;"",R3&lt;&gt;"",S3&lt;&gt;""),IF(I3&gt;Q3,"Acima do limite máximo",IF(I3&gt;R3,"Acima do limite prudencial",IF(I3&gt;S3,"Acima do limite de alerta","Abaixo do limite de alerta"))),IF(K3&gt;N3,"Acima do limite máximo",IF(K3&gt;O3,"Acima do limite prudencial",IF(K3&gt;P3,"Acima do limite de alerta","Abaixo do limite de alerta"))))))</f>
        <v/>
      </c>
      <c r="U3" s="9" t="inlineStr">
        <is>
          <t>Declarado no RGF</t>
        </is>
      </c>
    </row>
    <row r="4">
      <c r="A4" s="9">
        <f>B4&amp;"|"&amp;G4</f>
        <v/>
      </c>
      <c r="B4" s="9" t="inlineStr">
        <is>
          <t>Governo</t>
        </is>
      </c>
      <c r="C4" s="9" t="inlineStr">
        <is>
          <t>Poder Executivo</t>
        </is>
      </c>
      <c r="D4" s="9" t="inlineStr">
        <is>
          <t>Governo do Estado do Acre</t>
        </is>
      </c>
      <c r="E4" s="9" t="inlineStr">
        <is>
          <t>2024</t>
        </is>
      </c>
      <c r="F4" s="9" t="n">
        <v>3</v>
      </c>
      <c r="G4" s="9" t="inlineStr">
        <is>
          <t>3º quad. 2024</t>
        </is>
      </c>
      <c r="H4" s="9" t="inlineStr">
        <is>
          <t>jan/2024 a dez/2024</t>
        </is>
      </c>
      <c r="I4" s="15" t="n">
        <v>4678325451.34</v>
      </c>
      <c r="J4" s="15" t="n">
        <v>10002459245.99</v>
      </c>
      <c r="K4" s="10">
        <f>IF(OR(I4="",J4="",J4=0),"",I4/J4)</f>
        <v/>
      </c>
      <c r="L4" s="16" t="n">
        <v>0.4677</v>
      </c>
      <c r="M4" s="9">
        <f>IF(L4="","Não declarado",IF(K4="","Sem dado",IF(ABS(K4-L4)&lt;=0.00005,"Sim","Não")))</f>
        <v/>
      </c>
      <c r="N4" s="16" t="n">
        <v>0.49</v>
      </c>
      <c r="O4" s="16" t="n">
        <v>0.4655</v>
      </c>
      <c r="P4" s="16" t="n">
        <v>0.441</v>
      </c>
      <c r="Q4" s="15" t="n">
        <v>4901205030.54</v>
      </c>
      <c r="R4" s="15" t="n">
        <v>4656144779.01</v>
      </c>
      <c r="S4" s="15" t="n">
        <v>4411084527.49</v>
      </c>
      <c r="T4" s="9">
        <f>IF(K4="","Sem dado",IF(N4="","Sem limite próprio na LRF",IF(AND(Q4&lt;&gt;"",R4&lt;&gt;"",S4&lt;&gt;""),IF(I4&gt;Q4,"Acima do limite máximo",IF(I4&gt;R4,"Acima do limite prudencial",IF(I4&gt;S4,"Acima do limite de alerta","Abaixo do limite de alerta"))),IF(K4&gt;N4,"Acima do limite máximo",IF(K4&gt;O4,"Acima do limite prudencial",IF(K4&gt;P4,"Acima do limite de alerta","Abaixo do limite de alerta"))))))</f>
        <v/>
      </c>
      <c r="U4" s="9" t="inlineStr">
        <is>
          <t>Declarado no RGF</t>
        </is>
      </c>
    </row>
    <row r="5">
      <c r="A5" s="9">
        <f>B5&amp;"|"&amp;G5</f>
        <v/>
      </c>
      <c r="B5" s="9" t="inlineStr">
        <is>
          <t>Governo</t>
        </is>
      </c>
      <c r="C5" s="9" t="inlineStr">
        <is>
          <t>Poder Executivo</t>
        </is>
      </c>
      <c r="D5" s="9" t="inlineStr">
        <is>
          <t>Governo do Estado do Acre</t>
        </is>
      </c>
      <c r="E5" s="9" t="inlineStr">
        <is>
          <t>2025</t>
        </is>
      </c>
      <c r="F5" s="9" t="n">
        <v>1</v>
      </c>
      <c r="G5" s="9" t="inlineStr">
        <is>
          <t>1º quad. 2025</t>
        </is>
      </c>
      <c r="H5" s="9" t="inlineStr">
        <is>
          <t>mai/2024 a abr/2025</t>
        </is>
      </c>
      <c r="I5" s="15" t="n">
        <v>4817865327.02</v>
      </c>
      <c r="J5" s="15" t="n">
        <v>10253963568.26</v>
      </c>
      <c r="K5" s="10">
        <f>IF(OR(I5="",J5="",J5=0),"",I5/J5)</f>
        <v/>
      </c>
      <c r="L5" s="16" t="n">
        <v>0.4699</v>
      </c>
      <c r="M5" s="9">
        <f>IF(L5="","Não declarado",IF(K5="","Sem dado",IF(ABS(K5-L5)&lt;=0.00005,"Sim","Não")))</f>
        <v/>
      </c>
      <c r="N5" s="16" t="n">
        <v>0.49</v>
      </c>
      <c r="O5" s="16" t="n">
        <v>0.4655</v>
      </c>
      <c r="P5" s="16" t="n">
        <v>0.441</v>
      </c>
      <c r="Q5" s="15" t="n">
        <v>5024442148.45</v>
      </c>
      <c r="R5" s="15" t="n">
        <v>4773220041.03</v>
      </c>
      <c r="S5" s="15" t="n">
        <v>4521997933.61</v>
      </c>
      <c r="T5" s="9">
        <f>IF(K5="","Sem dado",IF(N5="","Sem limite próprio na LRF",IF(AND(Q5&lt;&gt;"",R5&lt;&gt;"",S5&lt;&gt;""),IF(I5&gt;Q5,"Acima do limite máximo",IF(I5&gt;R5,"Acima do limite prudencial",IF(I5&gt;S5,"Acima do limite de alerta","Abaixo do limite de alerta"))),IF(K5&gt;N5,"Acima do limite máximo",IF(K5&gt;O5,"Acima do limite prudencial",IF(K5&gt;P5,"Acima do limite de alerta","Abaixo do limite de alerta"))))))</f>
        <v/>
      </c>
      <c r="U5" s="9" t="inlineStr">
        <is>
          <t>Declarado no RGF</t>
        </is>
      </c>
    </row>
    <row r="6">
      <c r="A6" s="9">
        <f>B6&amp;"|"&amp;G6</f>
        <v/>
      </c>
      <c r="B6" s="9" t="inlineStr">
        <is>
          <t>Governo</t>
        </is>
      </c>
      <c r="C6" s="9" t="inlineStr">
        <is>
          <t>Poder Executivo</t>
        </is>
      </c>
      <c r="D6" s="9" t="inlineStr">
        <is>
          <t>Governo do Estado do Acre</t>
        </is>
      </c>
      <c r="E6" s="9" t="inlineStr">
        <is>
          <t>2025</t>
        </is>
      </c>
      <c r="F6" s="9" t="n">
        <v>2</v>
      </c>
      <c r="G6" s="9" t="inlineStr">
        <is>
          <t>2º quad. 2025</t>
        </is>
      </c>
      <c r="H6" s="9" t="inlineStr">
        <is>
          <t>set/2024 a ago/2025</t>
        </is>
      </c>
      <c r="I6" s="15" t="n">
        <v>5038408377.21</v>
      </c>
      <c r="J6" s="15" t="n">
        <v>10813598794.32</v>
      </c>
      <c r="K6" s="10">
        <f>IF(OR(I6="",J6="",J6=0),"",I6/J6)</f>
        <v/>
      </c>
      <c r="L6" s="16" t="n">
        <v>0.4659</v>
      </c>
      <c r="M6" s="9">
        <f>IF(L6="","Não declarado",IF(K6="","Sem dado",IF(ABS(K6-L6)&lt;=0.00005,"Sim","Não")))</f>
        <v/>
      </c>
      <c r="N6" s="16" t="n">
        <v>0.49</v>
      </c>
      <c r="O6" s="16" t="n">
        <v>0.4655</v>
      </c>
      <c r="P6" s="16" t="n">
        <v>0.441</v>
      </c>
      <c r="Q6" s="15" t="n">
        <v>5298663409.21</v>
      </c>
      <c r="R6" s="15" t="n">
        <v>5033730238.75</v>
      </c>
      <c r="S6" s="15" t="n">
        <v>4768797068.29</v>
      </c>
      <c r="T6" s="9">
        <f>IF(K6="","Sem dado",IF(N6="","Sem limite próprio na LRF",IF(AND(Q6&lt;&gt;"",R6&lt;&gt;"",S6&lt;&gt;""),IF(I6&gt;Q6,"Acima do limite máximo",IF(I6&gt;R6,"Acima do limite prudencial",IF(I6&gt;S6,"Acima do limite de alerta","Abaixo do limite de alerta"))),IF(K6&gt;N6,"Acima do limite máximo",IF(K6&gt;O6,"Acima do limite prudencial",IF(K6&gt;P6,"Acima do limite de alerta","Abaixo do limite de alerta"))))))</f>
        <v/>
      </c>
      <c r="U6" s="9" t="inlineStr">
        <is>
          <t>Declarado no RGF</t>
        </is>
      </c>
    </row>
    <row r="7">
      <c r="A7" s="9">
        <f>B7&amp;"|"&amp;G7</f>
        <v/>
      </c>
      <c r="B7" s="9" t="inlineStr">
        <is>
          <t>Governo</t>
        </is>
      </c>
      <c r="C7" s="9" t="inlineStr">
        <is>
          <t>Poder Executivo</t>
        </is>
      </c>
      <c r="D7" s="9" t="inlineStr">
        <is>
          <t>Governo do Estado do Acre</t>
        </is>
      </c>
      <c r="E7" s="9" t="inlineStr">
        <is>
          <t>2025</t>
        </is>
      </c>
      <c r="F7" s="9" t="n">
        <v>3</v>
      </c>
      <c r="G7" s="9" t="inlineStr">
        <is>
          <t>3º quad. 2025</t>
        </is>
      </c>
      <c r="H7" s="9" t="inlineStr">
        <is>
          <t>jan/2025 a dez/2025</t>
        </is>
      </c>
      <c r="I7" s="15" t="n">
        <v>5370260744.24</v>
      </c>
      <c r="J7" s="15" t="n">
        <v>11190641912.27</v>
      </c>
      <c r="K7" s="10">
        <f>IF(OR(I7="",J7="",J7=0),"",I7/J7)</f>
        <v/>
      </c>
      <c r="L7" s="16" t="n">
        <v>0.4799</v>
      </c>
      <c r="M7" s="9">
        <f>IF(L7="","Não declarado",IF(K7="","Sem dado",IF(ABS(K7-L7)&lt;=0.00005,"Sim","Não")))</f>
        <v/>
      </c>
      <c r="N7" s="16" t="n">
        <v>0.49</v>
      </c>
      <c r="O7" s="16" t="n">
        <v>0.4655</v>
      </c>
      <c r="P7" s="16" t="n">
        <v>0.441</v>
      </c>
      <c r="Q7" s="15" t="n">
        <v>5483414537.01</v>
      </c>
      <c r="R7" s="15" t="n">
        <v>5209243810.16</v>
      </c>
      <c r="S7" s="15" t="n">
        <v>4935073083.31</v>
      </c>
      <c r="T7" s="9">
        <f>IF(K7="","Sem dado",IF(N7="","Sem limite próprio na LRF",IF(AND(Q7&lt;&gt;"",R7&lt;&gt;"",S7&lt;&gt;""),IF(I7&gt;Q7,"Acima do limite máximo",IF(I7&gt;R7,"Acima do limite prudencial",IF(I7&gt;S7,"Acima do limite de alerta","Abaixo do limite de alerta"))),IF(K7&gt;N7,"Acima do limite máximo",IF(K7&gt;O7,"Acima do limite prudencial",IF(K7&gt;P7,"Acima do limite de alerta","Abaixo do limite de alerta"))))))</f>
        <v/>
      </c>
      <c r="U7" s="9" t="inlineStr">
        <is>
          <t>Declarado no RGF</t>
        </is>
      </c>
    </row>
    <row r="8">
      <c r="A8" s="9">
        <f>B8&amp;"|"&amp;G8</f>
        <v/>
      </c>
      <c r="B8" s="9" t="inlineStr">
        <is>
          <t>Governo</t>
        </is>
      </c>
      <c r="C8" s="9" t="inlineStr">
        <is>
          <t>Poder Executivo</t>
        </is>
      </c>
      <c r="D8" s="9" t="inlineStr">
        <is>
          <t>Governo do Estado do Acre</t>
        </is>
      </c>
      <c r="E8" s="9" t="inlineStr">
        <is>
          <t>2026</t>
        </is>
      </c>
      <c r="F8" s="9" t="n">
        <v>1</v>
      </c>
      <c r="G8" s="9" t="inlineStr">
        <is>
          <t>1º quad. 2026</t>
        </is>
      </c>
      <c r="H8" s="9" t="inlineStr">
        <is>
          <t>mai/2025 a abr/2026</t>
        </is>
      </c>
      <c r="I8" s="15" t="n">
        <v>5483652488.16</v>
      </c>
      <c r="J8" s="15" t="n">
        <v>11403929709.58</v>
      </c>
      <c r="K8" s="10">
        <f>IF(OR(I8="",J8="",J8=0),"",I8/J8)</f>
        <v/>
      </c>
      <c r="L8" s="16" t="n">
        <v>0.4809</v>
      </c>
      <c r="M8" s="9">
        <f>IF(L8="","Não declarado",IF(K8="","Sem dado",IF(ABS(K8-L8)&lt;=0.00005,"Sim","Não")))</f>
        <v/>
      </c>
      <c r="N8" s="16" t="n">
        <v>0.49</v>
      </c>
      <c r="O8" s="16" t="n">
        <v>0.4655</v>
      </c>
      <c r="P8" s="16" t="n">
        <v>0.441</v>
      </c>
      <c r="Q8" s="15" t="n">
        <v>5587925557.69</v>
      </c>
      <c r="R8" s="15" t="n">
        <v>5308529279.81</v>
      </c>
      <c r="S8" s="15" t="n">
        <v>5029133001.92</v>
      </c>
      <c r="T8" s="9">
        <f>IF(K8="","Sem dado",IF(N8="","Sem limite próprio na LRF",IF(AND(Q8&lt;&gt;"",R8&lt;&gt;"",S8&lt;&gt;""),IF(I8&gt;Q8,"Acima do limite máximo",IF(I8&gt;R8,"Acima do limite prudencial",IF(I8&gt;S8,"Acima do limite de alerta","Abaixo do limite de alerta"))),IF(K8&gt;N8,"Acima do limite máximo",IF(K8&gt;O8,"Acima do limite prudencial",IF(K8&gt;P8,"Acima do limite de alerta","Abaixo do limite de alerta"))))))</f>
        <v/>
      </c>
      <c r="U8" s="9" t="inlineStr">
        <is>
          <t>Declarado no RGF</t>
        </is>
      </c>
    </row>
    <row r="9">
      <c r="A9" s="9">
        <f>B9&amp;"|"&amp;G9</f>
        <v/>
      </c>
      <c r="B9" s="9" t="inlineStr">
        <is>
          <t>Governo</t>
        </is>
      </c>
      <c r="C9" s="9" t="inlineStr">
        <is>
          <t>Poder Executivo</t>
        </is>
      </c>
      <c r="D9" s="9" t="inlineStr">
        <is>
          <t>Governo do Estado do Acre</t>
        </is>
      </c>
      <c r="E9" s="9" t="inlineStr">
        <is>
          <t>2026</t>
        </is>
      </c>
      <c r="F9" s="9" t="n">
        <v>2</v>
      </c>
      <c r="G9" s="9" t="inlineStr">
        <is>
          <t>2º quad. 2026</t>
        </is>
      </c>
      <c r="H9" s="9" t="inlineStr">
        <is>
          <t>set/2025 a ago/2026</t>
        </is>
      </c>
      <c r="I9" s="15" t="n">
        <v>5713923270.47</v>
      </c>
      <c r="J9" s="15" t="n">
        <v>11652841863.34</v>
      </c>
      <c r="K9" s="10">
        <f>IF(OR(I9="",J9="",J9=0),"",I9/J9)</f>
        <v/>
      </c>
      <c r="L9" s="16" t="n">
        <v>0.4903</v>
      </c>
      <c r="M9" s="9">
        <f>IF(L9="","Não declarado",IF(K9="","Sem dado",IF(ABS(K9-L9)&lt;=0.00005,"Sim","Não")))</f>
        <v/>
      </c>
      <c r="N9" s="16" t="n">
        <v>0.49</v>
      </c>
      <c r="O9" s="16" t="n">
        <v>0.4655</v>
      </c>
      <c r="P9" s="16" t="n">
        <v>0.441</v>
      </c>
      <c r="Q9" s="15" t="n">
        <v>5709892513.04</v>
      </c>
      <c r="R9" s="15" t="n">
        <v>5424397887.39</v>
      </c>
      <c r="S9" s="15" t="n">
        <v>5138903261.74</v>
      </c>
      <c r="T9" s="9">
        <f>IF(K9="","Sem dado",IF(N9="","Sem limite próprio na LRF",IF(AND(Q9&lt;&gt;"",R9&lt;&gt;"",S9&lt;&gt;""),IF(I9&gt;Q9,"Acima do limite máximo",IF(I9&gt;R9,"Acima do limite prudencial",IF(I9&gt;S9,"Acima do limite de alerta","Abaixo do limite de alerta"))),IF(K9&gt;N9,"Acima do limite máximo",IF(K9&gt;O9,"Acima do limite prudencial",IF(K9&gt;P9,"Acima do limite de alerta","Abaixo do limite de alerta"))))))</f>
        <v/>
      </c>
      <c r="U9" s="9" t="inlineStr">
        <is>
          <t>Declarado no RGF</t>
        </is>
      </c>
    </row>
    <row r="10">
      <c r="A10" s="9">
        <f>B10&amp;"|"&amp;G10</f>
        <v/>
      </c>
      <c r="B10" s="9" t="inlineStr">
        <is>
          <t>Assembleia Legislativa</t>
        </is>
      </c>
      <c r="C10" s="9" t="inlineStr">
        <is>
          <t>Poder Legislativo</t>
        </is>
      </c>
      <c r="D10" s="9" t="inlineStr">
        <is>
          <t>Assembleia Legislativa do Estado do Acre</t>
        </is>
      </c>
      <c r="E10" s="9" t="inlineStr">
        <is>
          <t>2024</t>
        </is>
      </c>
      <c r="F10" s="9" t="n">
        <v>1</v>
      </c>
      <c r="G10" s="9" t="inlineStr">
        <is>
          <t>1º quad. 2024</t>
        </is>
      </c>
      <c r="H10" s="9" t="inlineStr">
        <is>
          <t>mai/2023 a abr/2024</t>
        </is>
      </c>
      <c r="I10" s="15" t="n">
        <v>151108535.22</v>
      </c>
      <c r="J10" s="15" t="n">
        <v>9078322800.43</v>
      </c>
      <c r="K10" s="10">
        <f>IF(OR(I10="",J10="",J10=0),"",I10/J10)</f>
        <v/>
      </c>
      <c r="L10" s="16" t="n">
        <v>0.0166</v>
      </c>
      <c r="M10" s="9">
        <f>IF(L10="","Não declarado",IF(K10="","Sem dado",IF(ABS(K10-L10)&lt;=0.00005,"Sim","Não")))</f>
        <v/>
      </c>
      <c r="N10" s="16" t="n">
        <v>0.02</v>
      </c>
      <c r="O10" s="16" t="n">
        <v>0.019</v>
      </c>
      <c r="P10" s="16" t="n">
        <v>0.018</v>
      </c>
      <c r="Q10" s="15" t="n">
        <v>181566456.01</v>
      </c>
      <c r="R10" s="15" t="n">
        <v>172488133.21</v>
      </c>
      <c r="S10" s="15" t="n">
        <v>163409810.41</v>
      </c>
      <c r="T10" s="9">
        <f>IF(K10="","Sem dado",IF(N10="","Sem limite próprio na LRF",IF(AND(Q10&lt;&gt;"",R10&lt;&gt;"",S10&lt;&gt;""),IF(I10&gt;Q10,"Acima do limite máximo",IF(I10&gt;R10,"Acima do limite prudencial",IF(I10&gt;S10,"Acima do limite de alerta","Abaixo do limite de alerta"))),IF(K10&gt;N10,"Acima do limite máximo",IF(K10&gt;O10,"Acima do limite prudencial",IF(K10&gt;P10,"Acima do limite de alerta","Abaixo do limite de alerta"))))))</f>
        <v/>
      </c>
      <c r="U10" s="9" t="inlineStr">
        <is>
          <t>Declarado no RGF</t>
        </is>
      </c>
    </row>
    <row r="11">
      <c r="A11" s="9">
        <f>B11&amp;"|"&amp;G11</f>
        <v/>
      </c>
      <c r="B11" s="9" t="inlineStr">
        <is>
          <t>Assembleia Legislativa</t>
        </is>
      </c>
      <c r="C11" s="9" t="inlineStr">
        <is>
          <t>Poder Legislativo</t>
        </is>
      </c>
      <c r="D11" s="9" t="inlineStr">
        <is>
          <t>Assembleia Legislativa do Estado do Acre</t>
        </is>
      </c>
      <c r="E11" s="9" t="inlineStr">
        <is>
          <t>2024</t>
        </is>
      </c>
      <c r="F11" s="9" t="n">
        <v>2</v>
      </c>
      <c r="G11" s="9" t="inlineStr">
        <is>
          <t>2º quad. 2024</t>
        </is>
      </c>
      <c r="H11" s="9" t="inlineStr">
        <is>
          <t>set/2023 a ago/2024</t>
        </is>
      </c>
      <c r="I11" s="15" t="n">
        <v>157870555.08</v>
      </c>
      <c r="J11" s="15" t="n">
        <v>9601846954.870001</v>
      </c>
      <c r="K11" s="10">
        <f>IF(OR(I11="",J11="",J11=0),"",I11/J11)</f>
        <v/>
      </c>
      <c r="L11" s="16" t="n">
        <v>0.0164</v>
      </c>
      <c r="M11" s="9">
        <f>IF(L11="","Não declarado",IF(K11="","Sem dado",IF(ABS(K11-L11)&lt;=0.00005,"Sim","Não")))</f>
        <v/>
      </c>
      <c r="N11" s="16" t="n">
        <v>0.02</v>
      </c>
      <c r="O11" s="16" t="n">
        <v>0.019</v>
      </c>
      <c r="P11" s="16" t="n">
        <v>0.018</v>
      </c>
      <c r="Q11" s="15" t="n">
        <v>192036939.1</v>
      </c>
      <c r="R11" s="15" t="n">
        <v>182435092.15</v>
      </c>
      <c r="S11" s="15" t="n">
        <v>172833245.19</v>
      </c>
      <c r="T11" s="9">
        <f>IF(K11="","Sem dado",IF(N11="","Sem limite próprio na LRF",IF(AND(Q11&lt;&gt;"",R11&lt;&gt;"",S11&lt;&gt;""),IF(I11&gt;Q11,"Acima do limite máximo",IF(I11&gt;R11,"Acima do limite prudencial",IF(I11&gt;S11,"Acima do limite de alerta","Abaixo do limite de alerta"))),IF(K11&gt;N11,"Acima do limite máximo",IF(K11&gt;O11,"Acima do limite prudencial",IF(K11&gt;P11,"Acima do limite de alerta","Abaixo do limite de alerta"))))))</f>
        <v/>
      </c>
      <c r="U11" s="9" t="inlineStr">
        <is>
          <t>Declarado no RGF</t>
        </is>
      </c>
    </row>
    <row r="12">
      <c r="A12" s="9">
        <f>B12&amp;"|"&amp;G12</f>
        <v/>
      </c>
      <c r="B12" s="9" t="inlineStr">
        <is>
          <t>Assembleia Legislativa</t>
        </is>
      </c>
      <c r="C12" s="9" t="inlineStr">
        <is>
          <t>Poder Legislativo</t>
        </is>
      </c>
      <c r="D12" s="9" t="inlineStr">
        <is>
          <t>Assembleia Legislativa do Estado do Acre</t>
        </is>
      </c>
      <c r="E12" s="9" t="inlineStr">
        <is>
          <t>2024</t>
        </is>
      </c>
      <c r="F12" s="9" t="n">
        <v>3</v>
      </c>
      <c r="G12" s="9" t="inlineStr">
        <is>
          <t>3º quad. 2024</t>
        </is>
      </c>
      <c r="H12" s="9" t="inlineStr">
        <is>
          <t>jan/2024 a dez/2024</t>
        </is>
      </c>
      <c r="I12" s="15" t="n">
        <v>168529483.34</v>
      </c>
      <c r="J12" s="15" t="n">
        <v>10002459245.99</v>
      </c>
      <c r="K12" s="10">
        <f>IF(OR(I12="",J12="",J12=0),"",I12/J12)</f>
        <v/>
      </c>
      <c r="L12" s="16" t="n">
        <v>0.0168</v>
      </c>
      <c r="M12" s="9">
        <f>IF(L12="","Não declarado",IF(K12="","Sem dado",IF(ABS(K12-L12)&lt;=0.00005,"Sim","Não")))</f>
        <v/>
      </c>
      <c r="N12" s="16" t="n">
        <v>0.02</v>
      </c>
      <c r="O12" s="16" t="n">
        <v>0.019</v>
      </c>
      <c r="P12" s="16" t="n">
        <v>0.018</v>
      </c>
      <c r="Q12" s="15" t="n">
        <v>200049184.92</v>
      </c>
      <c r="R12" s="15" t="n">
        <v>190046725.67</v>
      </c>
      <c r="S12" s="15" t="n">
        <v>180044266.43</v>
      </c>
      <c r="T12" s="9">
        <f>IF(K12="","Sem dado",IF(N12="","Sem limite próprio na LRF",IF(AND(Q12&lt;&gt;"",R12&lt;&gt;"",S12&lt;&gt;""),IF(I12&gt;Q12,"Acima do limite máximo",IF(I12&gt;R12,"Acima do limite prudencial",IF(I12&gt;S12,"Acima do limite de alerta","Abaixo do limite de alerta"))),IF(K12&gt;N12,"Acima do limite máximo",IF(K12&gt;O12,"Acima do limite prudencial",IF(K12&gt;P12,"Acima do limite de alerta","Abaixo do limite de alerta"))))))</f>
        <v/>
      </c>
      <c r="U12" s="9" t="inlineStr">
        <is>
          <t>Declarado no RGF</t>
        </is>
      </c>
    </row>
    <row r="13">
      <c r="A13" s="9">
        <f>B13&amp;"|"&amp;G13</f>
        <v/>
      </c>
      <c r="B13" s="9" t="inlineStr">
        <is>
          <t>Assembleia Legislativa</t>
        </is>
      </c>
      <c r="C13" s="9" t="inlineStr">
        <is>
          <t>Poder Legislativo</t>
        </is>
      </c>
      <c r="D13" s="9" t="inlineStr">
        <is>
          <t>Assembleia Legislativa do Estado do Acre</t>
        </is>
      </c>
      <c r="E13" s="9" t="inlineStr">
        <is>
          <t>2025</t>
        </is>
      </c>
      <c r="F13" s="9" t="n">
        <v>1</v>
      </c>
      <c r="G13" s="9" t="inlineStr">
        <is>
          <t>1º quad. 2025</t>
        </is>
      </c>
      <c r="H13" s="9" t="inlineStr">
        <is>
          <t>mai/2024 a abr/2025</t>
        </is>
      </c>
      <c r="I13" s="15" t="n">
        <v>175026152.23</v>
      </c>
      <c r="J13" s="15" t="n">
        <v>10253963568.26</v>
      </c>
      <c r="K13" s="10">
        <f>IF(OR(I13="",J13="",J13=0),"",I13/J13)</f>
        <v/>
      </c>
      <c r="L13" s="16" t="n">
        <v>0.0171</v>
      </c>
      <c r="M13" s="9">
        <f>IF(L13="","Não declarado",IF(K13="","Sem dado",IF(ABS(K13-L13)&lt;=0.00005,"Sim","Não")))</f>
        <v/>
      </c>
      <c r="N13" s="16" t="n">
        <v>0.02</v>
      </c>
      <c r="O13" s="16" t="n">
        <v>0.019</v>
      </c>
      <c r="P13" s="16" t="n">
        <v>0.018</v>
      </c>
      <c r="Q13" s="15" t="n">
        <v>205079271.37</v>
      </c>
      <c r="R13" s="15" t="n">
        <v>194825307.8</v>
      </c>
      <c r="S13" s="15" t="n">
        <v>184571344.23</v>
      </c>
      <c r="T13" s="9">
        <f>IF(K13="","Sem dado",IF(N13="","Sem limite próprio na LRF",IF(AND(Q13&lt;&gt;"",R13&lt;&gt;"",S13&lt;&gt;""),IF(I13&gt;Q13,"Acima do limite máximo",IF(I13&gt;R13,"Acima do limite prudencial",IF(I13&gt;S13,"Acima do limite de alerta","Abaixo do limite de alerta"))),IF(K13&gt;N13,"Acima do limite máximo",IF(K13&gt;O13,"Acima do limite prudencial",IF(K13&gt;P13,"Acima do limite de alerta","Abaixo do limite de alerta"))))))</f>
        <v/>
      </c>
      <c r="U13" s="9" t="inlineStr">
        <is>
          <t>Declarado no RGF</t>
        </is>
      </c>
    </row>
    <row r="14">
      <c r="A14" s="9">
        <f>B14&amp;"|"&amp;G14</f>
        <v/>
      </c>
      <c r="B14" s="9" t="inlineStr">
        <is>
          <t>Assembleia Legislativa</t>
        </is>
      </c>
      <c r="C14" s="9" t="inlineStr">
        <is>
          <t>Poder Legislativo</t>
        </is>
      </c>
      <c r="D14" s="9" t="inlineStr">
        <is>
          <t>Assembleia Legislativa do Estado do Acre</t>
        </is>
      </c>
      <c r="E14" s="9" t="inlineStr">
        <is>
          <t>2025</t>
        </is>
      </c>
      <c r="F14" s="9" t="n">
        <v>2</v>
      </c>
      <c r="G14" s="9" t="inlineStr">
        <is>
          <t>2º quad. 2025</t>
        </is>
      </c>
      <c r="H14" s="9" t="inlineStr">
        <is>
          <t>set/2024 a ago/2025</t>
        </is>
      </c>
      <c r="I14" s="15" t="n">
        <v>182466306.95</v>
      </c>
      <c r="J14" s="15" t="n">
        <v>10813598794.32</v>
      </c>
      <c r="K14" s="10">
        <f>IF(OR(I14="",J14="",J14=0),"",I14/J14)</f>
        <v/>
      </c>
      <c r="L14" s="16" t="n">
        <v>0.0169</v>
      </c>
      <c r="M14" s="9">
        <f>IF(L14="","Não declarado",IF(K14="","Sem dado",IF(ABS(K14-L14)&lt;=0.00005,"Sim","Não")))</f>
        <v/>
      </c>
      <c r="N14" s="16" t="n">
        <v>0.02</v>
      </c>
      <c r="O14" s="16" t="n">
        <v>0.019</v>
      </c>
      <c r="P14" s="16" t="n">
        <v>0.018</v>
      </c>
      <c r="Q14" s="15" t="n">
        <v>216271975.89</v>
      </c>
      <c r="R14" s="15" t="n">
        <v>205458377.1</v>
      </c>
      <c r="S14" s="15" t="n">
        <v>194644778.3</v>
      </c>
      <c r="T14" s="9">
        <f>IF(K14="","Sem dado",IF(N14="","Sem limite próprio na LRF",IF(AND(Q14&lt;&gt;"",R14&lt;&gt;"",S14&lt;&gt;""),IF(I14&gt;Q14,"Acima do limite máximo",IF(I14&gt;R14,"Acima do limite prudencial",IF(I14&gt;S14,"Acima do limite de alerta","Abaixo do limite de alerta"))),IF(K14&gt;N14,"Acima do limite máximo",IF(K14&gt;O14,"Acima do limite prudencial",IF(K14&gt;P14,"Acima do limite de alerta","Abaixo do limite de alerta"))))))</f>
        <v/>
      </c>
      <c r="U14" s="9" t="inlineStr">
        <is>
          <t>Declarado no RGF</t>
        </is>
      </c>
    </row>
    <row r="15">
      <c r="A15" s="9">
        <f>B15&amp;"|"&amp;G15</f>
        <v/>
      </c>
      <c r="B15" s="9" t="inlineStr">
        <is>
          <t>Assembleia Legislativa</t>
        </is>
      </c>
      <c r="C15" s="9" t="inlineStr">
        <is>
          <t>Poder Legislativo</t>
        </is>
      </c>
      <c r="D15" s="9" t="inlineStr">
        <is>
          <t>Assembleia Legislativa do Estado do Acre</t>
        </is>
      </c>
      <c r="E15" s="9" t="inlineStr">
        <is>
          <t>2025</t>
        </is>
      </c>
      <c r="F15" s="9" t="n">
        <v>3</v>
      </c>
      <c r="G15" s="9" t="inlineStr">
        <is>
          <t>3º quad. 2025</t>
        </is>
      </c>
      <c r="H15" s="9" t="inlineStr">
        <is>
          <t>jan/2025 a dez/2025</t>
        </is>
      </c>
      <c r="I15" s="15" t="n">
        <v>191764474.84</v>
      </c>
      <c r="J15" s="15" t="n">
        <v>11190641912.27</v>
      </c>
      <c r="K15" s="10">
        <f>IF(OR(I15="",J15="",J15=0),"",I15/J15)</f>
        <v/>
      </c>
      <c r="L15" s="16" t="n">
        <v>0.0171</v>
      </c>
      <c r="M15" s="9">
        <f>IF(L15="","Não declarado",IF(K15="","Sem dado",IF(ABS(K15-L15)&lt;=0.00005,"Sim","Não")))</f>
        <v/>
      </c>
      <c r="N15" s="16" t="n">
        <v>0.02</v>
      </c>
      <c r="O15" s="16" t="n">
        <v>0.019</v>
      </c>
      <c r="P15" s="16" t="n">
        <v>0.018</v>
      </c>
      <c r="Q15" s="15" t="n">
        <v>223812838.25</v>
      </c>
      <c r="R15" s="15" t="n">
        <v>212622196.34</v>
      </c>
      <c r="S15" s="15" t="n">
        <v>201431554.43</v>
      </c>
      <c r="T15" s="9">
        <f>IF(K15="","Sem dado",IF(N15="","Sem limite próprio na LRF",IF(AND(Q15&lt;&gt;"",R15&lt;&gt;"",S15&lt;&gt;""),IF(I15&gt;Q15,"Acima do limite máximo",IF(I15&gt;R15,"Acima do limite prudencial",IF(I15&gt;S15,"Acima do limite de alerta","Abaixo do limite de alerta"))),IF(K15&gt;N15,"Acima do limite máximo",IF(K15&gt;O15,"Acima do limite prudencial",IF(K15&gt;P15,"Acima do limite de alerta","Abaixo do limite de alerta"))))))</f>
        <v/>
      </c>
      <c r="U15" s="9" t="inlineStr">
        <is>
          <t>Declarado no RGF</t>
        </is>
      </c>
    </row>
    <row r="16">
      <c r="A16" s="9">
        <f>B16&amp;"|"&amp;G16</f>
        <v/>
      </c>
      <c r="B16" s="9" t="inlineStr">
        <is>
          <t>Assembleia Legislativa</t>
        </is>
      </c>
      <c r="C16" s="9" t="inlineStr">
        <is>
          <t>Poder Legislativo</t>
        </is>
      </c>
      <c r="D16" s="9" t="inlineStr">
        <is>
          <t>Assembleia Legislativa do Estado do Acre</t>
        </is>
      </c>
      <c r="E16" s="9" t="inlineStr">
        <is>
          <t>2026</t>
        </is>
      </c>
      <c r="F16" s="9" t="n">
        <v>1</v>
      </c>
      <c r="G16" s="9" t="inlineStr">
        <is>
          <t>1º quad. 2026</t>
        </is>
      </c>
      <c r="H16" s="9" t="inlineStr">
        <is>
          <t>mai/2025 a abr/2026</t>
        </is>
      </c>
      <c r="I16" s="15" t="n">
        <v>198465149.9</v>
      </c>
      <c r="J16" s="15" t="n">
        <v>11403929709.57</v>
      </c>
      <c r="K16" s="10">
        <f>IF(OR(I16="",J16="",J16=0),"",I16/J16)</f>
        <v/>
      </c>
      <c r="L16" s="16" t="n">
        <v>0.0174</v>
      </c>
      <c r="M16" s="9">
        <f>IF(L16="","Não declarado",IF(K16="","Sem dado",IF(ABS(K16-L16)&lt;=0.00005,"Sim","Não")))</f>
        <v/>
      </c>
      <c r="N16" s="16" t="n">
        <v>0.02</v>
      </c>
      <c r="O16" s="16" t="n">
        <v>0.019</v>
      </c>
      <c r="P16" s="16" t="n">
        <v>0.018</v>
      </c>
      <c r="Q16" s="15" t="n">
        <v>228078594.19</v>
      </c>
      <c r="R16" s="15" t="n">
        <v>216674664.48</v>
      </c>
      <c r="S16" s="15" t="n">
        <v>205270734.77</v>
      </c>
      <c r="T16" s="9">
        <f>IF(K16="","Sem dado",IF(N16="","Sem limite próprio na LRF",IF(AND(Q16&lt;&gt;"",R16&lt;&gt;"",S16&lt;&gt;""),IF(I16&gt;Q16,"Acima do limite máximo",IF(I16&gt;R16,"Acima do limite prudencial",IF(I16&gt;S16,"Acima do limite de alerta","Abaixo do limite de alerta"))),IF(K16&gt;N16,"Acima do limite máximo",IF(K16&gt;O16,"Acima do limite prudencial",IF(K16&gt;P16,"Acima do limite de alerta","Abaixo do limite de alerta"))))))</f>
        <v/>
      </c>
      <c r="U16" s="9" t="inlineStr">
        <is>
          <t>Declarado no RGF</t>
        </is>
      </c>
    </row>
    <row r="17">
      <c r="A17" s="9">
        <f>B17&amp;"|"&amp;G17</f>
        <v/>
      </c>
      <c r="B17" s="9" t="inlineStr">
        <is>
          <t>Assembleia Legislativa</t>
        </is>
      </c>
      <c r="C17" s="9" t="inlineStr">
        <is>
          <t>Poder Legislativo</t>
        </is>
      </c>
      <c r="D17" s="9" t="inlineStr">
        <is>
          <t>Assembleia Legislativa do Estado do Acre</t>
        </is>
      </c>
      <c r="E17" s="9" t="inlineStr">
        <is>
          <t>2026</t>
        </is>
      </c>
      <c r="F17" s="9" t="n">
        <v>2</v>
      </c>
      <c r="G17" s="9" t="inlineStr">
        <is>
          <t>2º quad. 2026</t>
        </is>
      </c>
      <c r="H17" s="9" t="inlineStr">
        <is>
          <t>set/2025 a ago/2026</t>
        </is>
      </c>
      <c r="I17" s="15" t="n">
        <v>205843139.95</v>
      </c>
      <c r="J17" s="15" t="n">
        <v>11652841863.34</v>
      </c>
      <c r="K17" s="10">
        <f>IF(OR(I17="",J17="",J17=0),"",I17/J17)</f>
        <v/>
      </c>
      <c r="L17" s="16" t="n">
        <v>0.0177</v>
      </c>
      <c r="M17" s="9">
        <f>IF(L17="","Não declarado",IF(K17="","Sem dado",IF(ABS(K17-L17)&lt;=0.00005,"Sim","Não")))</f>
        <v/>
      </c>
      <c r="N17" s="16" t="n">
        <v>0.02</v>
      </c>
      <c r="O17" s="16" t="n">
        <v>0.019</v>
      </c>
      <c r="P17" s="16" t="n">
        <v>0.018</v>
      </c>
      <c r="Q17" s="15" t="n">
        <v>233056837.27</v>
      </c>
      <c r="R17" s="15" t="n">
        <v>221403995.41</v>
      </c>
      <c r="S17" s="15" t="n">
        <v>209751153.54</v>
      </c>
      <c r="T17" s="9">
        <f>IF(K17="","Sem dado",IF(N17="","Sem limite próprio na LRF",IF(AND(Q17&lt;&gt;"",R17&lt;&gt;"",S17&lt;&gt;""),IF(I17&gt;Q17,"Acima do limite máximo",IF(I17&gt;R17,"Acima do limite prudencial",IF(I17&gt;S17,"Acima do limite de alerta","Abaixo do limite de alerta"))),IF(K17&gt;N17,"Acima do limite máximo",IF(K17&gt;O17,"Acima do limite prudencial",IF(K17&gt;P17,"Acima do limite de alerta","Abaixo do limite de alerta"))))))</f>
        <v/>
      </c>
      <c r="U17" s="9" t="inlineStr">
        <is>
          <t>Declarado no RGF</t>
        </is>
      </c>
    </row>
    <row r="18">
      <c r="A18" s="9">
        <f>B18&amp;"|"&amp;G18</f>
        <v/>
      </c>
      <c r="B18" s="9" t="inlineStr">
        <is>
          <t>Tribunal de Justiça</t>
        </is>
      </c>
      <c r="C18" s="9" t="inlineStr">
        <is>
          <t>Poder Judiciário</t>
        </is>
      </c>
      <c r="D18" s="9" t="inlineStr">
        <is>
          <t>Tribunal de Justiça do Estado do Acre</t>
        </is>
      </c>
      <c r="E18" s="9" t="inlineStr">
        <is>
          <t>2024</t>
        </is>
      </c>
      <c r="F18" s="9" t="n">
        <v>1</v>
      </c>
      <c r="G18" s="9" t="inlineStr">
        <is>
          <t>1º quad. 2024</t>
        </is>
      </c>
      <c r="H18" s="9" t="inlineStr">
        <is>
          <t>mai/2023 a abr/2024</t>
        </is>
      </c>
      <c r="I18" s="15" t="n">
        <v>317928031.91</v>
      </c>
      <c r="J18" s="15" t="n">
        <v>9078322800.43</v>
      </c>
      <c r="K18" s="10">
        <f>IF(OR(I18="",J18="",J18=0),"",I18/J18)</f>
        <v/>
      </c>
      <c r="L18" s="16" t="n">
        <v>0.035</v>
      </c>
      <c r="M18" s="9">
        <f>IF(L18="","Não declarado",IF(K18="","Sem dado",IF(ABS(K18-L18)&lt;=0.00005,"Sim","Não")))</f>
        <v/>
      </c>
      <c r="N18" s="16" t="n">
        <v>0.06</v>
      </c>
      <c r="O18" s="16" t="n">
        <v>0.057</v>
      </c>
      <c r="P18" s="16" t="n">
        <v>0.05400000000000001</v>
      </c>
      <c r="Q18" s="15" t="n">
        <v>544699368.03</v>
      </c>
      <c r="R18" s="15" t="n">
        <v>517464399.63</v>
      </c>
      <c r="S18" s="15" t="n">
        <v>490229431.23</v>
      </c>
      <c r="T18" s="9">
        <f>IF(K18="","Sem dado",IF(N18="","Sem limite próprio na LRF",IF(AND(Q18&lt;&gt;"",R18&lt;&gt;"",S18&lt;&gt;""),IF(I18&gt;Q18,"Acima do limite máximo",IF(I18&gt;R18,"Acima do limite prudencial",IF(I18&gt;S18,"Acima do limite de alerta","Abaixo do limite de alerta"))),IF(K18&gt;N18,"Acima do limite máximo",IF(K18&gt;O18,"Acima do limite prudencial",IF(K18&gt;P18,"Acima do limite de alerta","Abaixo do limite de alerta"))))))</f>
        <v/>
      </c>
      <c r="U18" s="9" t="inlineStr">
        <is>
          <t>Declarado no RGF</t>
        </is>
      </c>
    </row>
    <row r="19">
      <c r="A19" s="9">
        <f>B19&amp;"|"&amp;G19</f>
        <v/>
      </c>
      <c r="B19" s="9" t="inlineStr">
        <is>
          <t>Tribunal de Justiça</t>
        </is>
      </c>
      <c r="C19" s="9" t="inlineStr">
        <is>
          <t>Poder Judiciário</t>
        </is>
      </c>
      <c r="D19" s="9" t="inlineStr">
        <is>
          <t>Tribunal de Justiça do Estado do Acre</t>
        </is>
      </c>
      <c r="E19" s="9" t="inlineStr">
        <is>
          <t>2024</t>
        </is>
      </c>
      <c r="F19" s="9" t="n">
        <v>2</v>
      </c>
      <c r="G19" s="9" t="inlineStr">
        <is>
          <t>2º quad. 2024</t>
        </is>
      </c>
      <c r="H19" s="9" t="inlineStr">
        <is>
          <t>set/2023 a ago/2024</t>
        </is>
      </c>
      <c r="I19" s="15" t="n">
        <v>329684731.85</v>
      </c>
      <c r="J19" s="15" t="n">
        <v>9601846954.870001</v>
      </c>
      <c r="K19" s="10">
        <f>IF(OR(I19="",J19="",J19=0),"",I19/J19)</f>
        <v/>
      </c>
      <c r="L19" s="16" t="n">
        <v>0.0343</v>
      </c>
      <c r="M19" s="9">
        <f>IF(L19="","Não declarado",IF(K19="","Sem dado",IF(ABS(K19-L19)&lt;=0.00005,"Sim","Não")))</f>
        <v/>
      </c>
      <c r="N19" s="16" t="n">
        <v>0.06</v>
      </c>
      <c r="O19" s="16" t="n">
        <v>0.057</v>
      </c>
      <c r="P19" s="16" t="n">
        <v>0.05400000000000001</v>
      </c>
      <c r="Q19" s="15" t="n">
        <v>576110817.29</v>
      </c>
      <c r="R19" s="15" t="n">
        <v>547305276.4299999</v>
      </c>
      <c r="S19" s="15" t="n">
        <v>518499735.56</v>
      </c>
      <c r="T19" s="9">
        <f>IF(K19="","Sem dado",IF(N19="","Sem limite próprio na LRF",IF(AND(Q19&lt;&gt;"",R19&lt;&gt;"",S19&lt;&gt;""),IF(I19&gt;Q19,"Acima do limite máximo",IF(I19&gt;R19,"Acima do limite prudencial",IF(I19&gt;S19,"Acima do limite de alerta","Abaixo do limite de alerta"))),IF(K19&gt;N19,"Acima do limite máximo",IF(K19&gt;O19,"Acima do limite prudencial",IF(K19&gt;P19,"Acima do limite de alerta","Abaixo do limite de alerta"))))))</f>
        <v/>
      </c>
      <c r="U19" s="9" t="inlineStr">
        <is>
          <t>Declarado no RGF</t>
        </is>
      </c>
    </row>
    <row r="20">
      <c r="A20" s="9">
        <f>B20&amp;"|"&amp;G20</f>
        <v/>
      </c>
      <c r="B20" s="9" t="inlineStr">
        <is>
          <t>Tribunal de Justiça</t>
        </is>
      </c>
      <c r="C20" s="9" t="inlineStr">
        <is>
          <t>Poder Judiciário</t>
        </is>
      </c>
      <c r="D20" s="9" t="inlineStr">
        <is>
          <t>Tribunal de Justiça do Estado do Acre</t>
        </is>
      </c>
      <c r="E20" s="9" t="inlineStr">
        <is>
          <t>2024</t>
        </is>
      </c>
      <c r="F20" s="9" t="n">
        <v>3</v>
      </c>
      <c r="G20" s="9" t="inlineStr">
        <is>
          <t>3º quad. 2024</t>
        </is>
      </c>
      <c r="H20" s="9" t="inlineStr">
        <is>
          <t>jan/2024 a dez/2024</t>
        </is>
      </c>
      <c r="I20" s="15" t="n">
        <v>352704760.07</v>
      </c>
      <c r="J20" s="15" t="n">
        <v>10002459245.99</v>
      </c>
      <c r="K20" s="10">
        <f>IF(OR(I20="",J20="",J20=0),"",I20/J20)</f>
        <v/>
      </c>
      <c r="L20" s="16" t="n">
        <v>0.0353</v>
      </c>
      <c r="M20" s="9">
        <f>IF(L20="","Não declarado",IF(K20="","Sem dado",IF(ABS(K20-L20)&lt;=0.00005,"Sim","Não")))</f>
        <v/>
      </c>
      <c r="N20" s="16" t="n">
        <v>0.06</v>
      </c>
      <c r="O20" s="16" t="n">
        <v>0.057</v>
      </c>
      <c r="P20" s="16" t="n">
        <v>0.05400000000000001</v>
      </c>
      <c r="Q20" s="15" t="n">
        <v>600147554.76</v>
      </c>
      <c r="R20" s="15" t="n">
        <v>570140177.02</v>
      </c>
      <c r="S20" s="15" t="n">
        <v>540132799.28</v>
      </c>
      <c r="T20" s="9">
        <f>IF(K20="","Sem dado",IF(N20="","Sem limite próprio na LRF",IF(AND(Q20&lt;&gt;"",R20&lt;&gt;"",S20&lt;&gt;""),IF(I20&gt;Q20,"Acima do limite máximo",IF(I20&gt;R20,"Acima do limite prudencial",IF(I20&gt;S20,"Acima do limite de alerta","Abaixo do limite de alerta"))),IF(K20&gt;N20,"Acima do limite máximo",IF(K20&gt;O20,"Acima do limite prudencial",IF(K20&gt;P20,"Acima do limite de alerta","Abaixo do limite de alerta"))))))</f>
        <v/>
      </c>
      <c r="U20" s="9" t="inlineStr">
        <is>
          <t>Declarado no RGF</t>
        </is>
      </c>
    </row>
    <row r="21">
      <c r="A21" s="9">
        <f>B21&amp;"|"&amp;G21</f>
        <v/>
      </c>
      <c r="B21" s="9" t="inlineStr">
        <is>
          <t>Tribunal de Justiça</t>
        </is>
      </c>
      <c r="C21" s="9" t="inlineStr">
        <is>
          <t>Poder Judiciário</t>
        </is>
      </c>
      <c r="D21" s="9" t="inlineStr">
        <is>
          <t>Tribunal de Justiça do Estado do Acre</t>
        </is>
      </c>
      <c r="E21" s="9" t="inlineStr">
        <is>
          <t>2025</t>
        </is>
      </c>
      <c r="F21" s="9" t="n">
        <v>1</v>
      </c>
      <c r="G21" s="9" t="inlineStr">
        <is>
          <t>1º quad. 2025</t>
        </is>
      </c>
      <c r="H21" s="9" t="inlineStr">
        <is>
          <t>mai/2024 a abr/2025</t>
        </is>
      </c>
      <c r="I21" s="15" t="n">
        <v>384608676.65</v>
      </c>
      <c r="J21" s="15" t="n">
        <v>10253963568.26</v>
      </c>
      <c r="K21" s="10">
        <f>IF(OR(I21="",J21="",J21=0),"",I21/J21)</f>
        <v/>
      </c>
      <c r="L21" s="16" t="n">
        <v>0.0375</v>
      </c>
      <c r="M21" s="9">
        <f>IF(L21="","Não declarado",IF(K21="","Sem dado",IF(ABS(K21-L21)&lt;=0.00005,"Sim","Não")))</f>
        <v/>
      </c>
      <c r="N21" s="16" t="n">
        <v>0.06</v>
      </c>
      <c r="O21" s="16" t="n">
        <v>0.057</v>
      </c>
      <c r="P21" s="16" t="n">
        <v>0.05400000000000001</v>
      </c>
      <c r="Q21" s="15" t="n">
        <v>615237814.1</v>
      </c>
      <c r="R21" s="15" t="n">
        <v>584475923.4</v>
      </c>
      <c r="S21" s="15" t="n">
        <v>553714032.6900001</v>
      </c>
      <c r="T21" s="9">
        <f>IF(K21="","Sem dado",IF(N21="","Sem limite próprio na LRF",IF(AND(Q21&lt;&gt;"",R21&lt;&gt;"",S21&lt;&gt;""),IF(I21&gt;Q21,"Acima do limite máximo",IF(I21&gt;R21,"Acima do limite prudencial",IF(I21&gt;S21,"Acima do limite de alerta","Abaixo do limite de alerta"))),IF(K21&gt;N21,"Acima do limite máximo",IF(K21&gt;O21,"Acima do limite prudencial",IF(K21&gt;P21,"Acima do limite de alerta","Abaixo do limite de alerta"))))))</f>
        <v/>
      </c>
      <c r="U21" s="9" t="inlineStr">
        <is>
          <t>Declarado no RGF</t>
        </is>
      </c>
    </row>
    <row r="22">
      <c r="A22" s="9">
        <f>B22&amp;"|"&amp;G22</f>
        <v/>
      </c>
      <c r="B22" s="9" t="inlineStr">
        <is>
          <t>Tribunal de Justiça</t>
        </is>
      </c>
      <c r="C22" s="9" t="inlineStr">
        <is>
          <t>Poder Judiciário</t>
        </is>
      </c>
      <c r="D22" s="9" t="inlineStr">
        <is>
          <t>Tribunal de Justiça do Estado do Acre</t>
        </is>
      </c>
      <c r="E22" s="9" t="inlineStr">
        <is>
          <t>2025</t>
        </is>
      </c>
      <c r="F22" s="9" t="n">
        <v>2</v>
      </c>
      <c r="G22" s="9" t="inlineStr">
        <is>
          <t>2º quad. 2025</t>
        </is>
      </c>
      <c r="H22" s="9" t="inlineStr">
        <is>
          <t>set/2024 a ago/2025</t>
        </is>
      </c>
      <c r="I22" s="15" t="n">
        <v>414623852.62</v>
      </c>
      <c r="J22" s="15" t="n">
        <v>10813598794.32</v>
      </c>
      <c r="K22" s="10">
        <f>IF(OR(I22="",J22="",J22=0),"",I22/J22)</f>
        <v/>
      </c>
      <c r="L22" s="16" t="n">
        <v>0.0383</v>
      </c>
      <c r="M22" s="9">
        <f>IF(L22="","Não declarado",IF(K22="","Sem dado",IF(ABS(K22-L22)&lt;=0.00005,"Sim","Não")))</f>
        <v/>
      </c>
      <c r="N22" s="16" t="n">
        <v>0.06</v>
      </c>
      <c r="O22" s="16" t="n">
        <v>0.057</v>
      </c>
      <c r="P22" s="16" t="n">
        <v>0.05400000000000001</v>
      </c>
      <c r="Q22" s="15" t="n">
        <v>648815927.66</v>
      </c>
      <c r="R22" s="15" t="n">
        <v>616375131.28</v>
      </c>
      <c r="S22" s="15" t="n">
        <v>583934334.89</v>
      </c>
      <c r="T22" s="9">
        <f>IF(K22="","Sem dado",IF(N22="","Sem limite próprio na LRF",IF(AND(Q22&lt;&gt;"",R22&lt;&gt;"",S22&lt;&gt;""),IF(I22&gt;Q22,"Acima do limite máximo",IF(I22&gt;R22,"Acima do limite prudencial",IF(I22&gt;S22,"Acima do limite de alerta","Abaixo do limite de alerta"))),IF(K22&gt;N22,"Acima do limite máximo",IF(K22&gt;O22,"Acima do limite prudencial",IF(K22&gt;P22,"Acima do limite de alerta","Abaixo do limite de alerta"))))))</f>
        <v/>
      </c>
      <c r="U22" s="9" t="inlineStr">
        <is>
          <t>Declarado no RGF</t>
        </is>
      </c>
    </row>
    <row r="23">
      <c r="A23" s="9">
        <f>B23&amp;"|"&amp;G23</f>
        <v/>
      </c>
      <c r="B23" s="9" t="inlineStr">
        <is>
          <t>Tribunal de Justiça</t>
        </is>
      </c>
      <c r="C23" s="9" t="inlineStr">
        <is>
          <t>Poder Judiciário</t>
        </is>
      </c>
      <c r="D23" s="9" t="inlineStr">
        <is>
          <t>Tribunal de Justiça do Estado do Acre</t>
        </is>
      </c>
      <c r="E23" s="9" t="inlineStr">
        <is>
          <t>2025</t>
        </is>
      </c>
      <c r="F23" s="9" t="n">
        <v>3</v>
      </c>
      <c r="G23" s="9" t="inlineStr">
        <is>
          <t>3º quad. 2025</t>
        </is>
      </c>
      <c r="H23" s="9" t="inlineStr">
        <is>
          <t>jan/2025 a dez/2025</t>
        </is>
      </c>
      <c r="I23" s="15" t="n">
        <v>417850336.27</v>
      </c>
      <c r="J23" s="15" t="n">
        <v>11190641912.27</v>
      </c>
      <c r="K23" s="10">
        <f>IF(OR(I23="",J23="",J23=0),"",I23/J23)</f>
        <v/>
      </c>
      <c r="L23" s="16" t="n">
        <v>0.0373</v>
      </c>
      <c r="M23" s="9">
        <f>IF(L23="","Não declarado",IF(K23="","Sem dado",IF(ABS(K23-L23)&lt;=0.00005,"Sim","Não")))</f>
        <v/>
      </c>
      <c r="N23" s="16" t="n">
        <v>0.06</v>
      </c>
      <c r="O23" s="16" t="n">
        <v>0.057</v>
      </c>
      <c r="P23" s="16" t="n">
        <v>0.05400000000000001</v>
      </c>
      <c r="Q23" s="15" t="n">
        <v>671438514.74</v>
      </c>
      <c r="R23" s="15" t="n">
        <v>637866589</v>
      </c>
      <c r="S23" s="15" t="n">
        <v>604294663.27</v>
      </c>
      <c r="T23" s="9">
        <f>IF(K23="","Sem dado",IF(N23="","Sem limite próprio na LRF",IF(AND(Q23&lt;&gt;"",R23&lt;&gt;"",S23&lt;&gt;""),IF(I23&gt;Q23,"Acima do limite máximo",IF(I23&gt;R23,"Acima do limite prudencial",IF(I23&gt;S23,"Acima do limite de alerta","Abaixo do limite de alerta"))),IF(K23&gt;N23,"Acima do limite máximo",IF(K23&gt;O23,"Acima do limite prudencial",IF(K23&gt;P23,"Acima do limite de alerta","Abaixo do limite de alerta"))))))</f>
        <v/>
      </c>
      <c r="U23" s="9" t="inlineStr">
        <is>
          <t>Declarado no RGF</t>
        </is>
      </c>
    </row>
    <row r="24">
      <c r="A24" s="9">
        <f>B24&amp;"|"&amp;G24</f>
        <v/>
      </c>
      <c r="B24" s="9" t="inlineStr">
        <is>
          <t>Tribunal de Justiça</t>
        </is>
      </c>
      <c r="C24" s="9" t="inlineStr">
        <is>
          <t>Poder Judiciário</t>
        </is>
      </c>
      <c r="D24" s="9" t="inlineStr">
        <is>
          <t>Tribunal de Justiça do Estado do Acre</t>
        </is>
      </c>
      <c r="E24" s="9" t="inlineStr">
        <is>
          <t>2026</t>
        </is>
      </c>
      <c r="F24" s="9" t="n">
        <v>1</v>
      </c>
      <c r="G24" s="9" t="inlineStr">
        <is>
          <t>1º quad. 2026</t>
        </is>
      </c>
      <c r="H24" s="9" t="inlineStr">
        <is>
          <t>mai/2025 a abr/2026</t>
        </is>
      </c>
      <c r="I24" s="15" t="n">
        <v>428227467.64</v>
      </c>
      <c r="J24" s="15" t="n">
        <v>11403929709.58</v>
      </c>
      <c r="K24" s="10">
        <f>IF(OR(I24="",J24="",J24=0),"",I24/J24)</f>
        <v/>
      </c>
      <c r="L24" s="16" t="n">
        <v>0.03759999999999999</v>
      </c>
      <c r="M24" s="9">
        <f>IF(L24="","Não declarado",IF(K24="","Sem dado",IF(ABS(K24-L24)&lt;=0.00005,"Sim","Não")))</f>
        <v/>
      </c>
      <c r="N24" s="16" t="n">
        <v>0.06</v>
      </c>
      <c r="O24" s="16" t="n">
        <v>0.057</v>
      </c>
      <c r="P24" s="16" t="n">
        <v>0.05400000000000001</v>
      </c>
      <c r="Q24" s="15" t="n">
        <v>684235782.5700001</v>
      </c>
      <c r="R24" s="15" t="n">
        <v>650023993.4400001</v>
      </c>
      <c r="S24" s="15" t="n">
        <v>615812204.3099999</v>
      </c>
      <c r="T24" s="9">
        <f>IF(K24="","Sem dado",IF(N24="","Sem limite próprio na LRF",IF(AND(Q24&lt;&gt;"",R24&lt;&gt;"",S24&lt;&gt;""),IF(I24&gt;Q24,"Acima do limite máximo",IF(I24&gt;R24,"Acima do limite prudencial",IF(I24&gt;S24,"Acima do limite de alerta","Abaixo do limite de alerta"))),IF(K24&gt;N24,"Acima do limite máximo",IF(K24&gt;O24,"Acima do limite prudencial",IF(K24&gt;P24,"Acima do limite de alerta","Abaixo do limite de alerta"))))))</f>
        <v/>
      </c>
      <c r="U24" s="9" t="inlineStr">
        <is>
          <t>Declarado no RGF</t>
        </is>
      </c>
    </row>
    <row r="25">
      <c r="A25" s="9">
        <f>B25&amp;"|"&amp;G25</f>
        <v/>
      </c>
      <c r="B25" s="9" t="inlineStr">
        <is>
          <t>Tribunal de Justiça</t>
        </is>
      </c>
      <c r="C25" s="9" t="inlineStr">
        <is>
          <t>Poder Judiciário</t>
        </is>
      </c>
      <c r="D25" s="9" t="inlineStr">
        <is>
          <t>Tribunal de Justiça do Estado do Acre</t>
        </is>
      </c>
      <c r="E25" s="9" t="inlineStr">
        <is>
          <t>2026</t>
        </is>
      </c>
      <c r="F25" s="9" t="n">
        <v>2</v>
      </c>
      <c r="G25" s="9" t="inlineStr">
        <is>
          <t>2º quad. 2026</t>
        </is>
      </c>
      <c r="H25" s="9" t="inlineStr">
        <is>
          <t>set/2025 a ago/2026</t>
        </is>
      </c>
      <c r="I25" s="15" t="n">
        <v>413303721.69</v>
      </c>
      <c r="J25" s="15" t="n">
        <v>11652841863.34</v>
      </c>
      <c r="K25" s="10">
        <f>IF(OR(I25="",J25="",J25=0),"",I25/J25)</f>
        <v/>
      </c>
      <c r="L25" s="16" t="n">
        <v>0.0355</v>
      </c>
      <c r="M25" s="9">
        <f>IF(L25="","Não declarado",IF(K25="","Sem dado",IF(ABS(K25-L25)&lt;=0.00005,"Sim","Não")))</f>
        <v/>
      </c>
      <c r="N25" s="16" t="n">
        <v>0.06</v>
      </c>
      <c r="O25" s="16" t="n">
        <v>0.057</v>
      </c>
      <c r="P25" s="16" t="n">
        <v>0.05400000000000001</v>
      </c>
      <c r="Q25" s="15" t="n">
        <v>699170511.8</v>
      </c>
      <c r="R25" s="15" t="n">
        <v>664211986.21</v>
      </c>
      <c r="S25" s="15" t="n">
        <v>629253460.62</v>
      </c>
      <c r="T25" s="9">
        <f>IF(K25="","Sem dado",IF(N25="","Sem limite próprio na LRF",IF(AND(Q25&lt;&gt;"",R25&lt;&gt;"",S25&lt;&gt;""),IF(I25&gt;Q25,"Acima do limite máximo",IF(I25&gt;R25,"Acima do limite prudencial",IF(I25&gt;S25,"Acima do limite de alerta","Abaixo do limite de alerta"))),IF(K25&gt;N25,"Acima do limite máximo",IF(K25&gt;O25,"Acima do limite prudencial",IF(K25&gt;P25,"Acima do limite de alerta","Abaixo do limite de alerta"))))))</f>
        <v/>
      </c>
      <c r="U25" s="9" t="inlineStr">
        <is>
          <t>Declarado no RGF</t>
        </is>
      </c>
    </row>
    <row r="26">
      <c r="A26" s="9">
        <f>B26&amp;"|"&amp;G26</f>
        <v/>
      </c>
      <c r="B26" s="9" t="inlineStr">
        <is>
          <t>Tribunal de Contas</t>
        </is>
      </c>
      <c r="C26" s="9" t="inlineStr">
        <is>
          <t>Tribunal de Contas</t>
        </is>
      </c>
      <c r="D26" s="9" t="inlineStr">
        <is>
          <t>Tribunal de Contas do Estado do Acre</t>
        </is>
      </c>
      <c r="E26" s="9" t="inlineStr">
        <is>
          <t>2024</t>
        </is>
      </c>
      <c r="F26" s="9" t="n">
        <v>1</v>
      </c>
      <c r="G26" s="9" t="inlineStr">
        <is>
          <t>1º quad. 2024</t>
        </is>
      </c>
      <c r="H26" s="9" t="inlineStr">
        <is>
          <t>mai/2023 a abr/2024</t>
        </is>
      </c>
      <c r="I26" s="15" t="n">
        <v>57376772.1</v>
      </c>
      <c r="J26" s="15" t="n">
        <v>9078322800.43</v>
      </c>
      <c r="K26" s="10">
        <f>IF(OR(I26="",J26="",J26=0),"",I26/J26)</f>
        <v/>
      </c>
      <c r="L26" s="16" t="n">
        <v>0.0063</v>
      </c>
      <c r="M26" s="9">
        <f>IF(L26="","Não declarado",IF(K26="","Sem dado",IF(ABS(K26-L26)&lt;=0.00005,"Sim","Não")))</f>
        <v/>
      </c>
      <c r="N26" s="16" t="n">
        <v>0.01</v>
      </c>
      <c r="O26" s="16" t="n">
        <v>0.0095</v>
      </c>
      <c r="P26" s="16" t="n">
        <v>0.009000000000000001</v>
      </c>
      <c r="Q26" s="15" t="n">
        <v>90783228</v>
      </c>
      <c r="R26" s="15" t="n">
        <v>86244066.59999999</v>
      </c>
      <c r="S26" s="15" t="n">
        <v>81704905.2</v>
      </c>
      <c r="T26" s="9">
        <f>IF(K26="","Sem dado",IF(N26="","Sem limite próprio na LRF",IF(AND(Q26&lt;&gt;"",R26&lt;&gt;"",S26&lt;&gt;""),IF(I26&gt;Q26,"Acima do limite máximo",IF(I26&gt;R26,"Acima do limite prudencial",IF(I26&gt;S26,"Acima do limite de alerta","Abaixo do limite de alerta"))),IF(K26&gt;N26,"Acima do limite máximo",IF(K26&gt;O26,"Acima do limite prudencial",IF(K26&gt;P26,"Acima do limite de alerta","Abaixo do limite de alerta"))))))</f>
        <v/>
      </c>
      <c r="U26" s="9" t="inlineStr">
        <is>
          <t>Declarado no RGF</t>
        </is>
      </c>
    </row>
    <row r="27">
      <c r="A27" s="9">
        <f>B27&amp;"|"&amp;G27</f>
        <v/>
      </c>
      <c r="B27" s="9" t="inlineStr">
        <is>
          <t>Tribunal de Contas</t>
        </is>
      </c>
      <c r="C27" s="9" t="inlineStr">
        <is>
          <t>Tribunal de Contas</t>
        </is>
      </c>
      <c r="D27" s="9" t="inlineStr">
        <is>
          <t>Tribunal de Contas do Estado do Acre</t>
        </is>
      </c>
      <c r="E27" s="9" t="inlineStr">
        <is>
          <t>2024</t>
        </is>
      </c>
      <c r="F27" s="9" t="n">
        <v>2</v>
      </c>
      <c r="G27" s="9" t="inlineStr">
        <is>
          <t>2º quad. 2024</t>
        </is>
      </c>
      <c r="H27" s="9" t="inlineStr">
        <is>
          <t>set/2023 a ago/2024</t>
        </is>
      </c>
      <c r="I27" s="15" t="n">
        <v>58405041.34</v>
      </c>
      <c r="J27" s="15" t="n">
        <v>9601846954.870001</v>
      </c>
      <c r="K27" s="10">
        <f>IF(OR(I27="",J27="",J27=0),"",I27/J27)</f>
        <v/>
      </c>
      <c r="L27" s="16" t="n">
        <v>0.0061</v>
      </c>
      <c r="M27" s="9">
        <f>IF(L27="","Não declarado",IF(K27="","Sem dado",IF(ABS(K27-L27)&lt;=0.00005,"Sim","Não")))</f>
        <v/>
      </c>
      <c r="N27" s="16" t="n">
        <v>0.01</v>
      </c>
      <c r="O27" s="16" t="n">
        <v>0.0095</v>
      </c>
      <c r="P27" s="16" t="n">
        <v>0.009000000000000001</v>
      </c>
      <c r="Q27" s="15" t="n">
        <v>96018469.55</v>
      </c>
      <c r="R27" s="15" t="n">
        <v>91217546.06999999</v>
      </c>
      <c r="S27" s="15" t="n">
        <v>86416622.59999999</v>
      </c>
      <c r="T27" s="9">
        <f>IF(K27="","Sem dado",IF(N27="","Sem limite próprio na LRF",IF(AND(Q27&lt;&gt;"",R27&lt;&gt;"",S27&lt;&gt;""),IF(I27&gt;Q27,"Acima do limite máximo",IF(I27&gt;R27,"Acima do limite prudencial",IF(I27&gt;S27,"Acima do limite de alerta","Abaixo do limite de alerta"))),IF(K27&gt;N27,"Acima do limite máximo",IF(K27&gt;O27,"Acima do limite prudencial",IF(K27&gt;P27,"Acima do limite de alerta","Abaixo do limite de alerta"))))))</f>
        <v/>
      </c>
      <c r="U27" s="9" t="inlineStr">
        <is>
          <t>Declarado no RGF</t>
        </is>
      </c>
    </row>
    <row r="28">
      <c r="A28" s="9">
        <f>B28&amp;"|"&amp;G28</f>
        <v/>
      </c>
      <c r="B28" s="9" t="inlineStr">
        <is>
          <t>Tribunal de Contas</t>
        </is>
      </c>
      <c r="C28" s="9" t="inlineStr">
        <is>
          <t>Tribunal de Contas</t>
        </is>
      </c>
      <c r="D28" s="9" t="inlineStr">
        <is>
          <t>Tribunal de Contas do Estado do Acre</t>
        </is>
      </c>
      <c r="E28" s="9" t="inlineStr">
        <is>
          <t>2024</t>
        </is>
      </c>
      <c r="F28" s="9" t="n">
        <v>3</v>
      </c>
      <c r="G28" s="9" t="inlineStr">
        <is>
          <t>3º quad. 2024</t>
        </is>
      </c>
      <c r="H28" s="9" t="inlineStr">
        <is>
          <t>jan/2024 a dez/2024</t>
        </is>
      </c>
      <c r="I28" s="15" t="n">
        <v>66375786.46</v>
      </c>
      <c r="J28" s="15" t="n">
        <v>10002459245.99</v>
      </c>
      <c r="K28" s="10">
        <f>IF(OR(I28="",J28="",J28=0),"",I28/J28)</f>
        <v/>
      </c>
      <c r="L28" s="16" t="n">
        <v>0.0066</v>
      </c>
      <c r="M28" s="9">
        <f>IF(L28="","Não declarado",IF(K28="","Sem dado",IF(ABS(K28-L28)&lt;=0.00005,"Sim","Não")))</f>
        <v/>
      </c>
      <c r="N28" s="16" t="n">
        <v>0.01</v>
      </c>
      <c r="O28" s="16" t="n">
        <v>0.0095</v>
      </c>
      <c r="P28" s="16" t="n">
        <v>0.009000000000000001</v>
      </c>
      <c r="Q28" s="15" t="n">
        <v>100024592.46</v>
      </c>
      <c r="R28" s="15" t="n">
        <v>95023362.84</v>
      </c>
      <c r="S28" s="15" t="n">
        <v>90022133.20999999</v>
      </c>
      <c r="T28" s="9">
        <f>IF(K28="","Sem dado",IF(N28="","Sem limite próprio na LRF",IF(AND(Q28&lt;&gt;"",R28&lt;&gt;"",S28&lt;&gt;""),IF(I28&gt;Q28,"Acima do limite máximo",IF(I28&gt;R28,"Acima do limite prudencial",IF(I28&gt;S28,"Acima do limite de alerta","Abaixo do limite de alerta"))),IF(K28&gt;N28,"Acima do limite máximo",IF(K28&gt;O28,"Acima do limite prudencial",IF(K28&gt;P28,"Acima do limite de alerta","Abaixo do limite de alerta"))))))</f>
        <v/>
      </c>
      <c r="U28" s="9" t="inlineStr">
        <is>
          <t>Declarado no RGF</t>
        </is>
      </c>
    </row>
    <row r="29">
      <c r="A29" s="9">
        <f>B29&amp;"|"&amp;G29</f>
        <v/>
      </c>
      <c r="B29" s="9" t="inlineStr">
        <is>
          <t>Tribunal de Contas</t>
        </is>
      </c>
      <c r="C29" s="9" t="inlineStr">
        <is>
          <t>Tribunal de Contas</t>
        </is>
      </c>
      <c r="D29" s="9" t="inlineStr">
        <is>
          <t>Tribunal de Contas do Estado do Acre</t>
        </is>
      </c>
      <c r="E29" s="9" t="inlineStr">
        <is>
          <t>2025</t>
        </is>
      </c>
      <c r="F29" s="9" t="n">
        <v>1</v>
      </c>
      <c r="G29" s="9" t="inlineStr">
        <is>
          <t>1º quad. 2025</t>
        </is>
      </c>
      <c r="H29" s="9" t="inlineStr">
        <is>
          <t>mai/2024 a abr/2025</t>
        </is>
      </c>
      <c r="I29" s="15" t="n">
        <v>71222846.48</v>
      </c>
      <c r="J29" s="15" t="n">
        <v>10253963568.26</v>
      </c>
      <c r="K29" s="10">
        <f>IF(OR(I29="",J29="",J29=0),"",I29/J29)</f>
        <v/>
      </c>
      <c r="L29" s="16" t="n">
        <v>0.0069</v>
      </c>
      <c r="M29" s="9">
        <f>IF(L29="","Não declarado",IF(K29="","Sem dado",IF(ABS(K29-L29)&lt;=0.00005,"Sim","Não")))</f>
        <v/>
      </c>
      <c r="N29" s="16" t="n">
        <v>0.01</v>
      </c>
      <c r="O29" s="16" t="n">
        <v>0.0095</v>
      </c>
      <c r="P29" s="16" t="n">
        <v>0.009000000000000001</v>
      </c>
      <c r="Q29" s="15" t="n">
        <v>102539635.68</v>
      </c>
      <c r="R29" s="15" t="n">
        <v>97412653.90000001</v>
      </c>
      <c r="S29" s="15" t="n">
        <v>92285672.11</v>
      </c>
      <c r="T29" s="9">
        <f>IF(K29="","Sem dado",IF(N29="","Sem limite próprio na LRF",IF(AND(Q29&lt;&gt;"",R29&lt;&gt;"",S29&lt;&gt;""),IF(I29&gt;Q29,"Acima do limite máximo",IF(I29&gt;R29,"Acima do limite prudencial",IF(I29&gt;S29,"Acima do limite de alerta","Abaixo do limite de alerta"))),IF(K29&gt;N29,"Acima do limite máximo",IF(K29&gt;O29,"Acima do limite prudencial",IF(K29&gt;P29,"Acima do limite de alerta","Abaixo do limite de alerta"))))))</f>
        <v/>
      </c>
      <c r="U29" s="9" t="inlineStr">
        <is>
          <t>Declarado no RGF</t>
        </is>
      </c>
    </row>
    <row r="30">
      <c r="A30" s="9">
        <f>B30&amp;"|"&amp;G30</f>
        <v/>
      </c>
      <c r="B30" s="9" t="inlineStr">
        <is>
          <t>Tribunal de Contas</t>
        </is>
      </c>
      <c r="C30" s="9" t="inlineStr">
        <is>
          <t>Tribunal de Contas</t>
        </is>
      </c>
      <c r="D30" s="9" t="inlineStr">
        <is>
          <t>Tribunal de Contas do Estado do Acre</t>
        </is>
      </c>
      <c r="E30" s="9" t="inlineStr">
        <is>
          <t>2025</t>
        </is>
      </c>
      <c r="F30" s="9" t="n">
        <v>2</v>
      </c>
      <c r="G30" s="9" t="inlineStr">
        <is>
          <t>2º quad. 2025</t>
        </is>
      </c>
      <c r="H30" s="9" t="inlineStr">
        <is>
          <t>set/2024 a ago/2025</t>
        </is>
      </c>
      <c r="I30" s="15" t="n">
        <v>78271141.76000001</v>
      </c>
      <c r="J30" s="15" t="n">
        <v>10813598794.32</v>
      </c>
      <c r="K30" s="10">
        <f>IF(OR(I30="",J30="",J30=0),"",I30/J30)</f>
        <v/>
      </c>
      <c r="L30" s="16" t="n">
        <v>0.0072</v>
      </c>
      <c r="M30" s="9">
        <f>IF(L30="","Não declarado",IF(K30="","Sem dado",IF(ABS(K30-L30)&lt;=0.00005,"Sim","Não")))</f>
        <v/>
      </c>
      <c r="N30" s="16" t="n">
        <v>0.01</v>
      </c>
      <c r="O30" s="16" t="n">
        <v>0.0095</v>
      </c>
      <c r="P30" s="16" t="n">
        <v>0.009000000000000001</v>
      </c>
      <c r="Q30" s="15" t="n">
        <v>108135987.94</v>
      </c>
      <c r="R30" s="15" t="n">
        <v>102729188.54</v>
      </c>
      <c r="S30" s="15" t="n">
        <v>97322389.15000001</v>
      </c>
      <c r="T30" s="9">
        <f>IF(K30="","Sem dado",IF(N30="","Sem limite próprio na LRF",IF(AND(Q30&lt;&gt;"",R30&lt;&gt;"",S30&lt;&gt;""),IF(I30&gt;Q30,"Acima do limite máximo",IF(I30&gt;R30,"Acima do limite prudencial",IF(I30&gt;S30,"Acima do limite de alerta","Abaixo do limite de alerta"))),IF(K30&gt;N30,"Acima do limite máximo",IF(K30&gt;O30,"Acima do limite prudencial",IF(K30&gt;P30,"Acima do limite de alerta","Abaixo do limite de alerta"))))))</f>
        <v/>
      </c>
      <c r="U30" s="9" t="inlineStr">
        <is>
          <t>Declarado no RGF</t>
        </is>
      </c>
    </row>
    <row r="31">
      <c r="A31" s="9">
        <f>B31&amp;"|"&amp;G31</f>
        <v/>
      </c>
      <c r="B31" s="9" t="inlineStr">
        <is>
          <t>Tribunal de Contas</t>
        </is>
      </c>
      <c r="C31" s="9" t="inlineStr">
        <is>
          <t>Tribunal de Contas</t>
        </is>
      </c>
      <c r="D31" s="9" t="inlineStr">
        <is>
          <t>Tribunal de Contas do Estado do Acre</t>
        </is>
      </c>
      <c r="E31" s="9" t="inlineStr">
        <is>
          <t>2025</t>
        </is>
      </c>
      <c r="F31" s="9" t="n">
        <v>3</v>
      </c>
      <c r="G31" s="9" t="inlineStr">
        <is>
          <t>3º quad. 2025</t>
        </is>
      </c>
      <c r="H31" s="9" t="inlineStr">
        <is>
          <t>jan/2025 a dez/2025</t>
        </is>
      </c>
      <c r="I31" s="15" t="n">
        <v>79603743.75</v>
      </c>
      <c r="J31" s="15" t="n">
        <v>11190641912.27</v>
      </c>
      <c r="K31" s="10">
        <f>IF(OR(I31="",J31="",J31=0),"",I31/J31)</f>
        <v/>
      </c>
      <c r="L31" s="16" t="n">
        <v>0.0071</v>
      </c>
      <c r="M31" s="9">
        <f>IF(L31="","Não declarado",IF(K31="","Sem dado",IF(ABS(K31-L31)&lt;=0.00005,"Sim","Não")))</f>
        <v/>
      </c>
      <c r="N31" s="16" t="n">
        <v>0.01</v>
      </c>
      <c r="O31" s="16" t="n">
        <v>0.0095</v>
      </c>
      <c r="P31" s="16" t="n">
        <v>0.009000000000000001</v>
      </c>
      <c r="Q31" s="15" t="n">
        <v>111906419.12</v>
      </c>
      <c r="R31" s="15" t="n">
        <v>106311098.16</v>
      </c>
      <c r="S31" s="15" t="n">
        <v>100715777.21</v>
      </c>
      <c r="T31" s="9">
        <f>IF(K31="","Sem dado",IF(N31="","Sem limite próprio na LRF",IF(AND(Q31&lt;&gt;"",R31&lt;&gt;"",S31&lt;&gt;""),IF(I31&gt;Q31,"Acima do limite máximo",IF(I31&gt;R31,"Acima do limite prudencial",IF(I31&gt;S31,"Acima do limite de alerta","Abaixo do limite de alerta"))),IF(K31&gt;N31,"Acima do limite máximo",IF(K31&gt;O31,"Acima do limite prudencial",IF(K31&gt;P31,"Acima do limite de alerta","Abaixo do limite de alerta"))))))</f>
        <v/>
      </c>
      <c r="U31" s="9" t="inlineStr">
        <is>
          <t>Declarado no RGF</t>
        </is>
      </c>
    </row>
    <row r="32">
      <c r="A32" s="9">
        <f>B32&amp;"|"&amp;G32</f>
        <v/>
      </c>
      <c r="B32" s="9" t="inlineStr">
        <is>
          <t>Tribunal de Contas</t>
        </is>
      </c>
      <c r="C32" s="9" t="inlineStr">
        <is>
          <t>Tribunal de Contas</t>
        </is>
      </c>
      <c r="D32" s="9" t="inlineStr">
        <is>
          <t>Tribunal de Contas do Estado do Acre</t>
        </is>
      </c>
      <c r="E32" s="9" t="inlineStr">
        <is>
          <t>2026</t>
        </is>
      </c>
      <c r="F32" s="9" t="n">
        <v>1</v>
      </c>
      <c r="G32" s="9" t="inlineStr">
        <is>
          <t>1º quad. 2026</t>
        </is>
      </c>
      <c r="H32" s="9" t="inlineStr">
        <is>
          <t>mai/2025 a abr/2026</t>
        </is>
      </c>
      <c r="I32" s="15" t="n">
        <v>88627419.52</v>
      </c>
      <c r="J32" s="15" t="n">
        <v>11403929709.58</v>
      </c>
      <c r="K32" s="10">
        <f>IF(OR(I32="",J32="",J32=0),"",I32/J32)</f>
        <v/>
      </c>
      <c r="L32" s="16" t="n">
        <v>0.007800000000000001</v>
      </c>
      <c r="M32" s="9">
        <f>IF(L32="","Não declarado",IF(K32="","Sem dado",IF(ABS(K32-L32)&lt;=0.00005,"Sim","Não")))</f>
        <v/>
      </c>
      <c r="N32" s="16" t="n">
        <v>0.01</v>
      </c>
      <c r="O32" s="16" t="n">
        <v>0.0095</v>
      </c>
      <c r="P32" s="16" t="n">
        <v>0.009000000000000001</v>
      </c>
      <c r="Q32" s="15" t="n">
        <v>114039297.1</v>
      </c>
      <c r="R32" s="15" t="n">
        <v>108337332.25</v>
      </c>
      <c r="S32" s="15" t="n">
        <v>102635367.39</v>
      </c>
      <c r="T32" s="9">
        <f>IF(K32="","Sem dado",IF(N32="","Sem limite próprio na LRF",IF(AND(Q32&lt;&gt;"",R32&lt;&gt;"",S32&lt;&gt;""),IF(I32&gt;Q32,"Acima do limite máximo",IF(I32&gt;R32,"Acima do limite prudencial",IF(I32&gt;S32,"Acima do limite de alerta","Abaixo do limite de alerta"))),IF(K32&gt;N32,"Acima do limite máximo",IF(K32&gt;O32,"Acima do limite prudencial",IF(K32&gt;P32,"Acima do limite de alerta","Abaixo do limite de alerta"))))))</f>
        <v/>
      </c>
      <c r="U32" s="9" t="inlineStr">
        <is>
          <t>Declarado no RGF</t>
        </is>
      </c>
    </row>
    <row r="33">
      <c r="A33" s="9">
        <f>B33&amp;"|"&amp;G33</f>
        <v/>
      </c>
      <c r="B33" s="9" t="inlineStr">
        <is>
          <t>Tribunal de Contas</t>
        </is>
      </c>
      <c r="C33" s="9" t="inlineStr">
        <is>
          <t>Tribunal de Contas</t>
        </is>
      </c>
      <c r="D33" s="9" t="inlineStr">
        <is>
          <t>Tribunal de Contas do Estado do Acre</t>
        </is>
      </c>
      <c r="E33" s="9" t="inlineStr">
        <is>
          <t>2026</t>
        </is>
      </c>
      <c r="F33" s="9" t="n">
        <v>2</v>
      </c>
      <c r="G33" s="9" t="inlineStr">
        <is>
          <t>2º quad. 2026</t>
        </is>
      </c>
      <c r="H33" s="9" t="inlineStr">
        <is>
          <t>set/2025 a ago/2026</t>
        </is>
      </c>
      <c r="I33" s="15" t="n">
        <v>91362032.68000001</v>
      </c>
      <c r="J33" s="15" t="n">
        <v>11652841863.34</v>
      </c>
      <c r="K33" s="10">
        <f>IF(OR(I33="",J33="",J33=0),"",I33/J33)</f>
        <v/>
      </c>
      <c r="L33" s="16" t="n">
        <v>0.007800000000000001</v>
      </c>
      <c r="M33" s="9">
        <f>IF(L33="","Não declarado",IF(K33="","Sem dado",IF(ABS(K33-L33)&lt;=0.00005,"Sim","Não")))</f>
        <v/>
      </c>
      <c r="N33" s="16" t="n">
        <v>0.01</v>
      </c>
      <c r="O33" s="16" t="n">
        <v>0.0095</v>
      </c>
      <c r="P33" s="16" t="n">
        <v>0.009000000000000001</v>
      </c>
      <c r="Q33" s="15" t="n">
        <v>116528418.63</v>
      </c>
      <c r="R33" s="15" t="n">
        <v>110701997.7</v>
      </c>
      <c r="S33" s="15" t="n">
        <v>104875576.77</v>
      </c>
      <c r="T33" s="9">
        <f>IF(K33="","Sem dado",IF(N33="","Sem limite próprio na LRF",IF(AND(Q33&lt;&gt;"",R33&lt;&gt;"",S33&lt;&gt;""),IF(I33&gt;Q33,"Acima do limite máximo",IF(I33&gt;R33,"Acima do limite prudencial",IF(I33&gt;S33,"Acima do limite de alerta","Abaixo do limite de alerta"))),IF(K33&gt;N33,"Acima do limite máximo",IF(K33&gt;O33,"Acima do limite prudencial",IF(K33&gt;P33,"Acima do limite de alerta","Abaixo do limite de alerta"))))))</f>
        <v/>
      </c>
      <c r="U33" s="9" t="inlineStr">
        <is>
          <t>Declarado no RGF</t>
        </is>
      </c>
    </row>
    <row r="34">
      <c r="A34" s="9">
        <f>B34&amp;"|"&amp;G34</f>
        <v/>
      </c>
      <c r="B34" s="9" t="inlineStr">
        <is>
          <t>Defensoria Pública</t>
        </is>
      </c>
      <c r="C34" s="9" t="inlineStr">
        <is>
          <t>Defensoria Pública</t>
        </is>
      </c>
      <c r="D34" s="9" t="inlineStr">
        <is>
          <t>Defensoria Pública do Estado do Acre</t>
        </is>
      </c>
      <c r="E34" s="9" t="inlineStr">
        <is>
          <t>2024</t>
        </is>
      </c>
      <c r="F34" s="9" t="n">
        <v>1</v>
      </c>
      <c r="G34" s="9" t="inlineStr">
        <is>
          <t>1º quad. 2024</t>
        </is>
      </c>
      <c r="H34" s="9" t="inlineStr">
        <is>
          <t>mai/2023 a abr/2024</t>
        </is>
      </c>
      <c r="I34" s="15" t="n">
        <v>43922608.9</v>
      </c>
      <c r="J34" s="15" t="n">
        <v>9078322800.43</v>
      </c>
      <c r="K34" s="10">
        <f>IF(OR(I34="",J34="",J34=0),"",I34/J34)</f>
        <v/>
      </c>
      <c r="L34" s="10" t="n"/>
      <c r="M34" s="9">
        <f>IF(L34="","Não declarado",IF(K34="","Sem dado",IF(ABS(K34-L34)&lt;=0.00005,"Sim","Não")))</f>
        <v/>
      </c>
      <c r="N34" s="10" t="n"/>
      <c r="O34" s="10" t="n"/>
      <c r="P34" s="10" t="n"/>
      <c r="Q34" s="17" t="n"/>
      <c r="R34" s="17" t="n"/>
      <c r="S34" s="17" t="n"/>
      <c r="T34" s="9">
        <f>IF(K34="","Sem dado",IF(N34="","Sem limite próprio na LRF",IF(AND(Q34&lt;&gt;"",R34&lt;&gt;"",S34&lt;&gt;""),IF(I34&gt;Q34,"Acima do limite máximo",IF(I34&gt;R34,"Acima do limite prudencial",IF(I34&gt;S34,"Acima do limite de alerta","Abaixo do limite de alerta"))),IF(K34&gt;N34,"Acima do limite máximo",IF(K34&gt;O34,"Acima do limite prudencial",IF(K34&gt;P34,"Acima do limite de alerta","Abaixo do limite de alerta"))))))</f>
        <v/>
      </c>
      <c r="U34" s="9" t="inlineStr">
        <is>
          <t>Calculado (despesa líquida / RCL Ajustada do Executivo)</t>
        </is>
      </c>
    </row>
    <row r="35">
      <c r="A35" s="9">
        <f>B35&amp;"|"&amp;G35</f>
        <v/>
      </c>
      <c r="B35" s="9" t="inlineStr">
        <is>
          <t>Defensoria Pública</t>
        </is>
      </c>
      <c r="C35" s="9" t="inlineStr">
        <is>
          <t>Defensoria Pública</t>
        </is>
      </c>
      <c r="D35" s="9" t="inlineStr">
        <is>
          <t>Defensoria Pública do Estado do Acre</t>
        </is>
      </c>
      <c r="E35" s="9" t="inlineStr">
        <is>
          <t>2024</t>
        </is>
      </c>
      <c r="F35" s="9" t="n">
        <v>2</v>
      </c>
      <c r="G35" s="9" t="inlineStr">
        <is>
          <t>2º quad. 2024</t>
        </is>
      </c>
      <c r="H35" s="9" t="inlineStr">
        <is>
          <t>set/2023 a ago/2024</t>
        </is>
      </c>
      <c r="I35" s="15" t="n">
        <v>48495847.74</v>
      </c>
      <c r="J35" s="15" t="n">
        <v>9601846954.870001</v>
      </c>
      <c r="K35" s="10">
        <f>IF(OR(I35="",J35="",J35=0),"",I35/J35)</f>
        <v/>
      </c>
      <c r="L35" s="10" t="n"/>
      <c r="M35" s="9">
        <f>IF(L35="","Não declarado",IF(K35="","Sem dado",IF(ABS(K35-L35)&lt;=0.00005,"Sim","Não")))</f>
        <v/>
      </c>
      <c r="N35" s="10" t="n"/>
      <c r="O35" s="10" t="n"/>
      <c r="P35" s="10" t="n"/>
      <c r="Q35" s="17" t="n"/>
      <c r="R35" s="17" t="n"/>
      <c r="S35" s="17" t="n"/>
      <c r="T35" s="9">
        <f>IF(K35="","Sem dado",IF(N35="","Sem limite próprio na LRF",IF(AND(Q35&lt;&gt;"",R35&lt;&gt;"",S35&lt;&gt;""),IF(I35&gt;Q35,"Acima do limite máximo",IF(I35&gt;R35,"Acima do limite prudencial",IF(I35&gt;S35,"Acima do limite de alerta","Abaixo do limite de alerta"))),IF(K35&gt;N35,"Acima do limite máximo",IF(K35&gt;O35,"Acima do limite prudencial",IF(K35&gt;P35,"Acima do limite de alerta","Abaixo do limite de alerta"))))))</f>
        <v/>
      </c>
      <c r="U35" s="9" t="inlineStr">
        <is>
          <t>Calculado (despesa líquida / RCL Ajustada do Executivo)</t>
        </is>
      </c>
    </row>
    <row r="36">
      <c r="A36" s="9">
        <f>B36&amp;"|"&amp;G36</f>
        <v/>
      </c>
      <c r="B36" s="9" t="inlineStr">
        <is>
          <t>Defensoria Pública</t>
        </is>
      </c>
      <c r="C36" s="9" t="inlineStr">
        <is>
          <t>Defensoria Pública</t>
        </is>
      </c>
      <c r="D36" s="9" t="inlineStr">
        <is>
          <t>Defensoria Pública do Estado do Acre</t>
        </is>
      </c>
      <c r="E36" s="9" t="inlineStr">
        <is>
          <t>2024</t>
        </is>
      </c>
      <c r="F36" s="9" t="n">
        <v>3</v>
      </c>
      <c r="G36" s="9" t="inlineStr">
        <is>
          <t>3º quad. 2024</t>
        </is>
      </c>
      <c r="H36" s="9" t="inlineStr">
        <is>
          <t>jan/2024 a dez/2024</t>
        </is>
      </c>
      <c r="I36" s="15" t="n">
        <v>46224739.91</v>
      </c>
      <c r="J36" s="15" t="n">
        <v>10002459245.99</v>
      </c>
      <c r="K36" s="10">
        <f>IF(OR(I36="",J36="",J36=0),"",I36/J36)</f>
        <v/>
      </c>
      <c r="L36" s="10" t="n"/>
      <c r="M36" s="9">
        <f>IF(L36="","Não declarado",IF(K36="","Sem dado",IF(ABS(K36-L36)&lt;=0.00005,"Sim","Não")))</f>
        <v/>
      </c>
      <c r="N36" s="10" t="n"/>
      <c r="O36" s="10" t="n"/>
      <c r="P36" s="10" t="n"/>
      <c r="Q36" s="17" t="n"/>
      <c r="R36" s="17" t="n"/>
      <c r="S36" s="17" t="n"/>
      <c r="T36" s="9">
        <f>IF(K36="","Sem dado",IF(N36="","Sem limite próprio na LRF",IF(AND(Q36&lt;&gt;"",R36&lt;&gt;"",S36&lt;&gt;""),IF(I36&gt;Q36,"Acima do limite máximo",IF(I36&gt;R36,"Acima do limite prudencial",IF(I36&gt;S36,"Acima do limite de alerta","Abaixo do limite de alerta"))),IF(K36&gt;N36,"Acima do limite máximo",IF(K36&gt;O36,"Acima do limite prudencial",IF(K36&gt;P36,"Acima do limite de alerta","Abaixo do limite de alerta"))))))</f>
        <v/>
      </c>
      <c r="U36" s="9" t="inlineStr">
        <is>
          <t>Calculado (despesa líquida / RCL Ajustada do Executivo)</t>
        </is>
      </c>
    </row>
    <row r="37">
      <c r="A37" s="9">
        <f>B37&amp;"|"&amp;G37</f>
        <v/>
      </c>
      <c r="B37" s="9" t="inlineStr">
        <is>
          <t>Defensoria Pública</t>
        </is>
      </c>
      <c r="C37" s="9" t="inlineStr">
        <is>
          <t>Defensoria Pública</t>
        </is>
      </c>
      <c r="D37" s="9" t="inlineStr">
        <is>
          <t>Defensoria Pública do Estado do Acre</t>
        </is>
      </c>
      <c r="E37" s="9" t="inlineStr">
        <is>
          <t>2025</t>
        </is>
      </c>
      <c r="F37" s="9" t="n">
        <v>1</v>
      </c>
      <c r="G37" s="9" t="inlineStr">
        <is>
          <t>1º quad. 2025</t>
        </is>
      </c>
      <c r="H37" s="9" t="inlineStr">
        <is>
          <t>mai/2024 a abr/2025</t>
        </is>
      </c>
      <c r="I37" s="15" t="n">
        <v>48623885.56</v>
      </c>
      <c r="J37" s="15" t="n">
        <v>10253963568.26</v>
      </c>
      <c r="K37" s="10">
        <f>IF(OR(I37="",J37="",J37=0),"",I37/J37)</f>
        <v/>
      </c>
      <c r="L37" s="10" t="n"/>
      <c r="M37" s="9">
        <f>IF(L37="","Não declarado",IF(K37="","Sem dado",IF(ABS(K37-L37)&lt;=0.00005,"Sim","Não")))</f>
        <v/>
      </c>
      <c r="N37" s="10" t="n"/>
      <c r="O37" s="10" t="n"/>
      <c r="P37" s="10" t="n"/>
      <c r="Q37" s="17" t="n"/>
      <c r="R37" s="17" t="n"/>
      <c r="S37" s="17" t="n"/>
      <c r="T37" s="9">
        <f>IF(K37="","Sem dado",IF(N37="","Sem limite próprio na LRF",IF(AND(Q37&lt;&gt;"",R37&lt;&gt;"",S37&lt;&gt;""),IF(I37&gt;Q37,"Acima do limite máximo",IF(I37&gt;R37,"Acima do limite prudencial",IF(I37&gt;S37,"Acima do limite de alerta","Abaixo do limite de alerta"))),IF(K37&gt;N37,"Acima do limite máximo",IF(K37&gt;O37,"Acima do limite prudencial",IF(K37&gt;P37,"Acima do limite de alerta","Abaixo do limite de alerta"))))))</f>
        <v/>
      </c>
      <c r="U37" s="9" t="inlineStr">
        <is>
          <t>Calculado (despesa líquida / RCL Ajustada do Executivo)</t>
        </is>
      </c>
    </row>
    <row r="38">
      <c r="A38" s="9">
        <f>B38&amp;"|"&amp;G38</f>
        <v/>
      </c>
      <c r="B38" s="9" t="inlineStr">
        <is>
          <t>Defensoria Pública</t>
        </is>
      </c>
      <c r="C38" s="9" t="inlineStr">
        <is>
          <t>Defensoria Pública</t>
        </is>
      </c>
      <c r="D38" s="9" t="inlineStr">
        <is>
          <t>Defensoria Pública do Estado do Acre</t>
        </is>
      </c>
      <c r="E38" s="9" t="inlineStr">
        <is>
          <t>2025</t>
        </is>
      </c>
      <c r="F38" s="9" t="n">
        <v>2</v>
      </c>
      <c r="G38" s="9" t="inlineStr">
        <is>
          <t>2º quad. 2025</t>
        </is>
      </c>
      <c r="H38" s="9" t="inlineStr">
        <is>
          <t>set/2024 a ago/2025</t>
        </is>
      </c>
      <c r="I38" s="15" t="n">
        <v>51538271.71</v>
      </c>
      <c r="J38" s="15" t="n">
        <v>10813598794.32</v>
      </c>
      <c r="K38" s="10">
        <f>IF(OR(I38="",J38="",J38=0),"",I38/J38)</f>
        <v/>
      </c>
      <c r="L38" s="10" t="n"/>
      <c r="M38" s="9">
        <f>IF(L38="","Não declarado",IF(K38="","Sem dado",IF(ABS(K38-L38)&lt;=0.00005,"Sim","Não")))</f>
        <v/>
      </c>
      <c r="N38" s="10" t="n"/>
      <c r="O38" s="10" t="n"/>
      <c r="P38" s="10" t="n"/>
      <c r="Q38" s="17" t="n"/>
      <c r="R38" s="17" t="n"/>
      <c r="S38" s="17" t="n"/>
      <c r="T38" s="9">
        <f>IF(K38="","Sem dado",IF(N38="","Sem limite próprio na LRF",IF(AND(Q38&lt;&gt;"",R38&lt;&gt;"",S38&lt;&gt;""),IF(I38&gt;Q38,"Acima do limite máximo",IF(I38&gt;R38,"Acima do limite prudencial",IF(I38&gt;S38,"Acima do limite de alerta","Abaixo do limite de alerta"))),IF(K38&gt;N38,"Acima do limite máximo",IF(K38&gt;O38,"Acima do limite prudencial",IF(K38&gt;P38,"Acima do limite de alerta","Abaixo do limite de alerta"))))))</f>
        <v/>
      </c>
      <c r="U38" s="9" t="inlineStr">
        <is>
          <t>Calculado (despesa líquida / RCL Ajustada do Executivo)</t>
        </is>
      </c>
    </row>
    <row r="39">
      <c r="A39" s="9">
        <f>B39&amp;"|"&amp;G39</f>
        <v/>
      </c>
      <c r="B39" s="9" t="inlineStr">
        <is>
          <t>Defensoria Pública</t>
        </is>
      </c>
      <c r="C39" s="9" t="inlineStr">
        <is>
          <t>Defensoria Pública</t>
        </is>
      </c>
      <c r="D39" s="9" t="inlineStr">
        <is>
          <t>Defensoria Pública do Estado do Acre</t>
        </is>
      </c>
      <c r="E39" s="9" t="inlineStr">
        <is>
          <t>2025</t>
        </is>
      </c>
      <c r="F39" s="9" t="n">
        <v>3</v>
      </c>
      <c r="G39" s="9" t="inlineStr">
        <is>
          <t>3º quad. 2025</t>
        </is>
      </c>
      <c r="H39" s="9" t="inlineStr">
        <is>
          <t>jan/2025 a dez/2025</t>
        </is>
      </c>
      <c r="I39" s="15" t="n">
        <v>54286754.82</v>
      </c>
      <c r="J39" s="15" t="n">
        <v>11190641912.27</v>
      </c>
      <c r="K39" s="10">
        <f>IF(OR(I39="",J39="",J39=0),"",I39/J39)</f>
        <v/>
      </c>
      <c r="L39" s="10" t="n"/>
      <c r="M39" s="9">
        <f>IF(L39="","Não declarado",IF(K39="","Sem dado",IF(ABS(K39-L39)&lt;=0.00005,"Sim","Não")))</f>
        <v/>
      </c>
      <c r="N39" s="10" t="n"/>
      <c r="O39" s="10" t="n"/>
      <c r="P39" s="10" t="n"/>
      <c r="Q39" s="17" t="n"/>
      <c r="R39" s="17" t="n"/>
      <c r="S39" s="17" t="n"/>
      <c r="T39" s="9">
        <f>IF(K39="","Sem dado",IF(N39="","Sem limite próprio na LRF",IF(AND(Q39&lt;&gt;"",R39&lt;&gt;"",S39&lt;&gt;""),IF(I39&gt;Q39,"Acima do limite máximo",IF(I39&gt;R39,"Acima do limite prudencial",IF(I39&gt;S39,"Acima do limite de alerta","Abaixo do limite de alerta"))),IF(K39&gt;N39,"Acima do limite máximo",IF(K39&gt;O39,"Acima do limite prudencial",IF(K39&gt;P39,"Acima do limite de alerta","Abaixo do limite de alerta"))))))</f>
        <v/>
      </c>
      <c r="U39" s="9" t="inlineStr">
        <is>
          <t>Calculado (despesa líquida / RCL Ajustada do Executivo)</t>
        </is>
      </c>
    </row>
    <row r="40">
      <c r="A40" s="9">
        <f>B40&amp;"|"&amp;G40</f>
        <v/>
      </c>
      <c r="B40" s="9" t="inlineStr">
        <is>
          <t>Defensoria Pública</t>
        </is>
      </c>
      <c r="C40" s="9" t="inlineStr">
        <is>
          <t>Defensoria Pública</t>
        </is>
      </c>
      <c r="D40" s="9" t="inlineStr">
        <is>
          <t>Defensoria Pública do Estado do Acre</t>
        </is>
      </c>
      <c r="E40" s="9" t="inlineStr">
        <is>
          <t>2026</t>
        </is>
      </c>
      <c r="F40" s="9" t="n">
        <v>1</v>
      </c>
      <c r="G40" s="9" t="inlineStr">
        <is>
          <t>1º quad. 2026</t>
        </is>
      </c>
      <c r="H40" s="9" t="inlineStr">
        <is>
          <t>mai/2025 a abr/2026</t>
        </is>
      </c>
      <c r="I40" s="15" t="n">
        <v>57333990.08</v>
      </c>
      <c r="J40" s="15" t="n">
        <v>11403929709.58</v>
      </c>
      <c r="K40" s="10">
        <f>IF(OR(I40="",J40="",J40=0),"",I40/J40)</f>
        <v/>
      </c>
      <c r="L40" s="10" t="n"/>
      <c r="M40" s="9">
        <f>IF(L40="","Não declarado",IF(K40="","Sem dado",IF(ABS(K40-L40)&lt;=0.00005,"Sim","Não")))</f>
        <v/>
      </c>
      <c r="N40" s="10" t="n"/>
      <c r="O40" s="10" t="n"/>
      <c r="P40" s="10" t="n"/>
      <c r="Q40" s="17" t="n"/>
      <c r="R40" s="17" t="n"/>
      <c r="S40" s="17" t="n"/>
      <c r="T40" s="9">
        <f>IF(K40="","Sem dado",IF(N40="","Sem limite próprio na LRF",IF(AND(Q40&lt;&gt;"",R40&lt;&gt;"",S40&lt;&gt;""),IF(I40&gt;Q40,"Acima do limite máximo",IF(I40&gt;R40,"Acima do limite prudencial",IF(I40&gt;S40,"Acima do limite de alerta","Abaixo do limite de alerta"))),IF(K40&gt;N40,"Acima do limite máximo",IF(K40&gt;O40,"Acima do limite prudencial",IF(K40&gt;P40,"Acima do limite de alerta","Abaixo do limite de alerta"))))))</f>
        <v/>
      </c>
      <c r="U40" s="9" t="inlineStr">
        <is>
          <t>Calculado (despesa líquida / RCL Ajustada do Executivo)</t>
        </is>
      </c>
    </row>
    <row r="41">
      <c r="A41" s="9">
        <f>B41&amp;"|"&amp;G41</f>
        <v/>
      </c>
      <c r="B41" s="9" t="inlineStr">
        <is>
          <t>Defensoria Pública</t>
        </is>
      </c>
      <c r="C41" s="9" t="inlineStr">
        <is>
          <t>Defensoria Pública</t>
        </is>
      </c>
      <c r="D41" s="9" t="inlineStr">
        <is>
          <t>Defensoria Pública do Estado do Acre</t>
        </is>
      </c>
      <c r="E41" s="9" t="inlineStr">
        <is>
          <t>2026</t>
        </is>
      </c>
      <c r="F41" s="9" t="n">
        <v>2</v>
      </c>
      <c r="G41" s="9" t="inlineStr">
        <is>
          <t>2º quad. 2026</t>
        </is>
      </c>
      <c r="H41" s="9" t="inlineStr">
        <is>
          <t>set/2025 a ago/2026</t>
        </is>
      </c>
      <c r="I41" s="15" t="n">
        <v>59995671.27</v>
      </c>
      <c r="J41" s="15" t="n">
        <v>11652841863.34</v>
      </c>
      <c r="K41" s="10">
        <f>IF(OR(I41="",J41="",J41=0),"",I41/J41)</f>
        <v/>
      </c>
      <c r="L41" s="10" t="n"/>
      <c r="M41" s="9">
        <f>IF(L41="","Não declarado",IF(K41="","Sem dado",IF(ABS(K41-L41)&lt;=0.00005,"Sim","Não")))</f>
        <v/>
      </c>
      <c r="N41" s="10" t="n"/>
      <c r="O41" s="10" t="n"/>
      <c r="P41" s="10" t="n"/>
      <c r="Q41" s="17" t="n"/>
      <c r="R41" s="17" t="n"/>
      <c r="S41" s="17" t="n"/>
      <c r="T41" s="9">
        <f>IF(K41="","Sem dado",IF(N41="","Sem limite próprio na LRF",IF(AND(Q41&lt;&gt;"",R41&lt;&gt;"",S41&lt;&gt;""),IF(I41&gt;Q41,"Acima do limite máximo",IF(I41&gt;R41,"Acima do limite prudencial",IF(I41&gt;S41,"Acima do limite de alerta","Abaixo do limite de alerta"))),IF(K41&gt;N41,"Acima do limite máximo",IF(K41&gt;O41,"Acima do limite prudencial",IF(K41&gt;P41,"Acima do limite de alerta","Abaixo do limite de alerta"))))))</f>
        <v/>
      </c>
      <c r="U41" s="9" t="inlineStr">
        <is>
          <t>Calculado (despesa líquida / RCL Ajustada do Executivo)</t>
        </is>
      </c>
    </row>
    <row r="42">
      <c r="A42" s="9">
        <f>B42&amp;"|"&amp;G42</f>
        <v/>
      </c>
      <c r="B42" s="9" t="inlineStr">
        <is>
          <t>Ministério Público</t>
        </is>
      </c>
      <c r="C42" s="9" t="inlineStr">
        <is>
          <t>Ministério Público</t>
        </is>
      </c>
      <c r="D42" s="9" t="inlineStr">
        <is>
          <t>Ministério Público do Estado do Acre</t>
        </is>
      </c>
      <c r="E42" s="9" t="inlineStr">
        <is>
          <t>2024</t>
        </is>
      </c>
      <c r="F42" s="9" t="n">
        <v>1</v>
      </c>
      <c r="G42" s="9" t="inlineStr">
        <is>
          <t>1º quad. 2024</t>
        </is>
      </c>
      <c r="H42" s="9" t="inlineStr">
        <is>
          <t>mai/2023 a abr/2024</t>
        </is>
      </c>
      <c r="I42" s="15" t="n">
        <v>138220338.27</v>
      </c>
      <c r="J42" s="15" t="n">
        <v>9078322800.43</v>
      </c>
      <c r="K42" s="10">
        <f>IF(OR(I42="",J42="",J42=0),"",I42/J42)</f>
        <v/>
      </c>
      <c r="L42" s="16" t="n">
        <v>0.0152</v>
      </c>
      <c r="M42" s="9">
        <f>IF(L42="","Não declarado",IF(K42="","Sem dado",IF(ABS(K42-L42)&lt;=0.00005,"Sim","Não")))</f>
        <v/>
      </c>
      <c r="N42" s="16" t="n">
        <v>0.02</v>
      </c>
      <c r="O42" s="16" t="n">
        <v>0.019</v>
      </c>
      <c r="P42" s="16" t="n">
        <v>0.018</v>
      </c>
      <c r="Q42" s="15" t="n">
        <v>181566456.01</v>
      </c>
      <c r="R42" s="15" t="n">
        <v>172488133.21</v>
      </c>
      <c r="S42" s="15" t="n">
        <v>163409810.41</v>
      </c>
      <c r="T42" s="9">
        <f>IF(K42="","Sem dado",IF(N42="","Sem limite próprio na LRF",IF(AND(Q42&lt;&gt;"",R42&lt;&gt;"",S42&lt;&gt;""),IF(I42&gt;Q42,"Acima do limite máximo",IF(I42&gt;R42,"Acima do limite prudencial",IF(I42&gt;S42,"Acima do limite de alerta","Abaixo do limite de alerta"))),IF(K42&gt;N42,"Acima do limite máximo",IF(K42&gt;O42,"Acima do limite prudencial",IF(K42&gt;P42,"Acima do limite de alerta","Abaixo do limite de alerta"))))))</f>
        <v/>
      </c>
      <c r="U42" s="9" t="inlineStr">
        <is>
          <t>Declarado no RGF</t>
        </is>
      </c>
    </row>
    <row r="43">
      <c r="A43" s="9">
        <f>B43&amp;"|"&amp;G43</f>
        <v/>
      </c>
      <c r="B43" s="9" t="inlineStr">
        <is>
          <t>Ministério Público</t>
        </is>
      </c>
      <c r="C43" s="9" t="inlineStr">
        <is>
          <t>Ministério Público</t>
        </is>
      </c>
      <c r="D43" s="9" t="inlineStr">
        <is>
          <t>Ministério Público do Estado do Acre</t>
        </is>
      </c>
      <c r="E43" s="9" t="inlineStr">
        <is>
          <t>2024</t>
        </is>
      </c>
      <c r="F43" s="9" t="n">
        <v>2</v>
      </c>
      <c r="G43" s="9" t="inlineStr">
        <is>
          <t>2º quad. 2024</t>
        </is>
      </c>
      <c r="H43" s="9" t="inlineStr">
        <is>
          <t>set/2023 a ago/2024</t>
        </is>
      </c>
      <c r="I43" s="15" t="n">
        <v>151654421.32</v>
      </c>
      <c r="J43" s="15" t="n">
        <v>9601846954.870001</v>
      </c>
      <c r="K43" s="10">
        <f>IF(OR(I43="",J43="",J43=0),"",I43/J43)</f>
        <v/>
      </c>
      <c r="L43" s="16" t="n">
        <v>0.0158</v>
      </c>
      <c r="M43" s="9">
        <f>IF(L43="","Não declarado",IF(K43="","Sem dado",IF(ABS(K43-L43)&lt;=0.00005,"Sim","Não")))</f>
        <v/>
      </c>
      <c r="N43" s="16" t="n">
        <v>0.02</v>
      </c>
      <c r="O43" s="16" t="n">
        <v>0.019</v>
      </c>
      <c r="P43" s="16" t="n">
        <v>0.018</v>
      </c>
      <c r="Q43" s="15" t="n">
        <v>192036939.1</v>
      </c>
      <c r="R43" s="15" t="n">
        <v>182435092.15</v>
      </c>
      <c r="S43" s="15" t="n">
        <v>172833245.19</v>
      </c>
      <c r="T43" s="9">
        <f>IF(K43="","Sem dado",IF(N43="","Sem limite próprio na LRF",IF(AND(Q43&lt;&gt;"",R43&lt;&gt;"",S43&lt;&gt;""),IF(I43&gt;Q43,"Acima do limite máximo",IF(I43&gt;R43,"Acima do limite prudencial",IF(I43&gt;S43,"Acima do limite de alerta","Abaixo do limite de alerta"))),IF(K43&gt;N43,"Acima do limite máximo",IF(K43&gt;O43,"Acima do limite prudencial",IF(K43&gt;P43,"Acima do limite de alerta","Abaixo do limite de alerta"))))))</f>
        <v/>
      </c>
      <c r="U43" s="9" t="inlineStr">
        <is>
          <t>Declarado no RGF</t>
        </is>
      </c>
    </row>
    <row r="44">
      <c r="A44" s="9">
        <f>B44&amp;"|"&amp;G44</f>
        <v/>
      </c>
      <c r="B44" s="9" t="inlineStr">
        <is>
          <t>Ministério Público</t>
        </is>
      </c>
      <c r="C44" s="9" t="inlineStr">
        <is>
          <t>Ministério Público</t>
        </is>
      </c>
      <c r="D44" s="9" t="inlineStr">
        <is>
          <t>Ministério Público do Estado do Acre</t>
        </is>
      </c>
      <c r="E44" s="9" t="inlineStr">
        <is>
          <t>2024</t>
        </is>
      </c>
      <c r="F44" s="9" t="n">
        <v>3</v>
      </c>
      <c r="G44" s="9" t="inlineStr">
        <is>
          <t>3º quad. 2024</t>
        </is>
      </c>
      <c r="H44" s="9" t="inlineStr">
        <is>
          <t>jan/2024 a dez/2024</t>
        </is>
      </c>
      <c r="I44" s="15" t="n">
        <v>160844008.59</v>
      </c>
      <c r="J44" s="15" t="n">
        <v>10002459245.99</v>
      </c>
      <c r="K44" s="10">
        <f>IF(OR(I44="",J44="",J44=0),"",I44/J44)</f>
        <v/>
      </c>
      <c r="L44" s="16" t="n">
        <v>0.0161</v>
      </c>
      <c r="M44" s="9">
        <f>IF(L44="","Não declarado",IF(K44="","Sem dado",IF(ABS(K44-L44)&lt;=0.00005,"Sim","Não")))</f>
        <v/>
      </c>
      <c r="N44" s="16" t="n">
        <v>0.02</v>
      </c>
      <c r="O44" s="16" t="n">
        <v>0.019</v>
      </c>
      <c r="P44" s="16" t="n">
        <v>0.018</v>
      </c>
      <c r="Q44" s="15" t="n">
        <v>200049184.92</v>
      </c>
      <c r="R44" s="15" t="n">
        <v>190046725.67</v>
      </c>
      <c r="S44" s="15" t="n">
        <v>180044266.43</v>
      </c>
      <c r="T44" s="9">
        <f>IF(K44="","Sem dado",IF(N44="","Sem limite próprio na LRF",IF(AND(Q44&lt;&gt;"",R44&lt;&gt;"",S44&lt;&gt;""),IF(I44&gt;Q44,"Acima do limite máximo",IF(I44&gt;R44,"Acima do limite prudencial",IF(I44&gt;S44,"Acima do limite de alerta","Abaixo do limite de alerta"))),IF(K44&gt;N44,"Acima do limite máximo",IF(K44&gt;O44,"Acima do limite prudencial",IF(K44&gt;P44,"Acima do limite de alerta","Abaixo do limite de alerta"))))))</f>
        <v/>
      </c>
      <c r="U44" s="9" t="inlineStr">
        <is>
          <t>Declarado no RGF</t>
        </is>
      </c>
    </row>
    <row r="45">
      <c r="A45" s="9">
        <f>B45&amp;"|"&amp;G45</f>
        <v/>
      </c>
      <c r="B45" s="9" t="inlineStr">
        <is>
          <t>Ministério Público</t>
        </is>
      </c>
      <c r="C45" s="9" t="inlineStr">
        <is>
          <t>Ministério Público</t>
        </is>
      </c>
      <c r="D45" s="9" t="inlineStr">
        <is>
          <t>Ministério Público do Estado do Acre</t>
        </is>
      </c>
      <c r="E45" s="9" t="inlineStr">
        <is>
          <t>2025</t>
        </is>
      </c>
      <c r="F45" s="9" t="n">
        <v>1</v>
      </c>
      <c r="G45" s="9" t="inlineStr">
        <is>
          <t>1º quad. 2025</t>
        </is>
      </c>
      <c r="H45" s="9" t="inlineStr">
        <is>
          <t>mai/2024 a abr/2025</t>
        </is>
      </c>
      <c r="I45" s="15" t="n">
        <v>167145120.36</v>
      </c>
      <c r="J45" s="15" t="n">
        <v>10253963568.26</v>
      </c>
      <c r="K45" s="10">
        <f>IF(OR(I45="",J45="",J45=0),"",I45/J45)</f>
        <v/>
      </c>
      <c r="L45" s="16" t="n">
        <v>0.0163</v>
      </c>
      <c r="M45" s="9">
        <f>IF(L45="","Não declarado",IF(K45="","Sem dado",IF(ABS(K45-L45)&lt;=0.00005,"Sim","Não")))</f>
        <v/>
      </c>
      <c r="N45" s="16" t="n">
        <v>0.02</v>
      </c>
      <c r="O45" s="16" t="n">
        <v>0.019</v>
      </c>
      <c r="P45" s="16" t="n">
        <v>0.018</v>
      </c>
      <c r="Q45" s="15" t="n">
        <v>205079271.37</v>
      </c>
      <c r="R45" s="15" t="n">
        <v>194825307.8</v>
      </c>
      <c r="S45" s="15" t="n">
        <v>184571344.23</v>
      </c>
      <c r="T45" s="9">
        <f>IF(K45="","Sem dado",IF(N45="","Sem limite próprio na LRF",IF(AND(Q45&lt;&gt;"",R45&lt;&gt;"",S45&lt;&gt;""),IF(I45&gt;Q45,"Acima do limite máximo",IF(I45&gt;R45,"Acima do limite prudencial",IF(I45&gt;S45,"Acima do limite de alerta","Abaixo do limite de alerta"))),IF(K45&gt;N45,"Acima do limite máximo",IF(K45&gt;O45,"Acima do limite prudencial",IF(K45&gt;P45,"Acima do limite de alerta","Abaixo do limite de alerta"))))))</f>
        <v/>
      </c>
      <c r="U45" s="9" t="inlineStr">
        <is>
          <t>Declarado no RGF</t>
        </is>
      </c>
    </row>
    <row r="46">
      <c r="A46" s="9">
        <f>B46&amp;"|"&amp;G46</f>
        <v/>
      </c>
      <c r="B46" s="9" t="inlineStr">
        <is>
          <t>Ministério Público</t>
        </is>
      </c>
      <c r="C46" s="9" t="inlineStr">
        <is>
          <t>Ministério Público</t>
        </is>
      </c>
      <c r="D46" s="9" t="inlineStr">
        <is>
          <t>Ministério Público do Estado do Acre</t>
        </is>
      </c>
      <c r="E46" s="9" t="inlineStr">
        <is>
          <t>2025</t>
        </is>
      </c>
      <c r="F46" s="9" t="n">
        <v>2</v>
      </c>
      <c r="G46" s="9" t="inlineStr">
        <is>
          <t>2º quad. 2025</t>
        </is>
      </c>
      <c r="H46" s="9" t="inlineStr">
        <is>
          <t>set/2024 a ago/2025</t>
        </is>
      </c>
      <c r="I46" s="15" t="n">
        <v>174927424.54</v>
      </c>
      <c r="J46" s="15" t="n">
        <v>10813598794.32</v>
      </c>
      <c r="K46" s="10">
        <f>IF(OR(I46="",J46="",J46=0),"",I46/J46)</f>
        <v/>
      </c>
      <c r="L46" s="16" t="n">
        <v>0.0162</v>
      </c>
      <c r="M46" s="9">
        <f>IF(L46="","Não declarado",IF(K46="","Sem dado",IF(ABS(K46-L46)&lt;=0.00005,"Sim","Não")))</f>
        <v/>
      </c>
      <c r="N46" s="16" t="n">
        <v>0.02</v>
      </c>
      <c r="O46" s="16" t="n">
        <v>0.019</v>
      </c>
      <c r="P46" s="16" t="n">
        <v>0.018</v>
      </c>
      <c r="Q46" s="15" t="n">
        <v>216271975.89</v>
      </c>
      <c r="R46" s="15" t="n">
        <v>205458377.1</v>
      </c>
      <c r="S46" s="15" t="n">
        <v>194644778.3</v>
      </c>
      <c r="T46" s="9">
        <f>IF(K46="","Sem dado",IF(N46="","Sem limite próprio na LRF",IF(AND(Q46&lt;&gt;"",R46&lt;&gt;"",S46&lt;&gt;""),IF(I46&gt;Q46,"Acima do limite máximo",IF(I46&gt;R46,"Acima do limite prudencial",IF(I46&gt;S46,"Acima do limite de alerta","Abaixo do limite de alerta"))),IF(K46&gt;N46,"Acima do limite máximo",IF(K46&gt;O46,"Acima do limite prudencial",IF(K46&gt;P46,"Acima do limite de alerta","Abaixo do limite de alerta"))))))</f>
        <v/>
      </c>
      <c r="U46" s="9" t="inlineStr">
        <is>
          <t>Declarado no RGF</t>
        </is>
      </c>
    </row>
    <row r="47">
      <c r="A47" s="9">
        <f>B47&amp;"|"&amp;G47</f>
        <v/>
      </c>
      <c r="B47" s="9" t="inlineStr">
        <is>
          <t>Ministério Público</t>
        </is>
      </c>
      <c r="C47" s="9" t="inlineStr">
        <is>
          <t>Ministério Público</t>
        </is>
      </c>
      <c r="D47" s="9" t="inlineStr">
        <is>
          <t>Ministério Público do Estado do Acre</t>
        </is>
      </c>
      <c r="E47" s="9" t="inlineStr">
        <is>
          <t>2025</t>
        </is>
      </c>
      <c r="F47" s="9" t="n">
        <v>3</v>
      </c>
      <c r="G47" s="9" t="inlineStr">
        <is>
          <t>3º quad. 2025</t>
        </is>
      </c>
      <c r="H47" s="9" t="inlineStr">
        <is>
          <t>jan/2025 a dez/2025</t>
        </is>
      </c>
      <c r="I47" s="15" t="n">
        <v>182655130.2</v>
      </c>
      <c r="J47" s="15" t="n">
        <v>11190641912.27</v>
      </c>
      <c r="K47" s="10">
        <f>IF(OR(I47="",J47="",J47=0),"",I47/J47)</f>
        <v/>
      </c>
      <c r="L47" s="16" t="n">
        <v>0.0163</v>
      </c>
      <c r="M47" s="9">
        <f>IF(L47="","Não declarado",IF(K47="","Sem dado",IF(ABS(K47-L47)&lt;=0.00005,"Sim","Não")))</f>
        <v/>
      </c>
      <c r="N47" s="16" t="n">
        <v>0.02</v>
      </c>
      <c r="O47" s="16" t="n">
        <v>0.019</v>
      </c>
      <c r="P47" s="16" t="n">
        <v>0.018</v>
      </c>
      <c r="Q47" s="15" t="n">
        <v>223812838.25</v>
      </c>
      <c r="R47" s="15" t="n">
        <v>212622196.34</v>
      </c>
      <c r="S47" s="15" t="n">
        <v>201431554.43</v>
      </c>
      <c r="T47" s="9">
        <f>IF(K47="","Sem dado",IF(N47="","Sem limite próprio na LRF",IF(AND(Q47&lt;&gt;"",R47&lt;&gt;"",S47&lt;&gt;""),IF(I47&gt;Q47,"Acima do limite máximo",IF(I47&gt;R47,"Acima do limite prudencial",IF(I47&gt;S47,"Acima do limite de alerta","Abaixo do limite de alerta"))),IF(K47&gt;N47,"Acima do limite máximo",IF(K47&gt;O47,"Acima do limite prudencial",IF(K47&gt;P47,"Acima do limite de alerta","Abaixo do limite de alerta"))))))</f>
        <v/>
      </c>
      <c r="U47" s="9" t="inlineStr">
        <is>
          <t>Declarado no RGF</t>
        </is>
      </c>
    </row>
    <row r="48">
      <c r="A48" s="9">
        <f>B48&amp;"|"&amp;G48</f>
        <v/>
      </c>
      <c r="B48" s="9" t="inlineStr">
        <is>
          <t>Ministério Público</t>
        </is>
      </c>
      <c r="C48" s="9" t="inlineStr">
        <is>
          <t>Ministério Público</t>
        </is>
      </c>
      <c r="D48" s="9" t="inlineStr">
        <is>
          <t>Ministério Público do Estado do Acre</t>
        </is>
      </c>
      <c r="E48" s="9" t="inlineStr">
        <is>
          <t>2026</t>
        </is>
      </c>
      <c r="F48" s="9" t="n">
        <v>1</v>
      </c>
      <c r="G48" s="9" t="inlineStr">
        <is>
          <t>1º quad. 2026</t>
        </is>
      </c>
      <c r="H48" s="9" t="inlineStr">
        <is>
          <t>mai/2025 a abr/2026</t>
        </is>
      </c>
      <c r="I48" s="15" t="n">
        <v>192584127.6</v>
      </c>
      <c r="J48" s="15" t="n">
        <v>11403929709.58</v>
      </c>
      <c r="K48" s="10">
        <f>IF(OR(I48="",J48="",J48=0),"",I48/J48)</f>
        <v/>
      </c>
      <c r="L48" s="16" t="n">
        <v>0.0169</v>
      </c>
      <c r="M48" s="9">
        <f>IF(L48="","Não declarado",IF(K48="","Sem dado",IF(ABS(K48-L48)&lt;=0.00005,"Sim","Não")))</f>
        <v/>
      </c>
      <c r="N48" s="16" t="n">
        <v>0.02</v>
      </c>
      <c r="O48" s="16" t="n">
        <v>0.019</v>
      </c>
      <c r="P48" s="16" t="n">
        <v>0.018</v>
      </c>
      <c r="Q48" s="15" t="n">
        <v>228078594.19</v>
      </c>
      <c r="R48" s="15" t="n">
        <v>216674664.48</v>
      </c>
      <c r="S48" s="15" t="n">
        <v>205270734.77</v>
      </c>
      <c r="T48" s="9">
        <f>IF(K48="","Sem dado",IF(N48="","Sem limite próprio na LRF",IF(AND(Q48&lt;&gt;"",R48&lt;&gt;"",S48&lt;&gt;""),IF(I48&gt;Q48,"Acima do limite máximo",IF(I48&gt;R48,"Acima do limite prudencial",IF(I48&gt;S48,"Acima do limite de alerta","Abaixo do limite de alerta"))),IF(K48&gt;N48,"Acima do limite máximo",IF(K48&gt;O48,"Acima do limite prudencial",IF(K48&gt;P48,"Acima do limite de alerta","Abaixo do limite de alerta"))))))</f>
        <v/>
      </c>
      <c r="U48" s="9" t="inlineStr">
        <is>
          <t>Declarado no RGF</t>
        </is>
      </c>
    </row>
    <row r="49">
      <c r="A49" s="9">
        <f>B49&amp;"|"&amp;G49</f>
        <v/>
      </c>
      <c r="B49" s="9" t="inlineStr">
        <is>
          <t>Ministério Público</t>
        </is>
      </c>
      <c r="C49" s="9" t="inlineStr">
        <is>
          <t>Ministério Público</t>
        </is>
      </c>
      <c r="D49" s="9" t="inlineStr">
        <is>
          <t>Ministério Público do Estado do Acre</t>
        </is>
      </c>
      <c r="E49" s="9" t="inlineStr">
        <is>
          <t>2026</t>
        </is>
      </c>
      <c r="F49" s="9" t="n">
        <v>2</v>
      </c>
      <c r="G49" s="9" t="inlineStr">
        <is>
          <t>2º quad. 2026</t>
        </is>
      </c>
      <c r="H49" s="9" t="inlineStr">
        <is>
          <t>set/2025 a ago/2026</t>
        </is>
      </c>
      <c r="I49" s="15" t="n">
        <v>205612562.21</v>
      </c>
      <c r="J49" s="15" t="n">
        <v>11652841863.34</v>
      </c>
      <c r="K49" s="10">
        <f>IF(OR(I49="",J49="",J49=0),"",I49/J49)</f>
        <v/>
      </c>
      <c r="L49" s="16" t="n">
        <v>0.0176</v>
      </c>
      <c r="M49" s="9">
        <f>IF(L49="","Não declarado",IF(K49="","Sem dado",IF(ABS(K49-L49)&lt;=0.00005,"Sim","Não")))</f>
        <v/>
      </c>
      <c r="N49" s="16" t="n">
        <v>0.02</v>
      </c>
      <c r="O49" s="16" t="n">
        <v>0.019</v>
      </c>
      <c r="P49" s="16" t="n">
        <v>0.018</v>
      </c>
      <c r="Q49" s="15" t="n">
        <v>233056837.27</v>
      </c>
      <c r="R49" s="15" t="n">
        <v>221403995.41</v>
      </c>
      <c r="S49" s="15" t="n">
        <v>209751153.54</v>
      </c>
      <c r="T49" s="9">
        <f>IF(K49="","Sem dado",IF(N49="","Sem limite próprio na LRF",IF(AND(Q49&lt;&gt;"",R49&lt;&gt;"",S49&lt;&gt;""),IF(I49&gt;Q49,"Acima do limite máximo",IF(I49&gt;R49,"Acima do limite prudencial",IF(I49&gt;S49,"Acima do limite de alerta","Abaixo do limite de alerta"))),IF(K49&gt;N49,"Acima do limite máximo",IF(K49&gt;O49,"Acima do limite prudencial",IF(K49&gt;P49,"Acima do limite de alerta","Abaixo do limite de alerta"))))))</f>
        <v/>
      </c>
      <c r="U49" s="9" t="inlineStr">
        <is>
          <t>Declarado no RGF</t>
        </is>
      </c>
    </row>
  </sheetData>
  <autoFilter ref="A1:U49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Notas metodológicas</t>
        </is>
      </c>
    </row>
    <row r="3" ht="30" customHeight="1">
      <c r="A3" s="18" t="inlineStr">
        <is>
          <t>Fonte</t>
        </is>
      </c>
      <c r="B3" s="19" t="inlineStr">
        <is>
          <t>API de dados abertos do Siconfi (Tesouro Nacional), endpoint /rgf, https://apidatalake.tesouro.gov.br/docs/siconfi/ . Extração em 15/10/2026.</t>
        </is>
      </c>
    </row>
    <row r="4" ht="15" customHeight="1">
      <c r="A4" s="18" t="inlineStr">
        <is>
          <t>Relatório</t>
        </is>
      </c>
      <c r="B4" s="19" t="inlineStr">
        <is>
          <t>RGF - Anexo 01 (Demonstrativo da Despesa com Pessoal), quadrimestral. Ente: Acre (AC).</t>
        </is>
      </c>
    </row>
    <row r="5" ht="30" customHeight="1">
      <c r="A5" s="18" t="inlineStr">
        <is>
          <t>Períodos</t>
        </is>
      </c>
      <c r="B5" s="19" t="inlineStr">
        <is>
          <t>1º a 3º quadrimestres de 2024 e 2025; 1º e 2º de 2026 (o 3º de 2026 ainda não foi publicado). Cada quadrimestre considera os 12 meses encerrados em abril, agosto ou dezembro.</t>
        </is>
      </c>
    </row>
    <row r="6" ht="30" customHeight="1">
      <c r="A6" s="18" t="inlineStr">
        <is>
          <t>Indicador</t>
        </is>
      </c>
      <c r="B6" s="19" t="inlineStr">
        <is>
          <t>DTP = Despesa Total com Pessoal. % = DTP / Receita Corrente Líquida Ajustada para cálculo dos limites da despesa com pessoal.</t>
        </is>
      </c>
    </row>
    <row r="7" ht="30" customHeight="1">
      <c r="A7" s="18" t="inlineStr">
        <is>
          <t>Tribunais de Contas</t>
        </is>
      </c>
      <c r="B7" s="19" t="inlineStr">
        <is>
          <t>Não têm código de poder próprio na API: vêm dentro do Poder Legislativo (co_poder = L), identificados pelo nome da instituição.</t>
        </is>
      </c>
    </row>
    <row r="8" ht="60" customHeight="1">
      <c r="A8" s="18" t="inlineStr">
        <is>
          <t>Órgãos sem % declarado</t>
        </is>
      </c>
      <c r="B8" s="19" t="inlineStr">
        <is>
      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      </is>
      </c>
    </row>
    <row r="9" ht="45" customHeight="1">
      <c r="A9" s="18" t="inlineStr">
        <is>
          <t>Limites</t>
        </is>
      </c>
      <c r="B9" s="19" t="inlineStr">
        <is>
          <t>Máximo, prudencial (95% do máximo) e de alerta (90% do máximo), como declarados no RGF de cada órgão. A situação compara a DTP com os limites em R$ quando declarados, porque os % vêm arredondados em 2 casas e podem esconder uma ultrapassagem pequena.</t>
        </is>
      </c>
    </row>
    <row r="10" ht="15" customHeight="1">
      <c r="A10" s="18" t="inlineStr">
        <is>
          <t>Convenções</t>
        </is>
      </c>
      <c r="B10" s="19" t="inlineStr">
        <is>
          <t>Números em azul: valores da API. Em preto: fórmulas. Percentuais armazenados como fração.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2026-10-15T10:08:04Z</dcterms:created>
  <dcterms:modified xsi:type="dcterms:W3CDTF">2026-10-15T10:08:04Z</dcterms:modified>
</cp:coreProperties>
</file>