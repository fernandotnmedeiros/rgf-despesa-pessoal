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3899D11F26AD714C5ECA9E73A4C8551FA70277D0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T30" i="2"/>
  <c r="K30" i="2"/>
  <c r="M30" i="2" s="1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L10" i="1" l="1"/>
  <c r="T11" i="2"/>
  <c r="M11" i="2"/>
  <c r="E6" i="1"/>
  <c r="D20" i="1"/>
  <c r="D19" i="1"/>
  <c r="H18" i="1"/>
  <c r="E18" i="1"/>
  <c r="I17" i="1"/>
  <c r="E17" i="1"/>
  <c r="I16" i="1"/>
  <c r="D16" i="1"/>
  <c r="I12" i="1"/>
  <c r="E8" i="1"/>
  <c r="C6" i="1"/>
  <c r="G20" i="1"/>
  <c r="E19" i="1"/>
  <c r="I18" i="1"/>
  <c r="D18" i="1"/>
  <c r="G17" i="1"/>
  <c r="C17" i="1"/>
  <c r="H16" i="1"/>
  <c r="E16" i="1"/>
  <c r="H12" i="1"/>
  <c r="G8" i="1"/>
  <c r="J21" i="1"/>
  <c r="I21" i="1"/>
  <c r="H21" i="1"/>
  <c r="F21" i="1"/>
  <c r="E21" i="1"/>
  <c r="D21" i="1"/>
  <c r="C21" i="1"/>
  <c r="J20" i="1"/>
  <c r="I20" i="1"/>
  <c r="H20" i="1"/>
  <c r="F20" i="1"/>
  <c r="E20" i="1"/>
  <c r="J19" i="1"/>
  <c r="H19" i="1"/>
  <c r="F19" i="1"/>
  <c r="J18" i="1"/>
  <c r="F18" i="1"/>
  <c r="J17" i="1"/>
  <c r="F17" i="1"/>
  <c r="J16" i="1"/>
  <c r="F16" i="1"/>
  <c r="J12" i="1"/>
  <c r="F12" i="1"/>
  <c r="D8" i="1"/>
  <c r="G21" i="1"/>
  <c r="C20" i="1"/>
  <c r="I19" i="1"/>
  <c r="G19" i="1"/>
  <c r="C19" i="1"/>
  <c r="G18" i="1"/>
  <c r="C18" i="1"/>
  <c r="H17" i="1"/>
  <c r="D17" i="1"/>
  <c r="G16" i="1"/>
  <c r="C16" i="1"/>
  <c r="G12" i="1"/>
  <c r="H8" i="1"/>
  <c r="F6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F8" i="1"/>
  <c r="D6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3" i="2"/>
  <c r="M43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T24" i="2"/>
  <c r="M24" i="2"/>
  <c r="T23" i="2"/>
  <c r="M23" i="2"/>
  <c r="T22" i="2"/>
  <c r="M22" i="2"/>
  <c r="T21" i="2"/>
  <c r="M21" i="2"/>
  <c r="T20" i="2"/>
  <c r="M20" i="2"/>
  <c r="T19" i="2"/>
  <c r="M19" i="2"/>
  <c r="T18" i="2"/>
  <c r="M18" i="2"/>
  <c r="T17" i="2"/>
  <c r="L7" i="1" s="1"/>
  <c r="M17" i="2"/>
  <c r="T16" i="2"/>
  <c r="M16" i="2"/>
  <c r="T15" i="2"/>
  <c r="M15" i="2"/>
  <c r="T14" i="2"/>
  <c r="M14" i="2"/>
  <c r="T13" i="2"/>
  <c r="M13" i="2"/>
  <c r="T12" i="2"/>
  <c r="M12" i="2"/>
  <c r="T10" i="2"/>
  <c r="M10" i="2"/>
  <c r="T9" i="2"/>
  <c r="L6" i="1" s="1"/>
  <c r="M9" i="2"/>
  <c r="T8" i="2"/>
  <c r="M8" i="2"/>
  <c r="T7" i="2"/>
  <c r="M7" i="2"/>
  <c r="T6" i="2"/>
  <c r="M6" i="2"/>
  <c r="T5" i="2"/>
  <c r="M5" i="2"/>
  <c r="M4" i="2"/>
  <c r="T4" i="2"/>
  <c r="M3" i="2"/>
  <c r="T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<sst xmlns="http://schemas.openxmlformats.org/spreadsheetml/2006/main" count="427" uniqueCount="83">
  <si>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Acre (AC)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</si>
  <si>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</si>
  <si>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</si>
  <si>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</si>
  <si>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</si>
  <si>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</si>
  <si>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</si>
  <si>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</si>
  <si>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</si>
  <si>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</si>
  <si>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</si>
  <si>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</si>
  <si>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</si>
  <si>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</si>
  <si>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</si>
  <si>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</si>
  <si>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</si>
  <si>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</si>
  <si>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</si>
  <si>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</si>
  <si>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</si>
  <si>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</si>
  <si>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</si>
  <si>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</si>
  <si>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</si>
  <si>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</si>
  <si>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</si>
  <si>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</si>
  <si>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</si>
  <si>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</si>
  <si>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</si>
  <si>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</si>
  <si>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</si>
  <si>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</si>
  <si>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</si>
  <si>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</si>
  <si>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</si>
  <si>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</si>
  <si>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</si>
  <si>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</si>
  <si>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</si>
  <si>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</si>
  <si>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</si>
  <si>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</si>
  <si>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</si>
  <si>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</si>
  <si>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</si>
  <si>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Acre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</si>
  <si>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</si>
  <si>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</si>
  <si>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</si>
  <si>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</si>
  <si>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</si>
  <si>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</si>
  <si>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</si>
  <si>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</si>
  <si>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</si>
  <si>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</si>
  <si>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</si>
  <si>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</si>
  <si>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Acre</t>
  </si>
  <si>
    <t>Tribunal de Justiça do Estado do Acre</t>
  </si>
  <si>
    <t>Tribunal de Contas do Estado do Acre</t>
  </si>
  <si>
    <t>Defensoria Pública do Estado do Acre</t>
  </si>
  <si>
    <t>Calculado (despesa líquida / RCL Ajustada do Executivo)</t>
  </si>
  <si>
    <t>Ministério Público do Estado do Acre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</si>
  <si>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</si>
  <si>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</si>
  <si>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</si>
  <si>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</si>
  <si>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Acre (AC).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</si>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</sst>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0.47544025368051024</v>
      </c>
      <c r="D6" s="7">
        <f>IFERROR(IF(INDEX(Dados!$K$2:$K$49,MATCH($A6&amp;"|"&amp;D$5,Dados!$A$2:$A$49,0))="","",INDEX(Dados!$K$2:$K$49,MATCH($A6&amp;"|"&amp;D$5,Dados!$A$2:$A$49,0))),"")</f>
        <v>0.46854111494645351</v>
      </c>
      <c r="E6" s="7">
        <f>IFERROR(IF(INDEX(Dados!$K$2:$K$49,MATCH($A6&amp;"|"&amp;E$5,Dados!$A$2:$A$49,0))="","",INDEX(Dados!$K$2:$K$49,MATCH($A6&amp;"|"&amp;E$5,Dados!$A$2:$A$49,0))),"")</f>
        <v>0.46771752188998394</v>
      </c>
      <c r="F6" s="7">
        <f>IFERROR(IF(INDEX(Dados!$K$2:$K$49,MATCH($A6&amp;"|"&amp;F$5,Dados!$A$2:$A$49,0))="","",INDEX(Dados!$K$2:$K$49,MATCH($A6&amp;"|"&amp;F$5,Dados!$A$2:$A$49,0))),"")</f>
        <v>0.46985395402936331</v>
      </c>
      <c r="G6" s="7">
        <f>IFERROR(IF(INDEX(Dados!$K$2:$K$49,MATCH($A6&amp;"|"&amp;G$5,Dados!$A$2:$A$49,0))="","",INDEX(Dados!$K$2:$K$49,MATCH($A6&amp;"|"&amp;G$5,Dados!$A$2:$A$49,0))),"")</f>
        <v>0.46593261624025645</v>
      </c>
      <c r="H6" s="7">
        <f>IFERROR(IF(INDEX(Dados!$K$2:$K$49,MATCH($A6&amp;"|"&amp;H$5,Dados!$A$2:$A$49,0))="","",INDEX(Dados!$K$2:$K$49,MATCH($A6&amp;"|"&amp;H$5,Dados!$A$2:$A$49,0))),"")</f>
        <v>0.47988853421819949</v>
      </c>
      <c r="I6" s="7">
        <f>IFERROR(IF(INDEX(Dados!$K$2:$K$49,MATCH($A6&amp;"|"&amp;I$5,Dados!$A$2:$A$49,0))="","",INDEX(Dados!$K$2:$K$49,MATCH($A6&amp;"|"&amp;I$5,Dados!$A$2:$A$49,0))),"")</f>
        <v>0.48085639142035358</v>
      </c>
      <c r="J6" s="7">
        <f>IFERROR(IF(INDEX(Dados!$K$2:$K$49,MATCH($A6&amp;"|"&amp;J$5,Dados!$A$2:$A$49,0))="","",INDEX(Dados!$K$2:$K$49,MATCH($A6&amp;"|"&amp;J$5,Dados!$A$2:$A$49,0))),"")</f>
        <v>0.49034590338397033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máximo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1.6644983720213457E-2</v>
      </c>
      <c r="D7" s="10">
        <f>IFERROR(IF(INDEX(Dados!$K$2:$K$49,MATCH($A7&amp;"|"&amp;D$5,Dados!$A$2:$A$49,0))="","",INDEX(Dados!$K$2:$K$49,MATCH($A7&amp;"|"&amp;D$5,Dados!$A$2:$A$49,0))),"")</f>
        <v>1.6441686252865028E-2</v>
      </c>
      <c r="E7" s="10">
        <f>IFERROR(IF(INDEX(Dados!$K$2:$K$49,MATCH($A7&amp;"|"&amp;E$5,Dados!$A$2:$A$49,0))="","",INDEX(Dados!$K$2:$K$49,MATCH($A7&amp;"|"&amp;E$5,Dados!$A$2:$A$49,0))),"")</f>
        <v>1.6848804798436316E-2</v>
      </c>
      <c r="F7" s="10">
        <f>IFERROR(IF(INDEX(Dados!$K$2:$K$49,MATCH($A7&amp;"|"&amp;F$5,Dados!$A$2:$A$49,0))="","",INDEX(Dados!$K$2:$K$49,MATCH($A7&amp;"|"&amp;F$5,Dados!$A$2:$A$49,0))),"")</f>
        <v>1.7069121717164463E-2</v>
      </c>
      <c r="G7" s="10">
        <f>IFERROR(IF(INDEX(Dados!$K$2:$K$49,MATCH($A7&amp;"|"&amp;G$5,Dados!$A$2:$A$49,0))="","",INDEX(Dados!$K$2:$K$49,MATCH($A7&amp;"|"&amp;G$5,Dados!$A$2:$A$49,0))),"")</f>
        <v>1.6873781839015802E-2</v>
      </c>
      <c r="H7" s="10">
        <f>IFERROR(IF(INDEX(Dados!$K$2:$K$49,MATCH($A7&amp;"|"&amp;H$5,Dados!$A$2:$A$49,0))="","",INDEX(Dados!$K$2:$K$49,MATCH($A7&amp;"|"&amp;H$5,Dados!$A$2:$A$49,0))),"")</f>
        <v>1.7136146107019964E-2</v>
      </c>
      <c r="I7" s="10">
        <f>IFERROR(IF(INDEX(Dados!$K$2:$K$49,MATCH($A7&amp;"|"&amp;I$5,Dados!$A$2:$A$49,0))="","",INDEX(Dados!$K$2:$K$49,MATCH($A7&amp;"|"&amp;I$5,Dados!$A$2:$A$49,0))),"")</f>
        <v>1.7403224586122375E-2</v>
      </c>
      <c r="J7" s="10">
        <f>IFERROR(IF(INDEX(Dados!$K$2:$K$49,MATCH($A7&amp;"|"&amp;J$5,Dados!$A$2:$A$49,0))="","",INDEX(Dados!$K$2:$K$49,MATCH($A7&amp;"|"&amp;J$5,Dados!$A$2:$A$49,0))),"")</f>
        <v>1.7664629998763247E-2</v>
      </c>
      <c r="K7" s="10">
        <f>IFERROR(IF(INDEX(Dados!$N$2:$N$49,MATCH($A7&amp;"|"&amp;J$5,Dados!$A$2:$A$49,0))=0,"—",INDEX(Dados!$N$2:$N$49,MATCH($A7&amp;"|"&amp;J$5,Dados!$A$2:$A$49,0))),"—")</f>
        <v>0.02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3.5020569206345158E-2</v>
      </c>
      <c r="D8" s="10">
        <f>IFERROR(IF(INDEX(Dados!$K$2:$K$49,MATCH($A8&amp;"|"&amp;D$5,Dados!$A$2:$A$49,0))="","",INDEX(Dados!$K$2:$K$49,MATCH($A8&amp;"|"&amp;D$5,Dados!$A$2:$A$49,0))),"")</f>
        <v>3.4335553711651888E-2</v>
      </c>
      <c r="E8" s="10">
        <f>IFERROR(IF(INDEX(Dados!$K$2:$K$49,MATCH($A8&amp;"|"&amp;E$5,Dados!$A$2:$A$49,0))="","",INDEX(Dados!$K$2:$K$49,MATCH($A8&amp;"|"&amp;E$5,Dados!$A$2:$A$49,0))),"")</f>
        <v>3.526180426192687E-2</v>
      </c>
      <c r="F8" s="10">
        <f>IFERROR(IF(INDEX(Dados!$K$2:$K$49,MATCH($A8&amp;"|"&amp;F$5,Dados!$A$2:$A$49,0))="","",INDEX(Dados!$K$2:$K$49,MATCH($A8&amp;"|"&amp;F$5,Dados!$A$2:$A$49,0))),"")</f>
        <v>3.7508293655393238E-2</v>
      </c>
      <c r="G8" s="10">
        <f>IFERROR(IF(INDEX(Dados!$K$2:$K$49,MATCH($A8&amp;"|"&amp;G$5,Dados!$A$2:$A$49,0))="","",INDEX(Dados!$K$2:$K$49,MATCH($A8&amp;"|"&amp;G$5,Dados!$A$2:$A$49,0))),"")</f>
        <v>3.8342818196453451E-2</v>
      </c>
      <c r="H8" s="10">
        <f>IFERROR(IF(INDEX(Dados!$K$2:$K$49,MATCH($A8&amp;"|"&amp;H$5,Dados!$A$2:$A$49,0))="","",INDEX(Dados!$K$2:$K$49,MATCH($A8&amp;"|"&amp;H$5,Dados!$A$2:$A$49,0))),"")</f>
        <v>3.7339264319756954E-2</v>
      </c>
      <c r="I8" s="10">
        <f>IFERROR(IF(INDEX(Dados!$K$2:$K$49,MATCH($A8&amp;"|"&amp;I$5,Dados!$A$2:$A$49,0))="","",INDEX(Dados!$K$2:$K$49,MATCH($A8&amp;"|"&amp;I$5,Dados!$A$2:$A$49,0))),"")</f>
        <v>3.7550868739594442E-2</v>
      </c>
      <c r="J8" s="10">
        <f>IFERROR(IF(INDEX(Dados!$K$2:$K$49,MATCH($A8&amp;"|"&amp;J$5,Dados!$A$2:$A$49,0))="","",INDEX(Dados!$K$2:$K$49,MATCH($A8&amp;"|"&amp;J$5,Dados!$A$2:$A$49,0))),"")</f>
        <v>3.5468062343681085E-2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6.3201951903805748E-3</v>
      </c>
      <c r="D9" s="10">
        <f>IFERROR(IF(INDEX(Dados!$K$2:$K$49,MATCH($A9&amp;"|"&amp;D$5,Dados!$A$2:$A$49,0))="","",INDEX(Dados!$K$2:$K$49,MATCH($A9&amp;"|"&amp;D$5,Dados!$A$2:$A$49,0))),"")</f>
        <v>6.0826882176430973E-3</v>
      </c>
      <c r="E9" s="10">
        <f>IFERROR(IF(INDEX(Dados!$K$2:$K$49,MATCH($A9&amp;"|"&amp;E$5,Dados!$A$2:$A$49,0))="","",INDEX(Dados!$K$2:$K$49,MATCH($A9&amp;"|"&amp;E$5,Dados!$A$2:$A$49,0))),"")</f>
        <v>6.6359467034679646E-3</v>
      </c>
      <c r="F9" s="10">
        <f>IFERROR(IF(INDEX(Dados!$K$2:$K$49,MATCH($A9&amp;"|"&amp;F$5,Dados!$A$2:$A$49,0))="","",INDEX(Dados!$K$2:$K$49,MATCH($A9&amp;"|"&amp;F$5,Dados!$A$2:$A$49,0))),"")</f>
        <v>6.9458844870935932E-3</v>
      </c>
      <c r="G9" s="10">
        <f>IFERROR(IF(INDEX(Dados!$K$2:$K$49,MATCH($A9&amp;"|"&amp;G$5,Dados!$A$2:$A$49,0))="","",INDEX(Dados!$K$2:$K$49,MATCH($A9&amp;"|"&amp;G$5,Dados!$A$2:$A$49,0))),"")</f>
        <v>7.2382139608428101E-3</v>
      </c>
      <c r="H9" s="10">
        <f>IFERROR(IF(INDEX(Dados!$K$2:$K$49,MATCH($A9&amp;"|"&amp;H$5,Dados!$A$2:$A$49,0))="","",INDEX(Dados!$K$2:$K$49,MATCH($A9&amp;"|"&amp;H$5,Dados!$A$2:$A$49,0))),"")</f>
        <v>7.1134206932953799E-3</v>
      </c>
      <c r="I9" s="10">
        <f>IFERROR(IF(INDEX(Dados!$K$2:$K$49,MATCH($A9&amp;"|"&amp;I$5,Dados!$A$2:$A$49,0))="","",INDEX(Dados!$K$2:$K$49,MATCH($A9&amp;"|"&amp;I$5,Dados!$A$2:$A$49,0))),"")</f>
        <v>7.7716560674297675E-3</v>
      </c>
      <c r="J9" s="10">
        <f>IFERROR(IF(INDEX(Dados!$K$2:$K$49,MATCH($A9&amp;"|"&amp;J$5,Dados!$A$2:$A$49,0))="","",INDEX(Dados!$K$2:$K$49,MATCH($A9&amp;"|"&amp;J$5,Dados!$A$2:$A$49,0))),"")</f>
        <v>7.840322021997588E-3</v>
      </c>
      <c r="K9" s="10">
        <f>IFERROR(IF(INDEX(Dados!$N$2:$N$49,MATCH($A9&amp;"|"&amp;J$5,Dados!$A$2:$A$49,0))=0,"—",INDEX(Dados!$N$2:$N$49,MATCH($A9&amp;"|"&amp;J$5,Dados!$A$2:$A$49,0))),"—")</f>
        <v>0.01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4.8381854077627177E-3</v>
      </c>
      <c r="D10" s="10">
        <f>IFERROR(IF(INDEX(Dados!$K$2:$K$49,MATCH($A10&amp;"|"&amp;D$5,Dados!$A$2:$A$49,0))="","",INDEX(Dados!$K$2:$K$49,MATCH($A10&amp;"|"&amp;D$5,Dados!$A$2:$A$49,0))),"")</f>
        <v>5.0506791003790356E-3</v>
      </c>
      <c r="E10" s="10">
        <f>IFERROR(IF(INDEX(Dados!$K$2:$K$49,MATCH($A10&amp;"|"&amp;E$5,Dados!$A$2:$A$49,0))="","",INDEX(Dados!$K$2:$K$49,MATCH($A10&amp;"|"&amp;E$5,Dados!$A$2:$A$49,0))),"")</f>
        <v>4.6213374904308215E-3</v>
      </c>
      <c r="F10" s="10">
        <f>IFERROR(IF(INDEX(Dados!$K$2:$K$49,MATCH($A10&amp;"|"&amp;F$5,Dados!$A$2:$A$49,0))="","",INDEX(Dados!$K$2:$K$49,MATCH($A10&amp;"|"&amp;F$5,Dados!$A$2:$A$49,0))),"")</f>
        <v>4.7419600466018638E-3</v>
      </c>
      <c r="G10" s="10">
        <f>IFERROR(IF(INDEX(Dados!$K$2:$K$49,MATCH($A10&amp;"|"&amp;G$5,Dados!$A$2:$A$49,0))="","",INDEX(Dados!$K$2:$K$49,MATCH($A10&amp;"|"&amp;G$5,Dados!$A$2:$A$49,0))),"")</f>
        <v>4.7660610209684521E-3</v>
      </c>
      <c r="H10" s="10">
        <f>IFERROR(IF(INDEX(Dados!$K$2:$K$49,MATCH($A10&amp;"|"&amp;H$5,Dados!$A$2:$A$49,0))="","",INDEX(Dados!$K$2:$K$49,MATCH($A10&amp;"|"&amp;H$5,Dados!$A$2:$A$49,0))),"")</f>
        <v>4.8510849731039276E-3</v>
      </c>
      <c r="I10" s="10">
        <f>IFERROR(IF(INDEX(Dados!$K$2:$K$49,MATCH($A10&amp;"|"&amp;I$5,Dados!$A$2:$A$49,0))="","",INDEX(Dados!$K$2:$K$49,MATCH($A10&amp;"|"&amp;I$5,Dados!$A$2:$A$49,0))),"")</f>
        <v>5.0275643168719228E-3</v>
      </c>
      <c r="J10" s="10">
        <f>IFERROR(IF(INDEX(Dados!$K$2:$K$49,MATCH($A10&amp;"|"&amp;J$5,Dados!$A$2:$A$49,0))="","",INDEX(Dados!$K$2:$K$49,MATCH($A10&amp;"|"&amp;J$5,Dados!$A$2:$A$49,0))),"")</f>
        <v>5.1485870977745953E-3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1.5225316537924067E-2</v>
      </c>
      <c r="D11" s="10">
        <f>IFERROR(IF(INDEX(Dados!$K$2:$K$49,MATCH($A11&amp;"|"&amp;D$5,Dados!$A$2:$A$49,0))="","",INDEX(Dados!$K$2:$K$49,MATCH($A11&amp;"|"&amp;D$5,Dados!$A$2:$A$49,0))),"")</f>
        <v>1.5794296871507803E-2</v>
      </c>
      <c r="E11" s="10">
        <f>IFERROR(IF(INDEX(Dados!$K$2:$K$49,MATCH($A11&amp;"|"&amp;E$5,Dados!$A$2:$A$49,0))="","",INDEX(Dados!$K$2:$K$49,MATCH($A11&amp;"|"&amp;E$5,Dados!$A$2:$A$49,0))),"")</f>
        <v>1.6080446281696432E-2</v>
      </c>
      <c r="F11" s="10">
        <f>IFERROR(IF(INDEX(Dados!$K$2:$K$49,MATCH($A11&amp;"|"&amp;F$5,Dados!$A$2:$A$49,0))="","",INDEX(Dados!$K$2:$K$49,MATCH($A11&amp;"|"&amp;F$5,Dados!$A$2:$A$49,0))),"")</f>
        <v>1.6300537762527174E-2</v>
      </c>
      <c r="G11" s="10">
        <f>IFERROR(IF(INDEX(Dados!$K$2:$K$49,MATCH($A11&amp;"|"&amp;G$5,Dados!$A$2:$A$49,0))="","",INDEX(Dados!$K$2:$K$49,MATCH($A11&amp;"|"&amp;G$5,Dados!$A$2:$A$49,0))),"")</f>
        <v>1.6176615007381556E-2</v>
      </c>
      <c r="H11" s="10">
        <f>IFERROR(IF(INDEX(Dados!$K$2:$K$49,MATCH($A11&amp;"|"&amp;H$5,Dados!$A$2:$A$49,0))="","",INDEX(Dados!$K$2:$K$49,MATCH($A11&amp;"|"&amp;H$5,Dados!$A$2:$A$49,0))),"")</f>
        <v>1.6322131619610436E-2</v>
      </c>
      <c r="I11" s="10">
        <f>IFERROR(IF(INDEX(Dados!$K$2:$K$49,MATCH($A11&amp;"|"&amp;I$5,Dados!$A$2:$A$49,0))="","",INDEX(Dados!$K$2:$K$49,MATCH($A11&amp;"|"&amp;I$5,Dados!$A$2:$A$49,0))),"")</f>
        <v>1.6887523205112141E-2</v>
      </c>
      <c r="J11" s="10">
        <f>IFERROR(IF(INDEX(Dados!$K$2:$K$49,MATCH($A11&amp;"|"&amp;J$5,Dados!$A$2:$A$49,0))="","",INDEX(Dados!$K$2:$K$49,MATCH($A11&amp;"|"&amp;J$5,Dados!$A$2:$A$49,0))),"")</f>
        <v>1.7644842744915294E-2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9078.3228004299999</v>
      </c>
      <c r="D12" s="12">
        <f>IFERROR(INDEX(Dados!$J$2:$J$49,MATCH("Governo|"&amp;D$5,Dados!$A$2:$A$49,0))/1000000,"")</f>
        <v>9601.8469548700014</v>
      </c>
      <c r="E12" s="12">
        <f>IFERROR(INDEX(Dados!$J$2:$J$49,MATCH("Governo|"&amp;E$5,Dados!$A$2:$A$49,0))/1000000,"")</f>
        <v>10002.45924599</v>
      </c>
      <c r="F12" s="12">
        <f>IFERROR(INDEX(Dados!$J$2:$J$49,MATCH("Governo|"&amp;F$5,Dados!$A$2:$A$49,0))/1000000,"")</f>
        <v>10253.96356826</v>
      </c>
      <c r="G12" s="12">
        <f>IFERROR(INDEX(Dados!$J$2:$J$49,MATCH("Governo|"&amp;G$5,Dados!$A$2:$A$49,0))/1000000,"")</f>
        <v>10813.59879432</v>
      </c>
      <c r="H12" s="12">
        <f>IFERROR(INDEX(Dados!$J$2:$J$49,MATCH("Governo|"&amp;H$5,Dados!$A$2:$A$49,0))/1000000,"")</f>
        <v>11190.641912270001</v>
      </c>
      <c r="I12" s="12">
        <f>IFERROR(INDEX(Dados!$J$2:$J$49,MATCH("Governo|"&amp;I$5,Dados!$A$2:$A$49,0))/1000000,"")</f>
        <v>11403.929709579999</v>
      </c>
      <c r="J12" s="12">
        <f>IFERROR(INDEX(Dados!$J$2:$J$49,MATCH("Governo|"&amp;J$5,Dados!$A$2:$A$49,0))/1000000,"")</f>
        <v>11652.84186334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4316.2000952299995</v>
      </c>
      <c r="D16" s="13">
        <f>IFERROR(IF(INDEX(Dados!$I$2:$I$49,MATCH($A16&amp;"|"&amp;D$15,Dados!$A$2:$A$49,0))="","",INDEX(Dados!$I$2:$I$49,MATCH($A16&amp;"|"&amp;D$15,Dados!$A$2:$A$49,0))/1000000),"")</f>
        <v>4498.8600777799993</v>
      </c>
      <c r="E16" s="13">
        <f>IFERROR(IF(INDEX(Dados!$I$2:$I$49,MATCH($A16&amp;"|"&amp;E$15,Dados!$A$2:$A$49,0))="","",INDEX(Dados!$I$2:$I$49,MATCH($A16&amp;"|"&amp;E$15,Dados!$A$2:$A$49,0))/1000000),"")</f>
        <v>4678.3254513399997</v>
      </c>
      <c r="F16" s="13">
        <f>IFERROR(IF(INDEX(Dados!$I$2:$I$49,MATCH($A16&amp;"|"&amp;F$15,Dados!$A$2:$A$49,0))="","",INDEX(Dados!$I$2:$I$49,MATCH($A16&amp;"|"&amp;F$15,Dados!$A$2:$A$49,0))/1000000),"")</f>
        <v>4817.8653270200002</v>
      </c>
      <c r="G16" s="13">
        <f>IFERROR(IF(INDEX(Dados!$I$2:$I$49,MATCH($A16&amp;"|"&amp;G$15,Dados!$A$2:$A$49,0))="","",INDEX(Dados!$I$2:$I$49,MATCH($A16&amp;"|"&amp;G$15,Dados!$A$2:$A$49,0))/1000000),"")</f>
        <v>5038.4083772100003</v>
      </c>
      <c r="H16" s="13">
        <f>IFERROR(IF(INDEX(Dados!$I$2:$I$49,MATCH($A16&amp;"|"&amp;H$15,Dados!$A$2:$A$49,0))="","",INDEX(Dados!$I$2:$I$49,MATCH($A16&amp;"|"&amp;H$15,Dados!$A$2:$A$49,0))/1000000),"")</f>
        <v>5370.2607442399994</v>
      </c>
      <c r="I16" s="13">
        <f>IFERROR(IF(INDEX(Dados!$I$2:$I$49,MATCH($A16&amp;"|"&amp;I$15,Dados!$A$2:$A$49,0))="","",INDEX(Dados!$I$2:$I$49,MATCH($A16&amp;"|"&amp;I$15,Dados!$A$2:$A$49,0))/1000000),"")</f>
        <v>5483.6524881599998</v>
      </c>
      <c r="J16" s="13">
        <f>IFERROR(IF(INDEX(Dados!$I$2:$I$49,MATCH($A16&amp;"|"&amp;J$15,Dados!$A$2:$A$49,0))="","",INDEX(Dados!$I$2:$I$49,MATCH($A16&amp;"|"&amp;J$15,Dados!$A$2:$A$49,0))/1000000),"")</f>
        <v>5713.9232704700007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151.10853521999999</v>
      </c>
      <c r="D17" s="14">
        <f>IFERROR(IF(INDEX(Dados!$I$2:$I$49,MATCH($A17&amp;"|"&amp;D$15,Dados!$A$2:$A$49,0))="","",INDEX(Dados!$I$2:$I$49,MATCH($A17&amp;"|"&amp;D$15,Dados!$A$2:$A$49,0))/1000000),"")</f>
        <v>157.87055508</v>
      </c>
      <c r="E17" s="14">
        <f>IFERROR(IF(INDEX(Dados!$I$2:$I$49,MATCH($A17&amp;"|"&amp;E$15,Dados!$A$2:$A$49,0))="","",INDEX(Dados!$I$2:$I$49,MATCH($A17&amp;"|"&amp;E$15,Dados!$A$2:$A$49,0))/1000000),"")</f>
        <v>168.52948334000001</v>
      </c>
      <c r="F17" s="14">
        <f>IFERROR(IF(INDEX(Dados!$I$2:$I$49,MATCH($A17&amp;"|"&amp;F$15,Dados!$A$2:$A$49,0))="","",INDEX(Dados!$I$2:$I$49,MATCH($A17&amp;"|"&amp;F$15,Dados!$A$2:$A$49,0))/1000000),"")</f>
        <v>175.02615222999998</v>
      </c>
      <c r="G17" s="14">
        <f>IFERROR(IF(INDEX(Dados!$I$2:$I$49,MATCH($A17&amp;"|"&amp;G$15,Dados!$A$2:$A$49,0))="","",INDEX(Dados!$I$2:$I$49,MATCH($A17&amp;"|"&amp;G$15,Dados!$A$2:$A$49,0))/1000000),"")</f>
        <v>182.46630694999999</v>
      </c>
      <c r="H17" s="14">
        <f>IFERROR(IF(INDEX(Dados!$I$2:$I$49,MATCH($A17&amp;"|"&amp;H$15,Dados!$A$2:$A$49,0))="","",INDEX(Dados!$I$2:$I$49,MATCH($A17&amp;"|"&amp;H$15,Dados!$A$2:$A$49,0))/1000000),"")</f>
        <v>191.76447483999999</v>
      </c>
      <c r="I17" s="14">
        <f>IFERROR(IF(INDEX(Dados!$I$2:$I$49,MATCH($A17&amp;"|"&amp;I$15,Dados!$A$2:$A$49,0))="","",INDEX(Dados!$I$2:$I$49,MATCH($A17&amp;"|"&amp;I$15,Dados!$A$2:$A$49,0))/1000000),"")</f>
        <v>198.4651499</v>
      </c>
      <c r="J17" s="14">
        <f>IFERROR(IF(INDEX(Dados!$I$2:$I$49,MATCH($A17&amp;"|"&amp;J$15,Dados!$A$2:$A$49,0))="","",INDEX(Dados!$I$2:$I$49,MATCH($A17&amp;"|"&amp;J$15,Dados!$A$2:$A$49,0))/1000000),"")</f>
        <v>205.84313994999999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317.92803191000002</v>
      </c>
      <c r="D18" s="14">
        <f>IFERROR(IF(INDEX(Dados!$I$2:$I$49,MATCH($A18&amp;"|"&amp;D$15,Dados!$A$2:$A$49,0))="","",INDEX(Dados!$I$2:$I$49,MATCH($A18&amp;"|"&amp;D$15,Dados!$A$2:$A$49,0))/1000000),"")</f>
        <v>329.68473185000005</v>
      </c>
      <c r="E18" s="14">
        <f>IFERROR(IF(INDEX(Dados!$I$2:$I$49,MATCH($A18&amp;"|"&amp;E$15,Dados!$A$2:$A$49,0))="","",INDEX(Dados!$I$2:$I$49,MATCH($A18&amp;"|"&amp;E$15,Dados!$A$2:$A$49,0))/1000000),"")</f>
        <v>352.70476007000002</v>
      </c>
      <c r="F18" s="14">
        <f>IFERROR(IF(INDEX(Dados!$I$2:$I$49,MATCH($A18&amp;"|"&amp;F$15,Dados!$A$2:$A$49,0))="","",INDEX(Dados!$I$2:$I$49,MATCH($A18&amp;"|"&amp;F$15,Dados!$A$2:$A$49,0))/1000000),"")</f>
        <v>384.60867664999995</v>
      </c>
      <c r="G18" s="14">
        <f>IFERROR(IF(INDEX(Dados!$I$2:$I$49,MATCH($A18&amp;"|"&amp;G$15,Dados!$A$2:$A$49,0))="","",INDEX(Dados!$I$2:$I$49,MATCH($A18&amp;"|"&amp;G$15,Dados!$A$2:$A$49,0))/1000000),"")</f>
        <v>414.62385261999998</v>
      </c>
      <c r="H18" s="14">
        <f>IFERROR(IF(INDEX(Dados!$I$2:$I$49,MATCH($A18&amp;"|"&amp;H$15,Dados!$A$2:$A$49,0))="","",INDEX(Dados!$I$2:$I$49,MATCH($A18&amp;"|"&amp;H$15,Dados!$A$2:$A$49,0))/1000000),"")</f>
        <v>417.85033626999996</v>
      </c>
      <c r="I18" s="14">
        <f>IFERROR(IF(INDEX(Dados!$I$2:$I$49,MATCH($A18&amp;"|"&amp;I$15,Dados!$A$2:$A$49,0))="","",INDEX(Dados!$I$2:$I$49,MATCH($A18&amp;"|"&amp;I$15,Dados!$A$2:$A$49,0))/1000000),"")</f>
        <v>428.22746763999999</v>
      </c>
      <c r="J18" s="14">
        <f>IFERROR(IF(INDEX(Dados!$I$2:$I$49,MATCH($A18&amp;"|"&amp;J$15,Dados!$A$2:$A$49,0))="","",INDEX(Dados!$I$2:$I$49,MATCH($A18&amp;"|"&amp;J$15,Dados!$A$2:$A$49,0))/1000000),"")</f>
        <v>413.30372168999997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57.376772100000004</v>
      </c>
      <c r="D19" s="14">
        <f>IFERROR(IF(INDEX(Dados!$I$2:$I$49,MATCH($A19&amp;"|"&amp;D$15,Dados!$A$2:$A$49,0))="","",INDEX(Dados!$I$2:$I$49,MATCH($A19&amp;"|"&amp;D$15,Dados!$A$2:$A$49,0))/1000000),"")</f>
        <v>58.405041340000004</v>
      </c>
      <c r="E19" s="14">
        <f>IFERROR(IF(INDEX(Dados!$I$2:$I$49,MATCH($A19&amp;"|"&amp;E$15,Dados!$A$2:$A$49,0))="","",INDEX(Dados!$I$2:$I$49,MATCH($A19&amp;"|"&amp;E$15,Dados!$A$2:$A$49,0))/1000000),"")</f>
        <v>66.37578646</v>
      </c>
      <c r="F19" s="14">
        <f>IFERROR(IF(INDEX(Dados!$I$2:$I$49,MATCH($A19&amp;"|"&amp;F$15,Dados!$A$2:$A$49,0))="","",INDEX(Dados!$I$2:$I$49,MATCH($A19&amp;"|"&amp;F$15,Dados!$A$2:$A$49,0))/1000000),"")</f>
        <v>71.222846480000001</v>
      </c>
      <c r="G19" s="14">
        <f>IFERROR(IF(INDEX(Dados!$I$2:$I$49,MATCH($A19&amp;"|"&amp;G$15,Dados!$A$2:$A$49,0))="","",INDEX(Dados!$I$2:$I$49,MATCH($A19&amp;"|"&amp;G$15,Dados!$A$2:$A$49,0))/1000000),"")</f>
        <v>78.271141760000006</v>
      </c>
      <c r="H19" s="14">
        <f>IFERROR(IF(INDEX(Dados!$I$2:$I$49,MATCH($A19&amp;"|"&amp;H$15,Dados!$A$2:$A$49,0))="","",INDEX(Dados!$I$2:$I$49,MATCH($A19&amp;"|"&amp;H$15,Dados!$A$2:$A$49,0))/1000000),"")</f>
        <v>79.603743750000007</v>
      </c>
      <c r="I19" s="14">
        <f>IFERROR(IF(INDEX(Dados!$I$2:$I$49,MATCH($A19&amp;"|"&amp;I$15,Dados!$A$2:$A$49,0))="","",INDEX(Dados!$I$2:$I$49,MATCH($A19&amp;"|"&amp;I$15,Dados!$A$2:$A$49,0))/1000000),"")</f>
        <v>88.627419519999989</v>
      </c>
      <c r="J19" s="14">
        <f>IFERROR(IF(INDEX(Dados!$I$2:$I$49,MATCH($A19&amp;"|"&amp;J$15,Dados!$A$2:$A$49,0))="","",INDEX(Dados!$I$2:$I$49,MATCH($A19&amp;"|"&amp;J$15,Dados!$A$2:$A$49,0))/1000000),"")</f>
        <v>91.362032680000013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43.9226089</v>
      </c>
      <c r="D20" s="14">
        <f>IFERROR(IF(INDEX(Dados!$I$2:$I$49,MATCH($A20&amp;"|"&amp;D$15,Dados!$A$2:$A$49,0))="","",INDEX(Dados!$I$2:$I$49,MATCH($A20&amp;"|"&amp;D$15,Dados!$A$2:$A$49,0))/1000000),"")</f>
        <v>48.495847740000002</v>
      </c>
      <c r="E20" s="14">
        <f>IFERROR(IF(INDEX(Dados!$I$2:$I$49,MATCH($A20&amp;"|"&amp;E$15,Dados!$A$2:$A$49,0))="","",INDEX(Dados!$I$2:$I$49,MATCH($A20&amp;"|"&amp;E$15,Dados!$A$2:$A$49,0))/1000000),"")</f>
        <v>46.224739909999997</v>
      </c>
      <c r="F20" s="14">
        <f>IFERROR(IF(INDEX(Dados!$I$2:$I$49,MATCH($A20&amp;"|"&amp;F$15,Dados!$A$2:$A$49,0))="","",INDEX(Dados!$I$2:$I$49,MATCH($A20&amp;"|"&amp;F$15,Dados!$A$2:$A$49,0))/1000000),"")</f>
        <v>48.623885560000005</v>
      </c>
      <c r="G20" s="14">
        <f>IFERROR(IF(INDEX(Dados!$I$2:$I$49,MATCH($A20&amp;"|"&amp;G$15,Dados!$A$2:$A$49,0))="","",INDEX(Dados!$I$2:$I$49,MATCH($A20&amp;"|"&amp;G$15,Dados!$A$2:$A$49,0))/1000000),"")</f>
        <v>51.538271710000004</v>
      </c>
      <c r="H20" s="14">
        <f>IFERROR(IF(INDEX(Dados!$I$2:$I$49,MATCH($A20&amp;"|"&amp;H$15,Dados!$A$2:$A$49,0))="","",INDEX(Dados!$I$2:$I$49,MATCH($A20&amp;"|"&amp;H$15,Dados!$A$2:$A$49,0))/1000000),"")</f>
        <v>54.286754819999999</v>
      </c>
      <c r="I20" s="14">
        <f>IFERROR(IF(INDEX(Dados!$I$2:$I$49,MATCH($A20&amp;"|"&amp;I$15,Dados!$A$2:$A$49,0))="","",INDEX(Dados!$I$2:$I$49,MATCH($A20&amp;"|"&amp;I$15,Dados!$A$2:$A$49,0))/1000000),"")</f>
        <v>57.33399008</v>
      </c>
      <c r="J20" s="14">
        <f>IFERROR(IF(INDEX(Dados!$I$2:$I$49,MATCH($A20&amp;"|"&amp;J$15,Dados!$A$2:$A$49,0))="","",INDEX(Dados!$I$2:$I$49,MATCH($A20&amp;"|"&amp;J$15,Dados!$A$2:$A$49,0))/1000000),"")</f>
        <v>59.995671270000003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138.22033827000001</v>
      </c>
      <c r="D21" s="14">
        <f>IFERROR(IF(INDEX(Dados!$I$2:$I$49,MATCH($A21&amp;"|"&amp;D$15,Dados!$A$2:$A$49,0))="","",INDEX(Dados!$I$2:$I$49,MATCH($A21&amp;"|"&amp;D$15,Dados!$A$2:$A$49,0))/1000000),"")</f>
        <v>151.65442131999998</v>
      </c>
      <c r="E21" s="14">
        <f>IFERROR(IF(INDEX(Dados!$I$2:$I$49,MATCH($A21&amp;"|"&amp;E$15,Dados!$A$2:$A$49,0))="","",INDEX(Dados!$I$2:$I$49,MATCH($A21&amp;"|"&amp;E$15,Dados!$A$2:$A$49,0))/1000000),"")</f>
        <v>160.84400859000002</v>
      </c>
      <c r="F21" s="14">
        <f>IFERROR(IF(INDEX(Dados!$I$2:$I$49,MATCH($A21&amp;"|"&amp;F$15,Dados!$A$2:$A$49,0))="","",INDEX(Dados!$I$2:$I$49,MATCH($A21&amp;"|"&amp;F$15,Dados!$A$2:$A$49,0))/1000000),"")</f>
        <v>167.14512036000002</v>
      </c>
      <c r="G21" s="14">
        <f>IFERROR(IF(INDEX(Dados!$I$2:$I$49,MATCH($A21&amp;"|"&amp;G$15,Dados!$A$2:$A$49,0))="","",INDEX(Dados!$I$2:$I$49,MATCH($A21&amp;"|"&amp;G$15,Dados!$A$2:$A$49,0))/1000000),"")</f>
        <v>174.92742454</v>
      </c>
      <c r="H21" s="14">
        <f>IFERROR(IF(INDEX(Dados!$I$2:$I$49,MATCH($A21&amp;"|"&amp;H$15,Dados!$A$2:$A$49,0))="","",INDEX(Dados!$I$2:$I$49,MATCH($A21&amp;"|"&amp;H$15,Dados!$A$2:$A$49,0))/1000000),"")</f>
        <v>182.6551302</v>
      </c>
      <c r="I21" s="14">
        <f>IFERROR(IF(INDEX(Dados!$I$2:$I$49,MATCH($A21&amp;"|"&amp;I$15,Dados!$A$2:$A$49,0))="","",INDEX(Dados!$I$2:$I$49,MATCH($A21&amp;"|"&amp;I$15,Dados!$A$2:$A$49,0))/1000000),"")</f>
        <v>192.58412759999999</v>
      </c>
      <c r="J21" s="14">
        <f>IFERROR(IF(INDEX(Dados!$I$2:$I$49,MATCH($A21&amp;"|"&amp;J$15,Dados!$A$2:$A$49,0))="","",INDEX(Dados!$I$2:$I$49,MATCH($A21&amp;"|"&amp;J$15,Dados!$A$2:$A$49,0))/1000000),"")</f>
        <v>205.61256221000002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4316200095.2299995</v>
      </c>
      <c r="J2" s="15">
        <v>9078322800.4300003</v>
      </c>
      <c r="K2" s="10">
        <f t="shared" ref="K2:K49" si="1">IF(OR(I2="",J2="",J2=0),"",I2/J2)</f>
        <v>0.47544025368051024</v>
      </c>
      <c r="L2" s="16">
        <v>0.47539999999999999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4448378172.21</v>
      </c>
      <c r="R2" s="15">
        <v>4225959263.5999999</v>
      </c>
      <c r="S2" s="15">
        <v>4003540354.9899998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prudencial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4498860077.7799997</v>
      </c>
      <c r="J3" s="15">
        <v>9601846954.8700008</v>
      </c>
      <c r="K3" s="10">
        <f t="shared" si="1"/>
        <v>0.46854111494645351</v>
      </c>
      <c r="L3" s="16">
        <v>0.46850000000000003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4704905007.8900003</v>
      </c>
      <c r="R3" s="15">
        <v>4469659757.5</v>
      </c>
      <c r="S3" s="15">
        <v>4234414507.0999999</v>
      </c>
      <c r="T3" s="9" t="str">
        <f t="shared" si="3"/>
        <v>Acima do limite prudencial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4678325451.3400002</v>
      </c>
      <c r="J4" s="15">
        <v>10002459245.99</v>
      </c>
      <c r="K4" s="10">
        <f t="shared" si="1"/>
        <v>0.46771752188998394</v>
      </c>
      <c r="L4" s="16">
        <v>0.4677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4901205030.54</v>
      </c>
      <c r="R4" s="15">
        <v>4656144779.0100002</v>
      </c>
      <c r="S4" s="15">
        <v>4411084527.4899998</v>
      </c>
      <c r="T4" s="9" t="str">
        <f t="shared" si="3"/>
        <v>Acima do limite prudencial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4817865327.0200005</v>
      </c>
      <c r="J5" s="15">
        <v>10253963568.26</v>
      </c>
      <c r="K5" s="10">
        <f t="shared" si="1"/>
        <v>0.46985395402936331</v>
      </c>
      <c r="L5" s="16">
        <v>0.46989999999999998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5024442148.4499998</v>
      </c>
      <c r="R5" s="15">
        <v>4773220041.0299997</v>
      </c>
      <c r="S5" s="15">
        <v>4521997933.6099997</v>
      </c>
      <c r="T5" s="9" t="str">
        <f t="shared" si="3"/>
        <v>Acima do limite prudencial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5038408377.21</v>
      </c>
      <c r="J6" s="15">
        <v>10813598794.32</v>
      </c>
      <c r="K6" s="10">
        <f t="shared" si="1"/>
        <v>0.46593261624025645</v>
      </c>
      <c r="L6" s="16">
        <v>0.46589999999999998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5298663409.21</v>
      </c>
      <c r="R6" s="15">
        <v>5033730238.75</v>
      </c>
      <c r="S6" s="15">
        <v>4768797068.29</v>
      </c>
      <c r="T6" s="9" t="str">
        <f t="shared" si="3"/>
        <v>Acima do limite prudencial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5370260744.2399998</v>
      </c>
      <c r="J7" s="15">
        <v>11190641912.27</v>
      </c>
      <c r="K7" s="10">
        <f t="shared" si="1"/>
        <v>0.47988853421819949</v>
      </c>
      <c r="L7" s="16">
        <v>0.47989999999999999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5483414537.0100002</v>
      </c>
      <c r="R7" s="15">
        <v>5209243810.1599998</v>
      </c>
      <c r="S7" s="15">
        <v>4935073083.3100004</v>
      </c>
      <c r="T7" s="9" t="str">
        <f t="shared" si="3"/>
        <v>Acima do limite prudencial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5483652488.1599998</v>
      </c>
      <c r="J8" s="15">
        <v>11403929709.58</v>
      </c>
      <c r="K8" s="10">
        <f t="shared" si="1"/>
        <v>0.48085639142035358</v>
      </c>
      <c r="L8" s="16">
        <v>0.48089999999999999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5587925557.6899996</v>
      </c>
      <c r="R8" s="15">
        <v>5308529279.8100004</v>
      </c>
      <c r="S8" s="15">
        <v>5029133001.9200001</v>
      </c>
      <c r="T8" s="9" t="str">
        <f t="shared" si="3"/>
        <v>Acima do limite prudencial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5713923270.4700003</v>
      </c>
      <c r="J9" s="15">
        <v>11652841863.34</v>
      </c>
      <c r="K9" s="10">
        <f t="shared" si="1"/>
        <v>0.49034590338397033</v>
      </c>
      <c r="L9" s="16">
        <v>0.49030000000000001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5709892513.04</v>
      </c>
      <c r="R9" s="15">
        <v>5424397887.3900003</v>
      </c>
      <c r="S9" s="15">
        <v>5138903261.7399998</v>
      </c>
      <c r="T9" s="9" t="str">
        <f t="shared" si="3"/>
        <v>Acima do limite máximo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151108535.22</v>
      </c>
      <c r="J10" s="15">
        <v>9078322800.4300003</v>
      </c>
      <c r="K10" s="10">
        <f t="shared" si="1"/>
        <v>1.6644983720213457E-2</v>
      </c>
      <c r="L10" s="16">
        <v>1.66E-2</v>
      </c>
      <c r="M10" s="9" t="str">
        <f t="shared" si="2"/>
        <v>Sim</v>
      </c>
      <c r="N10" s="16">
        <v>0.02</v>
      </c>
      <c r="O10" s="16">
        <v>1.9E-2</v>
      </c>
      <c r="P10" s="16">
        <v>1.7999999999999999E-2</v>
      </c>
      <c r="Q10" s="15">
        <v>181566456.00999999</v>
      </c>
      <c r="R10" s="15">
        <v>172488133.21000001</v>
      </c>
      <c r="S10" s="15">
        <v>163409810.41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157870555.08000001</v>
      </c>
      <c r="J11" s="15">
        <v>9601846954.8700008</v>
      </c>
      <c r="K11" s="10">
        <f t="shared" si="1"/>
        <v>1.6441686252865028E-2</v>
      </c>
      <c r="L11" s="16">
        <v>1.6400000000000001E-2</v>
      </c>
      <c r="M11" s="9" t="str">
        <f t="shared" si="2"/>
        <v>Sim</v>
      </c>
      <c r="N11" s="16">
        <v>0.02</v>
      </c>
      <c r="O11" s="16">
        <v>1.9E-2</v>
      </c>
      <c r="P11" s="16">
        <v>1.7999999999999999E-2</v>
      </c>
      <c r="Q11" s="15">
        <v>192036939.09999999</v>
      </c>
      <c r="R11" s="15">
        <v>182435092.15000001</v>
      </c>
      <c r="S11" s="15">
        <v>172833245.19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168529483.34</v>
      </c>
      <c r="J12" s="15">
        <v>10002459245.99</v>
      </c>
      <c r="K12" s="10">
        <f t="shared" si="1"/>
        <v>1.6848804798436316E-2</v>
      </c>
      <c r="L12" s="16">
        <v>1.6799999999999999E-2</v>
      </c>
      <c r="M12" s="9" t="str">
        <f t="shared" si="2"/>
        <v>Sim</v>
      </c>
      <c r="N12" s="16">
        <v>0.02</v>
      </c>
      <c r="O12" s="16">
        <v>1.9E-2</v>
      </c>
      <c r="P12" s="16">
        <v>1.7999999999999999E-2</v>
      </c>
      <c r="Q12" s="15">
        <v>200049184.91999999</v>
      </c>
      <c r="R12" s="15">
        <v>190046725.66999999</v>
      </c>
      <c r="S12" s="15">
        <v>180044266.43000001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175026152.22999999</v>
      </c>
      <c r="J13" s="15">
        <v>10253963568.26</v>
      </c>
      <c r="K13" s="10">
        <f t="shared" si="1"/>
        <v>1.7069121717164463E-2</v>
      </c>
      <c r="L13" s="16">
        <v>1.7100000000000001E-2</v>
      </c>
      <c r="M13" s="9" t="str">
        <f t="shared" si="2"/>
        <v>Sim</v>
      </c>
      <c r="N13" s="16">
        <v>0.02</v>
      </c>
      <c r="O13" s="16">
        <v>1.9E-2</v>
      </c>
      <c r="P13" s="16">
        <v>1.7999999999999999E-2</v>
      </c>
      <c r="Q13" s="15">
        <v>205079271.37</v>
      </c>
      <c r="R13" s="15">
        <v>194825307.80000001</v>
      </c>
      <c r="S13" s="15">
        <v>184571344.22999999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182466306.94999999</v>
      </c>
      <c r="J14" s="15">
        <v>10813598794.32</v>
      </c>
      <c r="K14" s="10">
        <f t="shared" si="1"/>
        <v>1.6873781839015802E-2</v>
      </c>
      <c r="L14" s="16">
        <v>1.6899999999999998E-2</v>
      </c>
      <c r="M14" s="9" t="str">
        <f t="shared" si="2"/>
        <v>Sim</v>
      </c>
      <c r="N14" s="16">
        <v>0.02</v>
      </c>
      <c r="O14" s="16">
        <v>1.9E-2</v>
      </c>
      <c r="P14" s="16">
        <v>1.7999999999999999E-2</v>
      </c>
      <c r="Q14" s="15">
        <v>216271975.88999999</v>
      </c>
      <c r="R14" s="15">
        <v>205458377.09999999</v>
      </c>
      <c r="S14" s="15">
        <v>194644778.30000001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191764474.84</v>
      </c>
      <c r="J15" s="15">
        <v>11190641912.27</v>
      </c>
      <c r="K15" s="10">
        <f t="shared" si="1"/>
        <v>1.7136146107019964E-2</v>
      </c>
      <c r="L15" s="16">
        <v>1.7100000000000001E-2</v>
      </c>
      <c r="M15" s="9" t="str">
        <f t="shared" si="2"/>
        <v>Sim</v>
      </c>
      <c r="N15" s="16">
        <v>0.02</v>
      </c>
      <c r="O15" s="16">
        <v>1.9E-2</v>
      </c>
      <c r="P15" s="16">
        <v>1.7999999999999999E-2</v>
      </c>
      <c r="Q15" s="15">
        <v>223812838.25</v>
      </c>
      <c r="R15" s="15">
        <v>212622196.34</v>
      </c>
      <c r="S15" s="15">
        <v>201431554.43000001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198465149.90000001</v>
      </c>
      <c r="J16" s="15">
        <v>11403929709.57</v>
      </c>
      <c r="K16" s="10">
        <f t="shared" si="1"/>
        <v>1.7403224586122375E-2</v>
      </c>
      <c r="L16" s="16">
        <v>1.7399999999999999E-2</v>
      </c>
      <c r="M16" s="9" t="str">
        <f t="shared" si="2"/>
        <v>Sim</v>
      </c>
      <c r="N16" s="16">
        <v>0.02</v>
      </c>
      <c r="O16" s="16">
        <v>1.9E-2</v>
      </c>
      <c r="P16" s="16">
        <v>1.7999999999999999E-2</v>
      </c>
      <c r="Q16" s="15">
        <v>228078594.19</v>
      </c>
      <c r="R16" s="15">
        <v>216674664.47999999</v>
      </c>
      <c r="S16" s="15">
        <v>205270734.77000001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205843139.94999999</v>
      </c>
      <c r="J17" s="15">
        <v>11652841863.34</v>
      </c>
      <c r="K17" s="10">
        <f t="shared" si="1"/>
        <v>1.7664629998763247E-2</v>
      </c>
      <c r="L17" s="16">
        <v>1.77E-2</v>
      </c>
      <c r="M17" s="9" t="str">
        <f t="shared" si="2"/>
        <v>Sim</v>
      </c>
      <c r="N17" s="16">
        <v>0.02</v>
      </c>
      <c r="O17" s="16">
        <v>1.9E-2</v>
      </c>
      <c r="P17" s="16">
        <v>1.7999999999999999E-2</v>
      </c>
      <c r="Q17" s="15">
        <v>233056837.27000001</v>
      </c>
      <c r="R17" s="15">
        <v>221403995.41</v>
      </c>
      <c r="S17" s="15">
        <v>209751153.53999999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317928031.91000003</v>
      </c>
      <c r="J18" s="15">
        <v>9078322800.4300003</v>
      </c>
      <c r="K18" s="10">
        <f t="shared" si="1"/>
        <v>3.5020569206345158E-2</v>
      </c>
      <c r="L18" s="16">
        <v>3.5000000000000003E-2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544699368.02999997</v>
      </c>
      <c r="R18" s="15">
        <v>517464399.63</v>
      </c>
      <c r="S18" s="15">
        <v>490229431.23000002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329684731.85000002</v>
      </c>
      <c r="J19" s="15">
        <v>9601846954.8700008</v>
      </c>
      <c r="K19" s="10">
        <f t="shared" si="1"/>
        <v>3.4335553711651888E-2</v>
      </c>
      <c r="L19" s="16">
        <v>3.4299999999999997E-2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576110817.28999996</v>
      </c>
      <c r="R19" s="15">
        <v>547305276.42999995</v>
      </c>
      <c r="S19" s="15">
        <v>518499735.56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352704760.06999999</v>
      </c>
      <c r="J20" s="15">
        <v>10002459245.99</v>
      </c>
      <c r="K20" s="10">
        <f t="shared" si="1"/>
        <v>3.526180426192687E-2</v>
      </c>
      <c r="L20" s="16">
        <v>3.5299999999999998E-2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600147554.75999999</v>
      </c>
      <c r="R20" s="15">
        <v>570140177.01999998</v>
      </c>
      <c r="S20" s="15">
        <v>540132799.27999997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384608676.64999998</v>
      </c>
      <c r="J21" s="15">
        <v>10253963568.26</v>
      </c>
      <c r="K21" s="10">
        <f t="shared" si="1"/>
        <v>3.7508293655393238E-2</v>
      </c>
      <c r="L21" s="16">
        <v>3.7499999999999999E-2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615237814.10000002</v>
      </c>
      <c r="R21" s="15">
        <v>584475923.39999998</v>
      </c>
      <c r="S21" s="15">
        <v>553714032.69000006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414623852.62</v>
      </c>
      <c r="J22" s="15">
        <v>10813598794.32</v>
      </c>
      <c r="K22" s="10">
        <f t="shared" si="1"/>
        <v>3.8342818196453451E-2</v>
      </c>
      <c r="L22" s="16">
        <v>3.8300000000000001E-2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648815927.65999997</v>
      </c>
      <c r="R22" s="15">
        <v>616375131.27999997</v>
      </c>
      <c r="S22" s="15">
        <v>583934334.88999999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417850336.26999998</v>
      </c>
      <c r="J23" s="15">
        <v>11190641912.27</v>
      </c>
      <c r="K23" s="10">
        <f t="shared" si="1"/>
        <v>3.7339264319756954E-2</v>
      </c>
      <c r="L23" s="16">
        <v>3.73E-2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671438514.74000001</v>
      </c>
      <c r="R23" s="15">
        <v>637866589</v>
      </c>
      <c r="S23" s="15">
        <v>604294663.26999998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428227467.63999999</v>
      </c>
      <c r="J24" s="15">
        <v>11403929709.58</v>
      </c>
      <c r="K24" s="10">
        <f t="shared" si="1"/>
        <v>3.7550868739594442E-2</v>
      </c>
      <c r="L24" s="16">
        <v>3.7599999999999988E-2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684235782.57000005</v>
      </c>
      <c r="R24" s="15">
        <v>650023993.44000006</v>
      </c>
      <c r="S24" s="15">
        <v>615812204.30999994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413303721.69</v>
      </c>
      <c r="J25" s="15">
        <v>11652841863.34</v>
      </c>
      <c r="K25" s="10">
        <f t="shared" si="1"/>
        <v>3.5468062343681085E-2</v>
      </c>
      <c r="L25" s="16">
        <v>3.5499999999999997E-2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699170511.79999995</v>
      </c>
      <c r="R25" s="15">
        <v>664211986.21000004</v>
      </c>
      <c r="S25" s="15">
        <v>629253460.62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57376772.100000001</v>
      </c>
      <c r="J26" s="15">
        <v>9078322800.4300003</v>
      </c>
      <c r="K26" s="10">
        <f t="shared" si="1"/>
        <v>6.3201951903805748E-3</v>
      </c>
      <c r="L26" s="16">
        <v>6.3E-3</v>
      </c>
      <c r="M26" s="9" t="str">
        <f t="shared" si="2"/>
        <v>Sim</v>
      </c>
      <c r="N26" s="16">
        <v>0.01</v>
      </c>
      <c r="O26" s="16">
        <v>9.4999999999999998E-3</v>
      </c>
      <c r="P26" s="16">
        <v>9.0000000000000011E-3</v>
      </c>
      <c r="Q26" s="15">
        <v>90783228</v>
      </c>
      <c r="R26" s="15">
        <v>86244066.599999994</v>
      </c>
      <c r="S26" s="15">
        <v>81704905.200000003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58405041.340000004</v>
      </c>
      <c r="J27" s="15">
        <v>9601846954.8700008</v>
      </c>
      <c r="K27" s="10">
        <f t="shared" si="1"/>
        <v>6.0826882176430973E-3</v>
      </c>
      <c r="L27" s="16">
        <v>6.1000000000000004E-3</v>
      </c>
      <c r="M27" s="9" t="str">
        <f t="shared" si="2"/>
        <v>Sim</v>
      </c>
      <c r="N27" s="16">
        <v>0.01</v>
      </c>
      <c r="O27" s="16">
        <v>9.4999999999999998E-3</v>
      </c>
      <c r="P27" s="16">
        <v>9.0000000000000011E-3</v>
      </c>
      <c r="Q27" s="15">
        <v>96018469.549999997</v>
      </c>
      <c r="R27" s="15">
        <v>91217546.069999993</v>
      </c>
      <c r="S27" s="15">
        <v>86416622.599999994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66375786.460000001</v>
      </c>
      <c r="J28" s="15">
        <v>10002459245.99</v>
      </c>
      <c r="K28" s="10">
        <f t="shared" si="1"/>
        <v>6.6359467034679646E-3</v>
      </c>
      <c r="L28" s="16">
        <v>6.6E-3</v>
      </c>
      <c r="M28" s="9" t="str">
        <f t="shared" si="2"/>
        <v>Sim</v>
      </c>
      <c r="N28" s="16">
        <v>0.01</v>
      </c>
      <c r="O28" s="16">
        <v>9.4999999999999998E-3</v>
      </c>
      <c r="P28" s="16">
        <v>9.0000000000000011E-3</v>
      </c>
      <c r="Q28" s="15">
        <v>100024592.45999999</v>
      </c>
      <c r="R28" s="15">
        <v>95023362.840000004</v>
      </c>
      <c r="S28" s="15">
        <v>90022133.209999993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71222846.480000004</v>
      </c>
      <c r="J29" s="15">
        <v>10253963568.26</v>
      </c>
      <c r="K29" s="10">
        <f t="shared" si="1"/>
        <v>6.9458844870935932E-3</v>
      </c>
      <c r="L29" s="16">
        <v>6.8999999999999999E-3</v>
      </c>
      <c r="M29" s="9" t="str">
        <f t="shared" si="2"/>
        <v>Sim</v>
      </c>
      <c r="N29" s="16">
        <v>0.01</v>
      </c>
      <c r="O29" s="16">
        <v>9.4999999999999998E-3</v>
      </c>
      <c r="P29" s="16">
        <v>9.0000000000000011E-3</v>
      </c>
      <c r="Q29" s="15">
        <v>102539635.68000001</v>
      </c>
      <c r="R29" s="15">
        <v>97412653.900000006</v>
      </c>
      <c r="S29" s="15">
        <v>92285672.109999999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78271141.760000005</v>
      </c>
      <c r="J30" s="15">
        <v>10813598794.32</v>
      </c>
      <c r="K30" s="10">
        <f t="shared" si="1"/>
        <v>7.2382139608428101E-3</v>
      </c>
      <c r="L30" s="16">
        <v>7.1999999999999998E-3</v>
      </c>
      <c r="M30" s="9" t="str">
        <f t="shared" si="2"/>
        <v>Sim</v>
      </c>
      <c r="N30" s="16">
        <v>0.01</v>
      </c>
      <c r="O30" s="16">
        <v>9.4999999999999998E-3</v>
      </c>
      <c r="P30" s="16">
        <v>9.0000000000000011E-3</v>
      </c>
      <c r="Q30" s="15">
        <v>108135987.94</v>
      </c>
      <c r="R30" s="15">
        <v>102729188.54000001</v>
      </c>
      <c r="S30" s="15">
        <v>97322389.150000006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79603743.75</v>
      </c>
      <c r="J31" s="15">
        <v>11190641912.27</v>
      </c>
      <c r="K31" s="10">
        <f t="shared" si="1"/>
        <v>7.1134206932953799E-3</v>
      </c>
      <c r="L31" s="16">
        <v>7.1000000000000004E-3</v>
      </c>
      <c r="M31" s="9" t="str">
        <f t="shared" si="2"/>
        <v>Sim</v>
      </c>
      <c r="N31" s="16">
        <v>0.01</v>
      </c>
      <c r="O31" s="16">
        <v>9.4999999999999998E-3</v>
      </c>
      <c r="P31" s="16">
        <v>9.0000000000000011E-3</v>
      </c>
      <c r="Q31" s="15">
        <v>111906419.12</v>
      </c>
      <c r="R31" s="15">
        <v>106311098.16</v>
      </c>
      <c r="S31" s="15">
        <v>100715777.20999999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88627419.519999996</v>
      </c>
      <c r="J32" s="15">
        <v>11403929709.58</v>
      </c>
      <c r="K32" s="10">
        <f t="shared" si="1"/>
        <v>7.7716560674297675E-3</v>
      </c>
      <c r="L32" s="16">
        <v>7.8000000000000014E-3</v>
      </c>
      <c r="M32" s="9" t="str">
        <f t="shared" si="2"/>
        <v>Sim</v>
      </c>
      <c r="N32" s="16">
        <v>0.01</v>
      </c>
      <c r="O32" s="16">
        <v>9.4999999999999998E-3</v>
      </c>
      <c r="P32" s="16">
        <v>9.0000000000000011E-3</v>
      </c>
      <c r="Q32" s="15">
        <v>114039297.09999999</v>
      </c>
      <c r="R32" s="15">
        <v>108337332.25</v>
      </c>
      <c r="S32" s="15">
        <v>102635367.39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91362032.680000007</v>
      </c>
      <c r="J33" s="15">
        <v>11652841863.34</v>
      </c>
      <c r="K33" s="10">
        <f t="shared" si="1"/>
        <v>7.840322021997588E-3</v>
      </c>
      <c r="L33" s="16">
        <v>7.8000000000000014E-3</v>
      </c>
      <c r="M33" s="9" t="str">
        <f t="shared" si="2"/>
        <v>Sim</v>
      </c>
      <c r="N33" s="16">
        <v>0.01</v>
      </c>
      <c r="O33" s="16">
        <v>9.4999999999999998E-3</v>
      </c>
      <c r="P33" s="16">
        <v>9.0000000000000011E-3</v>
      </c>
      <c r="Q33" s="15">
        <v>116528418.63</v>
      </c>
      <c r="R33" s="15">
        <v>110701997.7</v>
      </c>
      <c r="S33" s="15">
        <v>104875576.77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43922608.899999999</v>
      </c>
      <c r="J34" s="15">
        <v>9078322800.4300003</v>
      </c>
      <c r="K34" s="10">
        <f t="shared" si="1"/>
        <v>4.8381854077627177E-3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48495847.740000002</v>
      </c>
      <c r="J35" s="15">
        <v>9601846954.8700008</v>
      </c>
      <c r="K35" s="10">
        <f t="shared" si="1"/>
        <v>5.0506791003790356E-3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46224739.909999996</v>
      </c>
      <c r="J36" s="15">
        <v>10002459245.99</v>
      </c>
      <c r="K36" s="10">
        <f t="shared" si="1"/>
        <v>4.6213374904308215E-3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48623885.560000002</v>
      </c>
      <c r="J37" s="15">
        <v>10253963568.26</v>
      </c>
      <c r="K37" s="10">
        <f t="shared" si="1"/>
        <v>4.7419600466018638E-3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51538271.710000001</v>
      </c>
      <c r="J38" s="15">
        <v>10813598794.32</v>
      </c>
      <c r="K38" s="10">
        <f t="shared" si="1"/>
        <v>4.7660610209684521E-3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54286754.82</v>
      </c>
      <c r="J39" s="15">
        <v>11190641912.27</v>
      </c>
      <c r="K39" s="10">
        <f t="shared" si="1"/>
        <v>4.8510849731039276E-3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57333990.079999998</v>
      </c>
      <c r="J40" s="15">
        <v>11403929709.58</v>
      </c>
      <c r="K40" s="10">
        <f t="shared" si="1"/>
        <v>5.0275643168719228E-3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59995671.270000003</v>
      </c>
      <c r="J41" s="15">
        <v>11652841863.34</v>
      </c>
      <c r="K41" s="10">
        <f t="shared" si="1"/>
        <v>5.1485870977745953E-3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138220338.27000001</v>
      </c>
      <c r="J42" s="15">
        <v>9078322800.4300003</v>
      </c>
      <c r="K42" s="10">
        <f t="shared" si="1"/>
        <v>1.5225316537924067E-2</v>
      </c>
      <c r="L42" s="16">
        <v>1.52E-2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181566456.00999999</v>
      </c>
      <c r="R42" s="15">
        <v>172488133.21000001</v>
      </c>
      <c r="S42" s="15">
        <v>163409810.41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151654421.31999999</v>
      </c>
      <c r="J43" s="15">
        <v>9601846954.8700008</v>
      </c>
      <c r="K43" s="10">
        <f t="shared" si="1"/>
        <v>1.5794296871507803E-2</v>
      </c>
      <c r="L43" s="16">
        <v>1.5800000000000002E-2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192036939.09999999</v>
      </c>
      <c r="R43" s="15">
        <v>182435092.15000001</v>
      </c>
      <c r="S43" s="15">
        <v>172833245.19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160844008.59</v>
      </c>
      <c r="J44" s="15">
        <v>10002459245.99</v>
      </c>
      <c r="K44" s="10">
        <f t="shared" si="1"/>
        <v>1.6080446281696432E-2</v>
      </c>
      <c r="L44" s="16">
        <v>1.61E-2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200049184.91999999</v>
      </c>
      <c r="R44" s="15">
        <v>190046725.66999999</v>
      </c>
      <c r="S44" s="15">
        <v>180044266.43000001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167145120.36000001</v>
      </c>
      <c r="J45" s="15">
        <v>10253963568.26</v>
      </c>
      <c r="K45" s="10">
        <f t="shared" si="1"/>
        <v>1.6300537762527174E-2</v>
      </c>
      <c r="L45" s="16">
        <v>1.6299999999999999E-2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205079271.37</v>
      </c>
      <c r="R45" s="15">
        <v>194825307.80000001</v>
      </c>
      <c r="S45" s="15">
        <v>184571344.22999999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174927424.53999999</v>
      </c>
      <c r="J46" s="15">
        <v>10813598794.32</v>
      </c>
      <c r="K46" s="10">
        <f t="shared" si="1"/>
        <v>1.6176615007381556E-2</v>
      </c>
      <c r="L46" s="16">
        <v>1.6199999999999999E-2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216271975.88999999</v>
      </c>
      <c r="R46" s="15">
        <v>205458377.09999999</v>
      </c>
      <c r="S46" s="15">
        <v>194644778.30000001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182655130.19999999</v>
      </c>
      <c r="J47" s="15">
        <v>11190641912.27</v>
      </c>
      <c r="K47" s="10">
        <f t="shared" si="1"/>
        <v>1.6322131619610436E-2</v>
      </c>
      <c r="L47" s="16">
        <v>1.6299999999999999E-2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223812838.25</v>
      </c>
      <c r="R47" s="15">
        <v>212622196.34</v>
      </c>
      <c r="S47" s="15">
        <v>201431554.43000001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192584127.59999999</v>
      </c>
      <c r="J48" s="15">
        <v>11403929709.58</v>
      </c>
      <c r="K48" s="10">
        <f t="shared" si="1"/>
        <v>1.6887523205112141E-2</v>
      </c>
      <c r="L48" s="16">
        <v>1.6899999999999998E-2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228078594.19</v>
      </c>
      <c r="R48" s="15">
        <v>216674664.47999999</v>
      </c>
      <c r="S48" s="15">
        <v>205270734.77000001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205612562.21000001</v>
      </c>
      <c r="J49" s="15">
        <v>11652841863.34</v>
      </c>
      <c r="K49" s="10">
        <f t="shared" si="1"/>
        <v>1.7644842744915294E-2</v>
      </c>
      <c r="L49" s="16">
        <v>1.7600000000000001E-2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233056837.27000001</v>
      </c>
      <c r="R49" s="15">
        <v>221403995.41</v>
      </c>
      <c r="S49" s="15">
        <v>209751153.53999999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2026-10-15T09:56:19Z</dcterms:created>
  <dcterms:modified xsi:type="dcterms:W3CDTF">2026-10-15T09:56:44Z</dcterms:modified>
</cp:coreProperties>
</file>