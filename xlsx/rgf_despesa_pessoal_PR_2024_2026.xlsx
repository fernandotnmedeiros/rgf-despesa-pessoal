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1994c2887a2fd0/Documents/Claude/SICONVI/publicacao/rgf-despesa-pessoal/xlsx/"/>
    </mc:Choice>
  </mc:AlternateContent>
  <xr:revisionPtr revIDLastSave="0" documentId="11_0A04D2778631B4AC45F4BC72A4C8551F57000B57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sumo" sheetId="1" r:id="rId1"/>
    <sheet name="Dados" sheetId="2" r:id="rId2"/>
    <sheet name="Notas" sheetId="3" r:id="rId3"/>
  </sheets>
  <definedNames>
    <definedName name="_xlnm._FilterDatabase" localSheetId="1" hidden="1">Dados!$A$1:$U$49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2" l="1"/>
  <c r="A49" i="2"/>
  <c r="K48" i="2"/>
  <c r="A48" i="2"/>
  <c r="K47" i="2"/>
  <c r="A47" i="2"/>
  <c r="K46" i="2"/>
  <c r="A46" i="2"/>
  <c r="K45" i="2"/>
  <c r="A45" i="2"/>
  <c r="K44" i="2"/>
  <c r="A44" i="2"/>
  <c r="K43" i="2"/>
  <c r="A43" i="2"/>
  <c r="K42" i="2"/>
  <c r="A42" i="2"/>
  <c r="M41" i="2"/>
  <c r="K41" i="2"/>
  <c r="T41" i="2" s="1"/>
  <c r="A41" i="2"/>
  <c r="M40" i="2"/>
  <c r="K40" i="2"/>
  <c r="T40" i="2" s="1"/>
  <c r="A40" i="2"/>
  <c r="M39" i="2"/>
  <c r="K39" i="2"/>
  <c r="T39" i="2" s="1"/>
  <c r="A39" i="2"/>
  <c r="M38" i="2"/>
  <c r="K38" i="2"/>
  <c r="T38" i="2" s="1"/>
  <c r="A38" i="2"/>
  <c r="M37" i="2"/>
  <c r="K37" i="2"/>
  <c r="T37" i="2" s="1"/>
  <c r="A37" i="2"/>
  <c r="M36" i="2"/>
  <c r="K36" i="2"/>
  <c r="T36" i="2" s="1"/>
  <c r="A36" i="2"/>
  <c r="M35" i="2"/>
  <c r="K35" i="2"/>
  <c r="T35" i="2" s="1"/>
  <c r="A35" i="2"/>
  <c r="M34" i="2"/>
  <c r="K34" i="2"/>
  <c r="T34" i="2" s="1"/>
  <c r="A34" i="2"/>
  <c r="K33" i="2"/>
  <c r="A33" i="2"/>
  <c r="K32" i="2"/>
  <c r="A32" i="2"/>
  <c r="K31" i="2"/>
  <c r="A31" i="2"/>
  <c r="K30" i="2"/>
  <c r="A30" i="2"/>
  <c r="K29" i="2"/>
  <c r="A29" i="2"/>
  <c r="K28" i="2"/>
  <c r="A28" i="2"/>
  <c r="K27" i="2"/>
  <c r="A27" i="2"/>
  <c r="K26" i="2"/>
  <c r="A26" i="2"/>
  <c r="K25" i="2"/>
  <c r="A25" i="2"/>
  <c r="K24" i="2"/>
  <c r="A24" i="2"/>
  <c r="K23" i="2"/>
  <c r="A23" i="2"/>
  <c r="K22" i="2"/>
  <c r="A22" i="2"/>
  <c r="K21" i="2"/>
  <c r="A21" i="2"/>
  <c r="K20" i="2"/>
  <c r="A20" i="2"/>
  <c r="K19" i="2"/>
  <c r="A19" i="2"/>
  <c r="K18" i="2"/>
  <c r="A18" i="2"/>
  <c r="K17" i="2"/>
  <c r="A17" i="2"/>
  <c r="K16" i="2"/>
  <c r="A16" i="2"/>
  <c r="K15" i="2"/>
  <c r="A15" i="2"/>
  <c r="K14" i="2"/>
  <c r="A14" i="2"/>
  <c r="K13" i="2"/>
  <c r="A13" i="2"/>
  <c r="K12" i="2"/>
  <c r="A12" i="2"/>
  <c r="K11" i="2"/>
  <c r="A11" i="2"/>
  <c r="K10" i="2"/>
  <c r="A10" i="2"/>
  <c r="K9" i="2"/>
  <c r="A9" i="2"/>
  <c r="K8" i="2"/>
  <c r="A8" i="2"/>
  <c r="K7" i="2"/>
  <c r="A7" i="2"/>
  <c r="K6" i="2"/>
  <c r="A6" i="2"/>
  <c r="K5" i="2"/>
  <c r="A5" i="2"/>
  <c r="K4" i="2"/>
  <c r="A4" i="2"/>
  <c r="K3" i="2"/>
  <c r="A3" i="2"/>
  <c r="K2" i="2"/>
  <c r="A2" i="2"/>
  <c r="I21" i="1"/>
  <c r="H21" i="1"/>
  <c r="G21" i="1"/>
  <c r="F21" i="1"/>
  <c r="E21" i="1"/>
  <c r="D21" i="1"/>
  <c r="C21" i="1"/>
  <c r="J20" i="1"/>
  <c r="I20" i="1"/>
  <c r="H20" i="1"/>
  <c r="G20" i="1"/>
  <c r="F20" i="1"/>
  <c r="C18" i="1"/>
  <c r="J17" i="1"/>
  <c r="I17" i="1"/>
  <c r="H17" i="1"/>
  <c r="G17" i="1"/>
  <c r="F17" i="1"/>
  <c r="E17" i="1"/>
  <c r="D17" i="1"/>
  <c r="C17" i="1"/>
  <c r="J16" i="1"/>
  <c r="I16" i="1"/>
  <c r="H16" i="1"/>
  <c r="G16" i="1"/>
  <c r="F16" i="1"/>
  <c r="E16" i="1"/>
  <c r="D16" i="1"/>
  <c r="C16" i="1"/>
  <c r="J12" i="1"/>
  <c r="I12" i="1"/>
  <c r="H12" i="1"/>
  <c r="G12" i="1"/>
  <c r="F12" i="1"/>
  <c r="E12" i="1"/>
  <c r="D12" i="1"/>
  <c r="C12" i="1"/>
  <c r="K11" i="1"/>
  <c r="J11" i="1"/>
  <c r="I11" i="1"/>
  <c r="H11" i="1"/>
  <c r="G11" i="1"/>
  <c r="F11" i="1"/>
  <c r="E11" i="1"/>
  <c r="D11" i="1"/>
  <c r="C11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L10" i="1" l="1"/>
  <c r="M43" i="2"/>
  <c r="T43" i="2"/>
  <c r="M30" i="2"/>
  <c r="T30" i="2"/>
  <c r="T24" i="2"/>
  <c r="M24" i="2"/>
  <c r="T11" i="2"/>
  <c r="M11" i="2"/>
  <c r="J21" i="1"/>
  <c r="I18" i="1"/>
  <c r="H18" i="1"/>
  <c r="G18" i="1"/>
  <c r="F18" i="1"/>
  <c r="E18" i="1"/>
  <c r="D18" i="1"/>
  <c r="E20" i="1"/>
  <c r="D20" i="1"/>
  <c r="C20" i="1"/>
  <c r="J19" i="1"/>
  <c r="I19" i="1"/>
  <c r="H19" i="1"/>
  <c r="G19" i="1"/>
  <c r="F19" i="1"/>
  <c r="E19" i="1"/>
  <c r="D19" i="1"/>
  <c r="C19" i="1"/>
  <c r="J18" i="1"/>
  <c r="T49" i="2"/>
  <c r="L11" i="1" s="1"/>
  <c r="M49" i="2"/>
  <c r="T48" i="2"/>
  <c r="M48" i="2"/>
  <c r="T47" i="2"/>
  <c r="M47" i="2"/>
  <c r="T46" i="2"/>
  <c r="M46" i="2"/>
  <c r="T45" i="2"/>
  <c r="M45" i="2"/>
  <c r="T44" i="2"/>
  <c r="M44" i="2"/>
  <c r="T42" i="2"/>
  <c r="M42" i="2"/>
  <c r="T33" i="2"/>
  <c r="L9" i="1" s="1"/>
  <c r="M33" i="2"/>
  <c r="T32" i="2"/>
  <c r="M32" i="2"/>
  <c r="T31" i="2"/>
  <c r="M31" i="2"/>
  <c r="T29" i="2"/>
  <c r="M29" i="2"/>
  <c r="T28" i="2"/>
  <c r="M28" i="2"/>
  <c r="T27" i="2"/>
  <c r="M27" i="2"/>
  <c r="T26" i="2"/>
  <c r="M26" i="2"/>
  <c r="T25" i="2"/>
  <c r="L8" i="1" s="1"/>
  <c r="M25" i="2"/>
  <c r="M23" i="2"/>
  <c r="T23" i="2"/>
  <c r="T22" i="2"/>
  <c r="M22" i="2"/>
  <c r="T21" i="2"/>
  <c r="M21" i="2"/>
  <c r="T20" i="2"/>
  <c r="M20" i="2"/>
  <c r="T19" i="2"/>
  <c r="M19" i="2"/>
  <c r="T18" i="2"/>
  <c r="M18" i="2"/>
  <c r="T17" i="2"/>
  <c r="L7" i="1" s="1"/>
  <c r="M17" i="2"/>
  <c r="T16" i="2"/>
  <c r="M16" i="2"/>
  <c r="M15" i="2"/>
  <c r="T15" i="2"/>
  <c r="T14" i="2"/>
  <c r="M14" i="2"/>
  <c r="T13" i="2"/>
  <c r="M13" i="2"/>
  <c r="T12" i="2"/>
  <c r="M12" i="2"/>
  <c r="T10" i="2"/>
  <c r="M10" i="2"/>
  <c r="T9" i="2"/>
  <c r="L6" i="1" s="1"/>
  <c r="M9" i="2"/>
  <c r="T8" i="2"/>
  <c r="M8" i="2"/>
  <c r="T7" i="2"/>
  <c r="M7" i="2"/>
  <c r="T6" i="2"/>
  <c r="M6" i="2"/>
  <c r="T5" i="2"/>
  <c r="M5" i="2"/>
  <c r="T4" i="2"/>
  <c r="M4" i="2"/>
  <c r="T3" i="2"/>
  <c r="M3" i="2"/>
  <c r="T2" i="2"/>
  <c r="M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Planilha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Fórmula: DTP / RCL Ajustada. Reproduz o % declarado no RGF, que vem arredondado em 2 casas.</t>
        </r>
      </text>
    </comment>
  </commentList>
</comments>
</file>

<file path=xl/sharedStrings.xml><?xml version="1.0" encoding="utf-8"?>
<sst xmlns="http://schemas.openxmlformats.org/spreadsheetml/2006/main" count="427" uniqueCount="83">
  <si>
    <t>Despesa total com pessoal - Paraná (PR)</t>
  </si>
  <si>
    <t>RGF, Anexo 1 (Siconfi/Tesouro Nacional). Percentual da Despesa Total com Pessoal (DTP) sobre a Receita Corrente Líquida Ajustada, últimos 12 meses de cada quadrimestre.</t>
  </si>
  <si>
    <t>% da DTP sobre a RCL Ajustada</t>
  </si>
  <si>
    <t>Órgão</t>
  </si>
  <si>
    <t>Poder / órgão</t>
  </si>
  <si>
    <t>1º quad. 2024</t>
  </si>
  <si>
    <t>2º quad. 2024</t>
  </si>
  <si>
    <t>3º quad. 2024</t>
  </si>
  <si>
    <t>1º quad. 2025</t>
  </si>
  <si>
    <t>2º quad. 2025</t>
  </si>
  <si>
    <t>3º quad. 2025</t>
  </si>
  <si>
    <t>1º quad. 2026</t>
  </si>
  <si>
    <t>2º quad. 2026</t>
  </si>
  <si>
    <t>Limite máximo (2º quad. 2026)</t>
  </si>
  <si>
    <t>Situação (2º quad. 2026)</t>
  </si>
  <si>
    <t>Governo</t>
  </si>
  <si>
    <t>Poder Executivo</t>
  </si>
  <si>
    <t>Assembleia Legislativa</t>
  </si>
  <si>
    <t>Poder Legislativo</t>
  </si>
  <si>
    <t>Tribunal de Justiça</t>
  </si>
  <si>
    <t>Poder Judiciário</t>
  </si>
  <si>
    <t>Tribunal de Contas</t>
  </si>
  <si>
    <t>Defensoria Pública</t>
  </si>
  <si>
    <t>Ministério Público</t>
  </si>
  <si>
    <t>RCL Ajustada (R$ milhões)</t>
  </si>
  <si>
    <t>base comum</t>
  </si>
  <si>
    <t>Despesa total com pessoal (R$ milhões)</t>
  </si>
  <si>
    <t>Órgãos sem % declarado no RGF (ex.: Defensoria Pública, sem limite próprio na LRF) têm o % calculado como despesa líquida com pessoal / RCL Ajustada do Executivo. Ver aba Notas.</t>
  </si>
  <si>
    <t>Chave</t>
  </si>
  <si>
    <t>Instituição</t>
  </si>
  <si>
    <t>Exercício</t>
  </si>
  <si>
    <t>Quadrimestre</t>
  </si>
  <si>
    <t>Período</t>
  </si>
  <si>
    <t>Meses de referência</t>
  </si>
  <si>
    <t>Despesa total com pessoal - DTP (R$)</t>
  </si>
  <si>
    <t>RCL Ajustada (R$)</t>
  </si>
  <si>
    <t>% DTP / RCL Ajustada</t>
  </si>
  <si>
    <t>% declarado no RGF</t>
  </si>
  <si>
    <t>Confere com o declarado?</t>
  </si>
  <si>
    <t>Limite máximo (%)</t>
  </si>
  <si>
    <t>Limite prudencial (%)</t>
  </si>
  <si>
    <t>Limite de alerta (%)</t>
  </si>
  <si>
    <t>Limite máximo (R$)</t>
  </si>
  <si>
    <t>Limite prudencial (R$)</t>
  </si>
  <si>
    <t>Limite de alerta (R$)</t>
  </si>
  <si>
    <t>Situação</t>
  </si>
  <si>
    <t>Origem do %</t>
  </si>
  <si>
    <t>Governo do Estado do Paraná</t>
  </si>
  <si>
    <t>2024</t>
  </si>
  <si>
    <t>mai/2023 a abr/2024</t>
  </si>
  <si>
    <t>Declarado no RGF</t>
  </si>
  <si>
    <t>set/2023 a ago/2024</t>
  </si>
  <si>
    <t>jan/2024 a dez/2024</t>
  </si>
  <si>
    <t>2025</t>
  </si>
  <si>
    <t>mai/2024 a abr/2025</t>
  </si>
  <si>
    <t>set/2024 a ago/2025</t>
  </si>
  <si>
    <t>jan/2025 a dez/2025</t>
  </si>
  <si>
    <t>2026</t>
  </si>
  <si>
    <t>mai/2025 a abr/2026</t>
  </si>
  <si>
    <t>set/2025 a ago/2026</t>
  </si>
  <si>
    <t>Assembleia Legislativa do Estado do Paraná</t>
  </si>
  <si>
    <t>Tribunal de Justiça do Estado do Paraná</t>
  </si>
  <si>
    <t>Tribunal de Contas do Estado do Paraná</t>
  </si>
  <si>
    <t>Defensoria Pública do Estado do Paraná</t>
  </si>
  <si>
    <t>Calculado (despesa líquida / RCL Ajustada do Executivo)</t>
  </si>
  <si>
    <t>Ministério Público do Estado do Paraná</t>
  </si>
  <si>
    <t>Notas metodológicas</t>
  </si>
  <si>
    <t>Fonte</t>
  </si>
  <si>
    <t>API de dados abertos do Siconfi (Tesouro Nacional), endpoint /rgf, https://apidatalake.tesouro.gov.br/docs/siconfi/ . Extração em 15/10/2026.</t>
  </si>
  <si>
    <t>Relatório</t>
  </si>
  <si>
    <t>RGF - Anexo 01 (Demonstrativo da Despesa com Pessoal), quadrimestral. Ente: Paraná (PR).</t>
  </si>
  <si>
    <t>Períodos</t>
  </si>
  <si>
    <t>1º a 3º quadrimestres de 2024 e 2025; 1º e 2º de 2026 (o 3º de 2026 ainda não foi publicado). Cada quadrimestre considera os 12 meses encerrados em abril, agosto ou dezembro.</t>
  </si>
  <si>
    <t>Indicador</t>
  </si>
  <si>
    <t>DTP = Despesa Total com Pessoal. % = DTP / Receita Corrente Líquida Ajustada para cálculo dos limites da despesa com pessoal.</t>
  </si>
  <si>
    <t>Tribunais de Contas</t>
  </si>
  <si>
    <t>Não têm código de poder próprio na API: vêm dentro do Poder Legislativo (co_poder = L), identificados pelo nome da instituição.</t>
  </si>
  <si>
    <t>Órgãos sem % declarado</t>
  </si>
  <si>
    <t>A LRF (art. 20) não fixa limite próprio para a Defensoria Pública, e o RGF dela não traz a DTP nem o %. Usou-se a despesa líquida com pessoal dos últimos 12 meses dividida pela RCL Ajustada declarada pelo Executivo no mesmo período; a mesma fórmula reproduz o % declarado pelos demais órgãos.</t>
  </si>
  <si>
    <t>Limites</t>
  </si>
  <si>
    <t>Máximo, prudencial (95% do máximo) e de alerta (90% do máximo), como declarados no RGF de cada órgão. A situação compara a DTP com os limites em R$ quando declarados, porque os % vêm arredondados em 2 casas e podem esconder uma ultrapassagem pequena.</t>
  </si>
  <si>
    <t>Convenções</t>
  </si>
  <si>
    <t>Números em azul: valores da API. Em preto: fórmulas. Percentuais armazenados como fração.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</si>
</sst>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\(&quot;R$&quot;\ #,##0.00\);\-"/>
    <numFmt numFmtId="165" formatCode="0.00%;\(0.00%\);\-"/>
    <numFmt numFmtId="166" formatCode="#,##0.0;\(#,##0.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6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7" fillId="0" borderId="0" xfId="0" applyFont="1"/>
    <xf numFmtId="166" fontId="7" fillId="0" borderId="0" xfId="0" applyNumberFormat="1" applyFont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0" customWidth="1"/>
    <col min="3" max="10" width="12" customWidth="1"/>
    <col min="11" max="11" width="15" customWidth="1"/>
    <col min="12" max="12" width="26" customWidth="1"/>
  </cols>
  <sheetData>
    <row r="1" spans="1:12" ht="18" x14ac:dyDescent="0.25">
      <c r="A1" s="1" t="s">
        <v>0</v>
      </c>
    </row>
    <row r="2" spans="1:12" x14ac:dyDescent="0.25">
      <c r="A2" s="2" t="s">
        <v>1</v>
      </c>
    </row>
    <row r="4" spans="1:12" x14ac:dyDescent="0.25">
      <c r="A4" s="3" t="s">
        <v>2</v>
      </c>
    </row>
    <row r="5" spans="1:12" ht="44.1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7">
        <f>IFERROR(IF(INDEX(Dados!$K$2:$K$49,MATCH($A6&amp;"|"&amp;C$5,Dados!$A$2:$A$49,0))="","",INDEX(Dados!$K$2:$K$49,MATCH($A6&amp;"|"&amp;C$5,Dados!$A$2:$A$49,0))),"")</f>
        <v>0.41994878164412108</v>
      </c>
      <c r="D6" s="7">
        <f>IFERROR(IF(INDEX(Dados!$K$2:$K$49,MATCH($A6&amp;"|"&amp;D$5,Dados!$A$2:$A$49,0))="","",INDEX(Dados!$K$2:$K$49,MATCH($A6&amp;"|"&amp;D$5,Dados!$A$2:$A$49,0))),"")</f>
        <v>0.41045736558662216</v>
      </c>
      <c r="E6" s="7">
        <f>IFERROR(IF(INDEX(Dados!$K$2:$K$49,MATCH($A6&amp;"|"&amp;E$5,Dados!$A$2:$A$49,0))="","",INDEX(Dados!$K$2:$K$49,MATCH($A6&amp;"|"&amp;E$5,Dados!$A$2:$A$49,0))),"")</f>
        <v>0.42705890365086813</v>
      </c>
      <c r="F6" s="7">
        <f>IFERROR(IF(INDEX(Dados!$K$2:$K$49,MATCH($A6&amp;"|"&amp;F$5,Dados!$A$2:$A$49,0))="","",INDEX(Dados!$K$2:$K$49,MATCH($A6&amp;"|"&amp;F$5,Dados!$A$2:$A$49,0))),"")</f>
        <v>0.42090403010494598</v>
      </c>
      <c r="G6" s="7">
        <f>IFERROR(IF(INDEX(Dados!$K$2:$K$49,MATCH($A6&amp;"|"&amp;G$5,Dados!$A$2:$A$49,0))="","",INDEX(Dados!$K$2:$K$49,MATCH($A6&amp;"|"&amp;G$5,Dados!$A$2:$A$49,0))),"")</f>
        <v>0.42229081951411879</v>
      </c>
      <c r="H6" s="7">
        <f>IFERROR(IF(INDEX(Dados!$K$2:$K$49,MATCH($A6&amp;"|"&amp;H$5,Dados!$A$2:$A$49,0))="","",INDEX(Dados!$K$2:$K$49,MATCH($A6&amp;"|"&amp;H$5,Dados!$A$2:$A$49,0))),"")</f>
        <v>0.42462932284503341</v>
      </c>
      <c r="I6" s="7">
        <f>IFERROR(IF(INDEX(Dados!$K$2:$K$49,MATCH($A6&amp;"|"&amp;I$5,Dados!$A$2:$A$49,0))="","",INDEX(Dados!$K$2:$K$49,MATCH($A6&amp;"|"&amp;I$5,Dados!$A$2:$A$49,0))),"")</f>
        <v>0.43662058978610757</v>
      </c>
      <c r="J6" s="7">
        <f>IFERROR(IF(INDEX(Dados!$K$2:$K$49,MATCH($A6&amp;"|"&amp;J$5,Dados!$A$2:$A$49,0))="","",INDEX(Dados!$K$2:$K$49,MATCH($A6&amp;"|"&amp;J$5,Dados!$A$2:$A$49,0))),"")</f>
        <v>0.44878784571523256</v>
      </c>
      <c r="K6" s="7">
        <f>IFERROR(IF(INDEX(Dados!$N$2:$N$49,MATCH($A6&amp;"|"&amp;J$5,Dados!$A$2:$A$49,0))=0,"—",INDEX(Dados!$N$2:$N$49,MATCH($A6&amp;"|"&amp;J$5,Dados!$A$2:$A$49,0))),"—")</f>
        <v>0.49</v>
      </c>
      <c r="L6" s="6" t="str">
        <f>IFERROR(IF(INDEX(Dados!$T$2:$T$49,MATCH($A6&amp;"|"&amp;J$5,Dados!$A$2:$A$49,0))="","—",INDEX(Dados!$T$2:$T$49,MATCH($A6&amp;"|"&amp;J$5,Dados!$A$2:$A$49,0))),"—")</f>
        <v>Acima do limite de alerta</v>
      </c>
    </row>
    <row r="7" spans="1:12" x14ac:dyDescent="0.25">
      <c r="A7" s="8" t="s">
        <v>17</v>
      </c>
      <c r="B7" s="9" t="s">
        <v>18</v>
      </c>
      <c r="C7" s="10">
        <f>IFERROR(IF(INDEX(Dados!$K$2:$K$49,MATCH($A7&amp;"|"&amp;C$5,Dados!$A$2:$A$49,0))="","",INDEX(Dados!$K$2:$K$49,MATCH($A7&amp;"|"&amp;C$5,Dados!$A$2:$A$49,0))),"")</f>
        <v>8.4381456588328314E-3</v>
      </c>
      <c r="D7" s="10">
        <f>IFERROR(IF(INDEX(Dados!$K$2:$K$49,MATCH($A7&amp;"|"&amp;D$5,Dados!$A$2:$A$49,0))="","",INDEX(Dados!$K$2:$K$49,MATCH($A7&amp;"|"&amp;D$5,Dados!$A$2:$A$49,0))),"")</f>
        <v>8.3034691458425004E-3</v>
      </c>
      <c r="E7" s="10">
        <f>IFERROR(IF(INDEX(Dados!$K$2:$K$49,MATCH($A7&amp;"|"&amp;E$5,Dados!$A$2:$A$49,0))="","",INDEX(Dados!$K$2:$K$49,MATCH($A7&amp;"|"&amp;E$5,Dados!$A$2:$A$49,0))),"")</f>
        <v>8.4185639204305118E-3</v>
      </c>
      <c r="F7" s="10">
        <f>IFERROR(IF(INDEX(Dados!$K$2:$K$49,MATCH($A7&amp;"|"&amp;F$5,Dados!$A$2:$A$49,0))="","",INDEX(Dados!$K$2:$K$49,MATCH($A7&amp;"|"&amp;F$5,Dados!$A$2:$A$49,0))),"")</f>
        <v>8.2867543265968766E-3</v>
      </c>
      <c r="G7" s="10">
        <f>IFERROR(IF(INDEX(Dados!$K$2:$K$49,MATCH($A7&amp;"|"&amp;G$5,Dados!$A$2:$A$49,0))="","",INDEX(Dados!$K$2:$K$49,MATCH($A7&amp;"|"&amp;G$5,Dados!$A$2:$A$49,0))),"")</f>
        <v>8.5662200103206829E-3</v>
      </c>
      <c r="H7" s="10">
        <f>IFERROR(IF(INDEX(Dados!$K$2:$K$49,MATCH($A7&amp;"|"&amp;H$5,Dados!$A$2:$A$49,0))="","",INDEX(Dados!$K$2:$K$49,MATCH($A7&amp;"|"&amp;H$5,Dados!$A$2:$A$49,0))),"")</f>
        <v>8.2689149708192501E-3</v>
      </c>
      <c r="I7" s="10">
        <f>IFERROR(IF(INDEX(Dados!$K$2:$K$49,MATCH($A7&amp;"|"&amp;I$5,Dados!$A$2:$A$49,0))="","",INDEX(Dados!$K$2:$K$49,MATCH($A7&amp;"|"&amp;I$5,Dados!$A$2:$A$49,0))),"")</f>
        <v>8.4448342292285459E-3</v>
      </c>
      <c r="J7" s="10">
        <f>IFERROR(IF(INDEX(Dados!$K$2:$K$49,MATCH($A7&amp;"|"&amp;J$5,Dados!$A$2:$A$49,0))="","",INDEX(Dados!$K$2:$K$49,MATCH($A7&amp;"|"&amp;J$5,Dados!$A$2:$A$49,0))),"")</f>
        <v>8.691656790849529E-3</v>
      </c>
      <c r="K7" s="10">
        <f>IFERROR(IF(INDEX(Dados!$N$2:$N$49,MATCH($A7&amp;"|"&amp;J$5,Dados!$A$2:$A$49,0))=0,"—",INDEX(Dados!$N$2:$N$49,MATCH($A7&amp;"|"&amp;J$5,Dados!$A$2:$A$49,0))),"—")</f>
        <v>1.6400000000000001E-2</v>
      </c>
      <c r="L7" s="9" t="str">
        <f>IFERROR(IF(INDEX(Dados!$T$2:$T$49,MATCH($A7&amp;"|"&amp;J$5,Dados!$A$2:$A$49,0))="","—",INDEX(Dados!$T$2:$T$49,MATCH($A7&amp;"|"&amp;J$5,Dados!$A$2:$A$49,0))),"—")</f>
        <v>Abaixo do limite de alerta</v>
      </c>
    </row>
    <row r="8" spans="1:12" x14ac:dyDescent="0.25">
      <c r="A8" s="8" t="s">
        <v>19</v>
      </c>
      <c r="B8" s="9" t="s">
        <v>20</v>
      </c>
      <c r="C8" s="10">
        <f>IFERROR(IF(INDEX(Dados!$K$2:$K$49,MATCH($A8&amp;"|"&amp;C$5,Dados!$A$2:$A$49,0))="","",INDEX(Dados!$K$2:$K$49,MATCH($A8&amp;"|"&amp;C$5,Dados!$A$2:$A$49,0))),"")</f>
        <v>3.9854670856174251E-2</v>
      </c>
      <c r="D8" s="10">
        <f>IFERROR(IF(INDEX(Dados!$K$2:$K$49,MATCH($A8&amp;"|"&amp;D$5,Dados!$A$2:$A$49,0))="","",INDEX(Dados!$K$2:$K$49,MATCH($A8&amp;"|"&amp;D$5,Dados!$A$2:$A$49,0))),"")</f>
        <v>3.8218229460264243E-2</v>
      </c>
      <c r="E8" s="10">
        <f>IFERROR(IF(INDEX(Dados!$K$2:$K$49,MATCH($A8&amp;"|"&amp;E$5,Dados!$A$2:$A$49,0))="","",INDEX(Dados!$K$2:$K$49,MATCH($A8&amp;"|"&amp;E$5,Dados!$A$2:$A$49,0))),"")</f>
        <v>4.0934649687528968E-2</v>
      </c>
      <c r="F8" s="10">
        <f>IFERROR(IF(INDEX(Dados!$K$2:$K$49,MATCH($A8&amp;"|"&amp;F$5,Dados!$A$2:$A$49,0))="","",INDEX(Dados!$K$2:$K$49,MATCH($A8&amp;"|"&amp;F$5,Dados!$A$2:$A$49,0))),"")</f>
        <v>3.9896439824424174E-2</v>
      </c>
      <c r="G8" s="10">
        <f>IFERROR(IF(INDEX(Dados!$K$2:$K$49,MATCH($A8&amp;"|"&amp;G$5,Dados!$A$2:$A$49,0))="","",INDEX(Dados!$K$2:$K$49,MATCH($A8&amp;"|"&amp;G$5,Dados!$A$2:$A$49,0))),"")</f>
        <v>4.0044371278779148E-2</v>
      </c>
      <c r="H8" s="10">
        <f>IFERROR(IF(INDEX(Dados!$K$2:$K$49,MATCH($A8&amp;"|"&amp;H$5,Dados!$A$2:$A$49,0))="","",INDEX(Dados!$K$2:$K$49,MATCH($A8&amp;"|"&amp;H$5,Dados!$A$2:$A$49,0))),"")</f>
        <v>4.0706932818727885E-2</v>
      </c>
      <c r="I8" s="10">
        <f>IFERROR(IF(INDEX(Dados!$K$2:$K$49,MATCH($A8&amp;"|"&amp;I$5,Dados!$A$2:$A$49,0))="","",INDEX(Dados!$K$2:$K$49,MATCH($A8&amp;"|"&amp;I$5,Dados!$A$2:$A$49,0))),"")</f>
        <v>4.188800050722935E-2</v>
      </c>
      <c r="J8" s="10">
        <f>IFERROR(IF(INDEX(Dados!$K$2:$K$49,MATCH($A8&amp;"|"&amp;J$5,Dados!$A$2:$A$49,0))="","",INDEX(Dados!$K$2:$K$49,MATCH($A8&amp;"|"&amp;J$5,Dados!$A$2:$A$49,0))),"")</f>
        <v>4.2800794028562357E-2</v>
      </c>
      <c r="K8" s="10">
        <f>IFERROR(IF(INDEX(Dados!$N$2:$N$49,MATCH($A8&amp;"|"&amp;J$5,Dados!$A$2:$A$49,0))=0,"—",INDEX(Dados!$N$2:$N$49,MATCH($A8&amp;"|"&amp;J$5,Dados!$A$2:$A$49,0))),"—")</f>
        <v>0.06</v>
      </c>
      <c r="L8" s="9" t="str">
        <f>IFERROR(IF(INDEX(Dados!$T$2:$T$49,MATCH($A8&amp;"|"&amp;J$5,Dados!$A$2:$A$49,0))="","—",INDEX(Dados!$T$2:$T$49,MATCH($A8&amp;"|"&amp;J$5,Dados!$A$2:$A$49,0))),"—")</f>
        <v>Abaixo do limite de alerta</v>
      </c>
    </row>
    <row r="9" spans="1:12" x14ac:dyDescent="0.25">
      <c r="A9" s="8" t="s">
        <v>21</v>
      </c>
      <c r="B9" s="9" t="s">
        <v>21</v>
      </c>
      <c r="C9" s="10">
        <f>IFERROR(IF(INDEX(Dados!$K$2:$K$49,MATCH($A9&amp;"|"&amp;C$5,Dados!$A$2:$A$49,0))="","",INDEX(Dados!$K$2:$K$49,MATCH($A9&amp;"|"&amp;C$5,Dados!$A$2:$A$49,0))),"")</f>
        <v>7.3449817348294841E-3</v>
      </c>
      <c r="D9" s="10">
        <f>IFERROR(IF(INDEX(Dados!$K$2:$K$49,MATCH($A9&amp;"|"&amp;D$5,Dados!$A$2:$A$49,0))="","",INDEX(Dados!$K$2:$K$49,MATCH($A9&amp;"|"&amp;D$5,Dados!$A$2:$A$49,0))),"")</f>
        <v>7.5786589807590324E-3</v>
      </c>
      <c r="E9" s="10">
        <f>IFERROR(IF(INDEX(Dados!$K$2:$K$49,MATCH($A9&amp;"|"&amp;E$5,Dados!$A$2:$A$49,0))="","",INDEX(Dados!$K$2:$K$49,MATCH($A9&amp;"|"&amp;E$5,Dados!$A$2:$A$49,0))),"")</f>
        <v>8.4968971642722796E-3</v>
      </c>
      <c r="F9" s="10">
        <f>IFERROR(IF(INDEX(Dados!$K$2:$K$49,MATCH($A9&amp;"|"&amp;F$5,Dados!$A$2:$A$49,0))="","",INDEX(Dados!$K$2:$K$49,MATCH($A9&amp;"|"&amp;F$5,Dados!$A$2:$A$49,0))),"")</f>
        <v>8.4700056448852746E-3</v>
      </c>
      <c r="G9" s="10">
        <f>IFERROR(IF(INDEX(Dados!$K$2:$K$49,MATCH($A9&amp;"|"&amp;G$5,Dados!$A$2:$A$49,0))="","",INDEX(Dados!$K$2:$K$49,MATCH($A9&amp;"|"&amp;G$5,Dados!$A$2:$A$49,0))),"")</f>
        <v>8.4200459912053844E-3</v>
      </c>
      <c r="H9" s="10">
        <f>IFERROR(IF(INDEX(Dados!$K$2:$K$49,MATCH($A9&amp;"|"&amp;H$5,Dados!$A$2:$A$49,0))="","",INDEX(Dados!$K$2:$K$49,MATCH($A9&amp;"|"&amp;H$5,Dados!$A$2:$A$49,0))),"")</f>
        <v>8.2386332289276845E-3</v>
      </c>
      <c r="I9" s="10">
        <f>IFERROR(IF(INDEX(Dados!$K$2:$K$49,MATCH($A9&amp;"|"&amp;I$5,Dados!$A$2:$A$49,0))="","",INDEX(Dados!$K$2:$K$49,MATCH($A9&amp;"|"&amp;I$5,Dados!$A$2:$A$49,0))),"")</f>
        <v>8.6284353440836126E-3</v>
      </c>
      <c r="J9" s="10">
        <f>IFERROR(IF(INDEX(Dados!$K$2:$K$49,MATCH($A9&amp;"|"&amp;J$5,Dados!$A$2:$A$49,0))="","",INDEX(Dados!$K$2:$K$49,MATCH($A9&amp;"|"&amp;J$5,Dados!$A$2:$A$49,0))),"")</f>
        <v>8.7007254353338691E-3</v>
      </c>
      <c r="K9" s="10">
        <f>IFERROR(IF(INDEX(Dados!$N$2:$N$49,MATCH($A9&amp;"|"&amp;J$5,Dados!$A$2:$A$49,0))=0,"—",INDEX(Dados!$N$2:$N$49,MATCH($A9&amp;"|"&amp;J$5,Dados!$A$2:$A$49,0))),"—")</f>
        <v>1.3599999999999999E-2</v>
      </c>
      <c r="L9" s="9" t="str">
        <f>IFERROR(IF(INDEX(Dados!$T$2:$T$49,MATCH($A9&amp;"|"&amp;J$5,Dados!$A$2:$A$49,0))="","—",INDEX(Dados!$T$2:$T$49,MATCH($A9&amp;"|"&amp;J$5,Dados!$A$2:$A$49,0))),"—")</f>
        <v>Abaixo do limite de alerta</v>
      </c>
    </row>
    <row r="10" spans="1:12" x14ac:dyDescent="0.25">
      <c r="A10" s="8" t="s">
        <v>22</v>
      </c>
      <c r="B10" s="9" t="s">
        <v>22</v>
      </c>
      <c r="C10" s="10">
        <f>IFERROR(IF(INDEX(Dados!$K$2:$K$49,MATCH($A10&amp;"|"&amp;C$5,Dados!$A$2:$A$49,0))="","",INDEX(Dados!$K$2:$K$49,MATCH($A10&amp;"|"&amp;C$5,Dados!$A$2:$A$49,0))),"")</f>
        <v>1.8062999212095068E-3</v>
      </c>
      <c r="D10" s="10">
        <f>IFERROR(IF(INDEX(Dados!$K$2:$K$49,MATCH($A10&amp;"|"&amp;D$5,Dados!$A$2:$A$49,0))="","",INDEX(Dados!$K$2:$K$49,MATCH($A10&amp;"|"&amp;D$5,Dados!$A$2:$A$49,0))),"")</f>
        <v>1.765552910607841E-3</v>
      </c>
      <c r="E10" s="10">
        <f>IFERROR(IF(INDEX(Dados!$K$2:$K$49,MATCH($A10&amp;"|"&amp;E$5,Dados!$A$2:$A$49,0))="","",INDEX(Dados!$K$2:$K$49,MATCH($A10&amp;"|"&amp;E$5,Dados!$A$2:$A$49,0))),"")</f>
        <v>2.0039126105151081E-3</v>
      </c>
      <c r="F10" s="10">
        <f>IFERROR(IF(INDEX(Dados!$K$2:$K$49,MATCH($A10&amp;"|"&amp;F$5,Dados!$A$2:$A$49,0))="","",INDEX(Dados!$K$2:$K$49,MATCH($A10&amp;"|"&amp;F$5,Dados!$A$2:$A$49,0))),"")</f>
        <v>1.9701641548623863E-3</v>
      </c>
      <c r="G10" s="10">
        <f>IFERROR(IF(INDEX(Dados!$K$2:$K$49,MATCH($A10&amp;"|"&amp;G$5,Dados!$A$2:$A$49,0))="","",INDEX(Dados!$K$2:$K$49,MATCH($A10&amp;"|"&amp;G$5,Dados!$A$2:$A$49,0))),"")</f>
        <v>2.0552034978141504E-3</v>
      </c>
      <c r="H10" s="10">
        <f>IFERROR(IF(INDEX(Dados!$K$2:$K$49,MATCH($A10&amp;"|"&amp;H$5,Dados!$A$2:$A$49,0))="","",INDEX(Dados!$K$2:$K$49,MATCH($A10&amp;"|"&amp;H$5,Dados!$A$2:$A$49,0))),"")</f>
        <v>2.1837287904130269E-3</v>
      </c>
      <c r="I10" s="10">
        <f>IFERROR(IF(INDEX(Dados!$K$2:$K$49,MATCH($A10&amp;"|"&amp;I$5,Dados!$A$2:$A$49,0))="","",INDEX(Dados!$K$2:$K$49,MATCH($A10&amp;"|"&amp;I$5,Dados!$A$2:$A$49,0))),"")</f>
        <v>2.3120054431847686E-3</v>
      </c>
      <c r="J10" s="10">
        <f>IFERROR(IF(INDEX(Dados!$K$2:$K$49,MATCH($A10&amp;"|"&amp;J$5,Dados!$A$2:$A$49,0))="","",INDEX(Dados!$K$2:$K$49,MATCH($A10&amp;"|"&amp;J$5,Dados!$A$2:$A$49,0))),"")</f>
        <v>2.4249425597448822E-3</v>
      </c>
      <c r="K10" s="10" t="str">
        <f>IFERROR(IF(INDEX(Dados!$N$2:$N$49,MATCH($A10&amp;"|"&amp;J$5,Dados!$A$2:$A$49,0))=0,"—",INDEX(Dados!$N$2:$N$49,MATCH($A10&amp;"|"&amp;J$5,Dados!$A$2:$A$49,0))),"—")</f>
        <v>—</v>
      </c>
      <c r="L10" s="9" t="str">
        <f>IFERROR(IF(INDEX(Dados!$T$2:$T$49,MATCH($A10&amp;"|"&amp;J$5,Dados!$A$2:$A$49,0))="","—",INDEX(Dados!$T$2:$T$49,MATCH($A10&amp;"|"&amp;J$5,Dados!$A$2:$A$49,0))),"—")</f>
        <v>Sem limite próprio na LRF</v>
      </c>
    </row>
    <row r="11" spans="1:12" x14ac:dyDescent="0.25">
      <c r="A11" s="8" t="s">
        <v>23</v>
      </c>
      <c r="B11" s="9" t="s">
        <v>23</v>
      </c>
      <c r="C11" s="10">
        <f>IFERROR(IF(INDEX(Dados!$K$2:$K$49,MATCH($A11&amp;"|"&amp;C$5,Dados!$A$2:$A$49,0))="","",INDEX(Dados!$K$2:$K$49,MATCH($A11&amp;"|"&amp;C$5,Dados!$A$2:$A$49,0))),"")</f>
        <v>1.4586933692613257E-2</v>
      </c>
      <c r="D11" s="10">
        <f>IFERROR(IF(INDEX(Dados!$K$2:$K$49,MATCH($A11&amp;"|"&amp;D$5,Dados!$A$2:$A$49,0))="","",INDEX(Dados!$K$2:$K$49,MATCH($A11&amp;"|"&amp;D$5,Dados!$A$2:$A$49,0))),"")</f>
        <v>1.4031870273995621E-2</v>
      </c>
      <c r="E11" s="10">
        <f>IFERROR(IF(INDEX(Dados!$K$2:$K$49,MATCH($A11&amp;"|"&amp;E$5,Dados!$A$2:$A$49,0))="","",INDEX(Dados!$K$2:$K$49,MATCH($A11&amp;"|"&amp;E$5,Dados!$A$2:$A$49,0))),"")</f>
        <v>1.500798327253176E-2</v>
      </c>
      <c r="F11" s="10">
        <f>IFERROR(IF(INDEX(Dados!$K$2:$K$49,MATCH($A11&amp;"|"&amp;F$5,Dados!$A$2:$A$49,0))="","",INDEX(Dados!$K$2:$K$49,MATCH($A11&amp;"|"&amp;F$5,Dados!$A$2:$A$49,0))),"")</f>
        <v>1.4880511776466631E-2</v>
      </c>
      <c r="G11" s="10">
        <f>IFERROR(IF(INDEX(Dados!$K$2:$K$49,MATCH($A11&amp;"|"&amp;G$5,Dados!$A$2:$A$49,0))="","",INDEX(Dados!$K$2:$K$49,MATCH($A11&amp;"|"&amp;G$5,Dados!$A$2:$A$49,0))),"")</f>
        <v>1.4836140132645507E-2</v>
      </c>
      <c r="H11" s="10">
        <f>IFERROR(IF(INDEX(Dados!$K$2:$K$49,MATCH($A11&amp;"|"&amp;H$5,Dados!$A$2:$A$49,0))="","",INDEX(Dados!$K$2:$K$49,MATCH($A11&amp;"|"&amp;H$5,Dados!$A$2:$A$49,0))),"")</f>
        <v>1.5078962380792576E-2</v>
      </c>
      <c r="I11" s="10">
        <f>IFERROR(IF(INDEX(Dados!$K$2:$K$49,MATCH($A11&amp;"|"&amp;I$5,Dados!$A$2:$A$49,0))="","",INDEX(Dados!$K$2:$K$49,MATCH($A11&amp;"|"&amp;I$5,Dados!$A$2:$A$49,0))),"")</f>
        <v>1.5306309018634588E-2</v>
      </c>
      <c r="J11" s="10">
        <f>IFERROR(IF(INDEX(Dados!$K$2:$K$49,MATCH($A11&amp;"|"&amp;J$5,Dados!$A$2:$A$49,0))="","",INDEX(Dados!$K$2:$K$49,MATCH($A11&amp;"|"&amp;J$5,Dados!$A$2:$A$49,0))),"")</f>
        <v>1.5425741467231673E-2</v>
      </c>
      <c r="K11" s="10">
        <f>IFERROR(IF(INDEX(Dados!$N$2:$N$49,MATCH($A11&amp;"|"&amp;J$5,Dados!$A$2:$A$49,0))=0,"—",INDEX(Dados!$N$2:$N$49,MATCH($A11&amp;"|"&amp;J$5,Dados!$A$2:$A$49,0))),"—")</f>
        <v>0.02</v>
      </c>
      <c r="L11" s="9" t="str">
        <f>IFERROR(IF(INDEX(Dados!$T$2:$T$49,MATCH($A11&amp;"|"&amp;J$5,Dados!$A$2:$A$49,0))="","—",INDEX(Dados!$T$2:$T$49,MATCH($A11&amp;"|"&amp;J$5,Dados!$A$2:$A$49,0))),"—")</f>
        <v>Abaixo do limite de alerta</v>
      </c>
    </row>
    <row r="12" spans="1:12" x14ac:dyDescent="0.25">
      <c r="A12" s="3" t="s">
        <v>24</v>
      </c>
      <c r="B12" s="11" t="s">
        <v>25</v>
      </c>
      <c r="C12" s="12">
        <f>IFERROR(INDEX(Dados!$J$2:$J$49,MATCH("Governo|"&amp;C$5,Dados!$A$2:$A$49,0))/1000000,"")</f>
        <v>62703.02504036</v>
      </c>
      <c r="D12" s="12">
        <f>IFERROR(INDEX(Dados!$J$2:$J$49,MATCH("Governo|"&amp;D$5,Dados!$A$2:$A$49,0))/1000000,"")</f>
        <v>64913.246621730003</v>
      </c>
      <c r="E12" s="12">
        <f>IFERROR(INDEX(Dados!$J$2:$J$49,MATCH("Governo|"&amp;E$5,Dados!$A$2:$A$49,0))/1000000,"")</f>
        <v>66084.61664701</v>
      </c>
      <c r="F12" s="12">
        <f>IFERROR(INDEX(Dados!$J$2:$J$49,MATCH("Governo|"&amp;F$5,Dados!$A$2:$A$49,0))/1000000,"")</f>
        <v>68346.595194959998</v>
      </c>
      <c r="G12" s="12">
        <f>IFERROR(INDEX(Dados!$J$2:$J$49,MATCH("Governo|"&amp;G$5,Dados!$A$2:$A$49,0))/1000000,"")</f>
        <v>69774.091880690001</v>
      </c>
      <c r="H12" s="12">
        <f>IFERROR(INDEX(Dados!$J$2:$J$49,MATCH("Governo|"&amp;H$5,Dados!$A$2:$A$49,0))/1000000,"")</f>
        <v>71052.802963070004</v>
      </c>
      <c r="I12" s="12">
        <f>IFERROR(INDEX(Dados!$J$2:$J$49,MATCH("Governo|"&amp;I$5,Dados!$A$2:$A$49,0))/1000000,"")</f>
        <v>71010.487165570012</v>
      </c>
      <c r="J12" s="12">
        <f>IFERROR(INDEX(Dados!$J$2:$J$49,MATCH("Governo|"&amp;J$5,Dados!$A$2:$A$49,0))/1000000,"")</f>
        <v>71562.057716640003</v>
      </c>
    </row>
    <row r="14" spans="1:12" x14ac:dyDescent="0.25">
      <c r="A14" s="3" t="s">
        <v>26</v>
      </c>
    </row>
    <row r="15" spans="1:12" ht="44.1" customHeight="1" x14ac:dyDescent="0.25">
      <c r="A15" s="4" t="s">
        <v>3</v>
      </c>
      <c r="B15" s="4" t="s">
        <v>4</v>
      </c>
      <c r="C15" s="4" t="s">
        <v>5</v>
      </c>
      <c r="D15" s="4" t="s">
        <v>6</v>
      </c>
      <c r="E15" s="4" t="s">
        <v>7</v>
      </c>
      <c r="F15" s="4" t="s">
        <v>8</v>
      </c>
      <c r="G15" s="4" t="s">
        <v>9</v>
      </c>
      <c r="H15" s="4" t="s">
        <v>10</v>
      </c>
      <c r="I15" s="4" t="s">
        <v>11</v>
      </c>
      <c r="J15" s="4" t="s">
        <v>12</v>
      </c>
    </row>
    <row r="16" spans="1:12" x14ac:dyDescent="0.25">
      <c r="A16" s="5" t="s">
        <v>15</v>
      </c>
      <c r="B16" s="6" t="s">
        <v>16</v>
      </c>
      <c r="C16" s="13">
        <f>IFERROR(IF(INDEX(Dados!$I$2:$I$49,MATCH($A16&amp;"|"&amp;C$15,Dados!$A$2:$A$49,0))="","",INDEX(Dados!$I$2:$I$49,MATCH($A16&amp;"|"&amp;C$15,Dados!$A$2:$A$49,0))/1000000),"")</f>
        <v>26332.058971099999</v>
      </c>
      <c r="D16" s="13">
        <f>IFERROR(IF(INDEX(Dados!$I$2:$I$49,MATCH($A16&amp;"|"&amp;D$15,Dados!$A$2:$A$49,0))="","",INDEX(Dados!$I$2:$I$49,MATCH($A16&amp;"|"&amp;D$15,Dados!$A$2:$A$49,0))/1000000),"")</f>
        <v>26644.12020003</v>
      </c>
      <c r="E16" s="13">
        <f>IFERROR(IF(INDEX(Dados!$I$2:$I$49,MATCH($A16&amp;"|"&amp;E$15,Dados!$A$2:$A$49,0))="","",INDEX(Dados!$I$2:$I$49,MATCH($A16&amp;"|"&amp;E$15,Dados!$A$2:$A$49,0))/1000000),"")</f>
        <v>28222.023933459997</v>
      </c>
      <c r="F16" s="13">
        <f>IFERROR(IF(INDEX(Dados!$I$2:$I$49,MATCH($A16&amp;"|"&amp;F$15,Dados!$A$2:$A$49,0))="","",INDEX(Dados!$I$2:$I$49,MATCH($A16&amp;"|"&amp;F$15,Dados!$A$2:$A$49,0))/1000000),"")</f>
        <v>28767.357361509999</v>
      </c>
      <c r="G16" s="13">
        <f>IFERROR(IF(INDEX(Dados!$I$2:$I$49,MATCH($A16&amp;"|"&amp;G$15,Dados!$A$2:$A$49,0))="","",INDEX(Dados!$I$2:$I$49,MATCH($A16&amp;"|"&amp;G$15,Dados!$A$2:$A$49,0))/1000000),"")</f>
        <v>29464.95844115</v>
      </c>
      <c r="H16" s="13">
        <f>IFERROR(IF(INDEX(Dados!$I$2:$I$49,MATCH($A16&amp;"|"&amp;H$15,Dados!$A$2:$A$49,0))="","",INDEX(Dados!$I$2:$I$49,MATCH($A16&amp;"|"&amp;H$15,Dados!$A$2:$A$49,0))/1000000),"")</f>
        <v>30171.103608450001</v>
      </c>
      <c r="I16" s="13">
        <f>IFERROR(IF(INDEX(Dados!$I$2:$I$49,MATCH($A16&amp;"|"&amp;I$15,Dados!$A$2:$A$49,0))="","",INDEX(Dados!$I$2:$I$49,MATCH($A16&amp;"|"&amp;I$15,Dados!$A$2:$A$49,0))/1000000),"")</f>
        <v>31004.640787230001</v>
      </c>
      <c r="J16" s="13">
        <f>IFERROR(IF(INDEX(Dados!$I$2:$I$49,MATCH($A16&amp;"|"&amp;J$15,Dados!$A$2:$A$49,0))="","",INDEX(Dados!$I$2:$I$49,MATCH($A16&amp;"|"&amp;J$15,Dados!$A$2:$A$49,0))/1000000),"")</f>
        <v>32116.181717599997</v>
      </c>
    </row>
    <row r="17" spans="1:10" x14ac:dyDescent="0.25">
      <c r="A17" s="8" t="s">
        <v>17</v>
      </c>
      <c r="B17" s="9" t="s">
        <v>18</v>
      </c>
      <c r="C17" s="14">
        <f>IFERROR(IF(INDEX(Dados!$I$2:$I$49,MATCH($A17&amp;"|"&amp;C$15,Dados!$A$2:$A$49,0))="","",INDEX(Dados!$I$2:$I$49,MATCH($A17&amp;"|"&amp;C$15,Dados!$A$2:$A$49,0))/1000000),"")</f>
        <v>529.09725853999998</v>
      </c>
      <c r="D17" s="14">
        <f>IFERROR(IF(INDEX(Dados!$I$2:$I$49,MATCH($A17&amp;"|"&amp;D$15,Dados!$A$2:$A$49,0))="","",INDEX(Dados!$I$2:$I$49,MATCH($A17&amp;"|"&amp;D$15,Dados!$A$2:$A$49,0))/1000000),"")</f>
        <v>539.00514048000002</v>
      </c>
      <c r="E17" s="14">
        <f>IFERROR(IF(INDEX(Dados!$I$2:$I$49,MATCH($A17&amp;"|"&amp;E$15,Dados!$A$2:$A$49,0))="","",INDEX(Dados!$I$2:$I$49,MATCH($A17&amp;"|"&amp;E$15,Dados!$A$2:$A$49,0))/1000000),"")</f>
        <v>556.33756940000001</v>
      </c>
      <c r="F17" s="14">
        <f>IFERROR(IF(INDEX(Dados!$I$2:$I$49,MATCH($A17&amp;"|"&amp;F$15,Dados!$A$2:$A$49,0))="","",INDEX(Dados!$I$2:$I$49,MATCH($A17&amp;"|"&amp;F$15,Dados!$A$2:$A$49,0))/1000000),"")</f>
        <v>566.37144344000001</v>
      </c>
      <c r="G17" s="14">
        <f>IFERROR(IF(INDEX(Dados!$I$2:$I$49,MATCH($A17&amp;"|"&amp;G$15,Dados!$A$2:$A$49,0))="","",INDEX(Dados!$I$2:$I$49,MATCH($A17&amp;"|"&amp;G$15,Dados!$A$2:$A$49,0))/1000000),"")</f>
        <v>589.13400205999994</v>
      </c>
      <c r="H17" s="14">
        <f>IFERROR(IF(INDEX(Dados!$I$2:$I$49,MATCH($A17&amp;"|"&amp;H$15,Dados!$A$2:$A$49,0))="","",INDEX(Dados!$I$2:$I$49,MATCH($A17&amp;"|"&amp;H$15,Dados!$A$2:$A$49,0))/1000000),"")</f>
        <v>587.52958613999999</v>
      </c>
      <c r="I17" s="14">
        <f>IFERROR(IF(INDEX(Dados!$I$2:$I$49,MATCH($A17&amp;"|"&amp;I$15,Dados!$A$2:$A$49,0))="","",INDEX(Dados!$I$2:$I$49,MATCH($A17&amp;"|"&amp;I$15,Dados!$A$2:$A$49,0))/1000000),"")</f>
        <v>599.67179264999993</v>
      </c>
      <c r="J17" s="14">
        <f>IFERROR(IF(INDEX(Dados!$I$2:$I$49,MATCH($A17&amp;"|"&amp;J$15,Dados!$A$2:$A$49,0))="","",INDEX(Dados!$I$2:$I$49,MATCH($A17&amp;"|"&amp;J$15,Dados!$A$2:$A$49,0))/1000000),"")</f>
        <v>621.99284491999992</v>
      </c>
    </row>
    <row r="18" spans="1:10" x14ac:dyDescent="0.25">
      <c r="A18" s="8" t="s">
        <v>19</v>
      </c>
      <c r="B18" s="9" t="s">
        <v>20</v>
      </c>
      <c r="C18" s="14">
        <f>IFERROR(IF(INDEX(Dados!$I$2:$I$49,MATCH($A18&amp;"|"&amp;C$15,Dados!$A$2:$A$49,0))="","",INDEX(Dados!$I$2:$I$49,MATCH($A18&amp;"|"&amp;C$15,Dados!$A$2:$A$49,0))/1000000),"")</f>
        <v>2499.0084246700003</v>
      </c>
      <c r="D18" s="14">
        <f>IFERROR(IF(INDEX(Dados!$I$2:$I$49,MATCH($A18&amp;"|"&amp;D$15,Dados!$A$2:$A$49,0))="","",INDEX(Dados!$I$2:$I$49,MATCH($A18&amp;"|"&amp;D$15,Dados!$A$2:$A$49,0))/1000000),"")</f>
        <v>2480.8693544000002</v>
      </c>
      <c r="E18" s="14">
        <f>IFERROR(IF(INDEX(Dados!$I$2:$I$49,MATCH($A18&amp;"|"&amp;E$15,Dados!$A$2:$A$49,0))="","",INDEX(Dados!$I$2:$I$49,MATCH($A18&amp;"|"&amp;E$15,Dados!$A$2:$A$49,0))/1000000),"")</f>
        <v>2705.1506321799998</v>
      </c>
      <c r="F18" s="14">
        <f>IFERROR(IF(INDEX(Dados!$I$2:$I$49,MATCH($A18&amp;"|"&amp;F$15,Dados!$A$2:$A$49,0))="","",INDEX(Dados!$I$2:$I$49,MATCH($A18&amp;"|"&amp;F$15,Dados!$A$2:$A$49,0))/1000000),"")</f>
        <v>2726.7858224000001</v>
      </c>
      <c r="G18" s="14">
        <f>IFERROR(IF(INDEX(Dados!$I$2:$I$49,MATCH($A18&amp;"|"&amp;G$15,Dados!$A$2:$A$49,0))="","",INDEX(Dados!$I$2:$I$49,MATCH($A18&amp;"|"&amp;G$15,Dados!$A$2:$A$49,0))/1000000),"")</f>
        <v>2794.0596409099999</v>
      </c>
      <c r="H18" s="14">
        <f>IFERROR(IF(INDEX(Dados!$I$2:$I$49,MATCH($A18&amp;"|"&amp;H$15,Dados!$A$2:$A$49,0))="","",INDEX(Dados!$I$2:$I$49,MATCH($A18&amp;"|"&amp;H$15,Dados!$A$2:$A$49,0))/1000000),"")</f>
        <v>2892.3416768000002</v>
      </c>
      <c r="I18" s="14">
        <f>IFERROR(IF(INDEX(Dados!$I$2:$I$49,MATCH($A18&amp;"|"&amp;I$15,Dados!$A$2:$A$49,0))="","",INDEX(Dados!$I$2:$I$49,MATCH($A18&amp;"|"&amp;I$15,Dados!$A$2:$A$49,0))/1000000),"")</f>
        <v>2974.4873224099997</v>
      </c>
      <c r="J18" s="14">
        <f>IFERROR(IF(INDEX(Dados!$I$2:$I$49,MATCH($A18&amp;"|"&amp;J$15,Dados!$A$2:$A$49,0))="","",INDEX(Dados!$I$2:$I$49,MATCH($A18&amp;"|"&amp;J$15,Dados!$A$2:$A$49,0))/1000000),"")</f>
        <v>3062.91289259</v>
      </c>
    </row>
    <row r="19" spans="1:10" x14ac:dyDescent="0.25">
      <c r="A19" s="8" t="s">
        <v>21</v>
      </c>
      <c r="B19" s="9" t="s">
        <v>21</v>
      </c>
      <c r="C19" s="14">
        <f>IFERROR(IF(INDEX(Dados!$I$2:$I$49,MATCH($A19&amp;"|"&amp;C$15,Dados!$A$2:$A$49,0))="","",INDEX(Dados!$I$2:$I$49,MATCH($A19&amp;"|"&amp;C$15,Dados!$A$2:$A$49,0))/1000000),"")</f>
        <v>460.55257363999999</v>
      </c>
      <c r="D19" s="14">
        <f>IFERROR(IF(INDEX(Dados!$I$2:$I$49,MATCH($A19&amp;"|"&amp;D$15,Dados!$A$2:$A$49,0))="","",INDEX(Dados!$I$2:$I$49,MATCH($A19&amp;"|"&amp;D$15,Dados!$A$2:$A$49,0))/1000000),"")</f>
        <v>491.95535948000003</v>
      </c>
      <c r="E19" s="14">
        <f>IFERROR(IF(INDEX(Dados!$I$2:$I$49,MATCH($A19&amp;"|"&amp;E$15,Dados!$A$2:$A$49,0))="","",INDEX(Dados!$I$2:$I$49,MATCH($A19&amp;"|"&amp;E$15,Dados!$A$2:$A$49,0))/1000000),"")</f>
        <v>561.51419178999993</v>
      </c>
      <c r="F19" s="14">
        <f>IFERROR(IF(INDEX(Dados!$I$2:$I$49,MATCH($A19&amp;"|"&amp;F$15,Dados!$A$2:$A$49,0))="","",INDEX(Dados!$I$2:$I$49,MATCH($A19&amp;"|"&amp;F$15,Dados!$A$2:$A$49,0))/1000000),"")</f>
        <v>578.89604711000004</v>
      </c>
      <c r="G19" s="14">
        <f>IFERROR(IF(INDEX(Dados!$I$2:$I$49,MATCH($A19&amp;"|"&amp;G$15,Dados!$A$2:$A$49,0))="","",INDEX(Dados!$I$2:$I$49,MATCH($A19&amp;"|"&amp;G$15,Dados!$A$2:$A$49,0))/1000000),"")</f>
        <v>587.50106262999998</v>
      </c>
      <c r="H19" s="14">
        <f>IFERROR(IF(INDEX(Dados!$I$2:$I$49,MATCH($A19&amp;"|"&amp;H$15,Dados!$A$2:$A$49,0))="","",INDEX(Dados!$I$2:$I$49,MATCH($A19&amp;"|"&amp;H$15,Dados!$A$2:$A$49,0))/1000000),"")</f>
        <v>585.37798350000003</v>
      </c>
      <c r="I19" s="14">
        <f>IFERROR(IF(INDEX(Dados!$I$2:$I$49,MATCH($A19&amp;"|"&amp;I$15,Dados!$A$2:$A$49,0))="","",INDEX(Dados!$I$2:$I$49,MATCH($A19&amp;"|"&amp;I$15,Dados!$A$2:$A$49,0))/1000000),"")</f>
        <v>612.70939725999995</v>
      </c>
      <c r="J19" s="14">
        <f>IFERROR(IF(INDEX(Dados!$I$2:$I$49,MATCH($A19&amp;"|"&amp;J$15,Dados!$A$2:$A$49,0))="","",INDEX(Dados!$I$2:$I$49,MATCH($A19&amp;"|"&amp;J$15,Dados!$A$2:$A$49,0))/1000000),"")</f>
        <v>622.64181578</v>
      </c>
    </row>
    <row r="20" spans="1:10" x14ac:dyDescent="0.25">
      <c r="A20" s="8" t="s">
        <v>22</v>
      </c>
      <c r="B20" s="9" t="s">
        <v>22</v>
      </c>
      <c r="C20" s="14">
        <f>IFERROR(IF(INDEX(Dados!$I$2:$I$49,MATCH($A20&amp;"|"&amp;C$15,Dados!$A$2:$A$49,0))="","",INDEX(Dados!$I$2:$I$49,MATCH($A20&amp;"|"&amp;C$15,Dados!$A$2:$A$49,0))/1000000),"")</f>
        <v>113.26046918999999</v>
      </c>
      <c r="D20" s="14">
        <f>IFERROR(IF(INDEX(Dados!$I$2:$I$49,MATCH($A20&amp;"|"&amp;D$15,Dados!$A$2:$A$49,0))="","",INDEX(Dados!$I$2:$I$49,MATCH($A20&amp;"|"&amp;D$15,Dados!$A$2:$A$49,0))/1000000),"")</f>
        <v>114.60777151000001</v>
      </c>
      <c r="E20" s="14">
        <f>IFERROR(IF(INDEX(Dados!$I$2:$I$49,MATCH($A20&amp;"|"&amp;E$15,Dados!$A$2:$A$49,0))="","",INDEX(Dados!$I$2:$I$49,MATCH($A20&amp;"|"&amp;E$15,Dados!$A$2:$A$49,0))/1000000),"")</f>
        <v>132.42779665999998</v>
      </c>
      <c r="F20" s="14">
        <f>IFERROR(IF(INDEX(Dados!$I$2:$I$49,MATCH($A20&amp;"|"&amp;F$15,Dados!$A$2:$A$49,0))="","",INDEX(Dados!$I$2:$I$49,MATCH($A20&amp;"|"&amp;F$15,Dados!$A$2:$A$49,0))/1000000),"")</f>
        <v>134.65401196000002</v>
      </c>
      <c r="G20" s="14">
        <f>IFERROR(IF(INDEX(Dados!$I$2:$I$49,MATCH($A20&amp;"|"&amp;G$15,Dados!$A$2:$A$49,0))="","",INDEX(Dados!$I$2:$I$49,MATCH($A20&amp;"|"&amp;G$15,Dados!$A$2:$A$49,0))/1000000),"")</f>
        <v>143.39995769000001</v>
      </c>
      <c r="H20" s="14">
        <f>IFERROR(IF(INDEX(Dados!$I$2:$I$49,MATCH($A20&amp;"|"&amp;H$15,Dados!$A$2:$A$49,0))="","",INDEX(Dados!$I$2:$I$49,MATCH($A20&amp;"|"&amp;H$15,Dados!$A$2:$A$49,0))/1000000),"")</f>
        <v>155.16005146999998</v>
      </c>
      <c r="I20" s="14">
        <f>IFERROR(IF(INDEX(Dados!$I$2:$I$49,MATCH($A20&amp;"|"&amp;I$15,Dados!$A$2:$A$49,0))="","",INDEX(Dados!$I$2:$I$49,MATCH($A20&amp;"|"&amp;I$15,Dados!$A$2:$A$49,0))/1000000),"")</f>
        <v>164.17663285</v>
      </c>
      <c r="J20" s="14">
        <f>IFERROR(IF(INDEX(Dados!$I$2:$I$49,MATCH($A20&amp;"|"&amp;J$15,Dados!$A$2:$A$49,0))="","",INDEX(Dados!$I$2:$I$49,MATCH($A20&amp;"|"&amp;J$15,Dados!$A$2:$A$49,0))/1000000),"")</f>
        <v>173.53387941999998</v>
      </c>
    </row>
    <row r="21" spans="1:10" x14ac:dyDescent="0.25">
      <c r="A21" s="8" t="s">
        <v>23</v>
      </c>
      <c r="B21" s="9" t="s">
        <v>23</v>
      </c>
      <c r="C21" s="14">
        <f>IFERROR(IF(INDEX(Dados!$I$2:$I$49,MATCH($A21&amp;"|"&amp;C$15,Dados!$A$2:$A$49,0))="","",INDEX(Dados!$I$2:$I$49,MATCH($A21&amp;"|"&amp;C$15,Dados!$A$2:$A$49,0))/1000000),"")</f>
        <v>914.64486858999999</v>
      </c>
      <c r="D21" s="14">
        <f>IFERROR(IF(INDEX(Dados!$I$2:$I$49,MATCH($A21&amp;"|"&amp;D$15,Dados!$A$2:$A$49,0))="","",INDEX(Dados!$I$2:$I$49,MATCH($A21&amp;"|"&amp;D$15,Dados!$A$2:$A$49,0))/1000000),"")</f>
        <v>910.85425565999992</v>
      </c>
      <c r="E21" s="14">
        <f>IFERROR(IF(INDEX(Dados!$I$2:$I$49,MATCH($A21&amp;"|"&amp;E$15,Dados!$A$2:$A$49,0))="","",INDEX(Dados!$I$2:$I$49,MATCH($A21&amp;"|"&amp;E$15,Dados!$A$2:$A$49,0))/1000000),"")</f>
        <v>991.79682121000008</v>
      </c>
      <c r="F21" s="14">
        <f>IFERROR(IF(INDEX(Dados!$I$2:$I$49,MATCH($A21&amp;"|"&amp;F$15,Dados!$A$2:$A$49,0))="","",INDEX(Dados!$I$2:$I$49,MATCH($A21&amp;"|"&amp;F$15,Dados!$A$2:$A$49,0))/1000000),"")</f>
        <v>1017.0323146799999</v>
      </c>
      <c r="G21" s="14">
        <f>IFERROR(IF(INDEX(Dados!$I$2:$I$49,MATCH($A21&amp;"|"&amp;G$15,Dados!$A$2:$A$49,0))="","",INDEX(Dados!$I$2:$I$49,MATCH($A21&amp;"|"&amp;G$15,Dados!$A$2:$A$49,0))/1000000),"")</f>
        <v>1035.1782047700001</v>
      </c>
      <c r="H21" s="14">
        <f>IFERROR(IF(INDEX(Dados!$I$2:$I$49,MATCH($A21&amp;"|"&amp;H$15,Dados!$A$2:$A$49,0))="","",INDEX(Dados!$I$2:$I$49,MATCH($A21&amp;"|"&amp;H$15,Dados!$A$2:$A$49,0))/1000000),"")</f>
        <v>1071.40254293</v>
      </c>
      <c r="I21" s="14">
        <f>IFERROR(IF(INDEX(Dados!$I$2:$I$49,MATCH($A21&amp;"|"&amp;I$15,Dados!$A$2:$A$49,0))="","",INDEX(Dados!$I$2:$I$49,MATCH($A21&amp;"|"&amp;I$15,Dados!$A$2:$A$49,0))/1000000),"")</f>
        <v>1086.90846012</v>
      </c>
      <c r="J21" s="14">
        <f>IFERROR(IF(INDEX(Dados!$I$2:$I$49,MATCH($A21&amp;"|"&amp;J$15,Dados!$A$2:$A$49,0))="","",INDEX(Dados!$I$2:$I$49,MATCH($A21&amp;"|"&amp;J$15,Dados!$A$2:$A$49,0))/1000000),"")</f>
        <v>1103.8978012</v>
      </c>
    </row>
    <row r="23" spans="1:10" x14ac:dyDescent="0.25">
      <c r="A23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hidden="1" customWidth="1"/>
    <col min="2" max="2" width="30" customWidth="1"/>
    <col min="3" max="3" width="20" customWidth="1"/>
    <col min="4" max="4" width="44" customWidth="1"/>
    <col min="5" max="5" width="10" customWidth="1"/>
    <col min="6" max="6" width="12" customWidth="1"/>
    <col min="7" max="7" width="15" customWidth="1"/>
    <col min="8" max="8" width="20" customWidth="1"/>
    <col min="9" max="10" width="22" customWidth="1"/>
    <col min="11" max="12" width="13" customWidth="1"/>
    <col min="13" max="13" width="14" customWidth="1"/>
    <col min="14" max="16" width="11" customWidth="1"/>
    <col min="17" max="19" width="20" customWidth="1"/>
    <col min="20" max="20" width="26" customWidth="1"/>
    <col min="21" max="21" width="44" customWidth="1"/>
  </cols>
  <sheetData>
    <row r="1" spans="1:21" ht="42" customHeight="1" x14ac:dyDescent="0.25">
      <c r="A1" s="4" t="s">
        <v>28</v>
      </c>
      <c r="B1" s="4" t="s">
        <v>3</v>
      </c>
      <c r="C1" s="4" t="s">
        <v>4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  <c r="U1" s="4" t="s">
        <v>46</v>
      </c>
    </row>
    <row r="2" spans="1:21" x14ac:dyDescent="0.25">
      <c r="A2" s="9" t="str">
        <f t="shared" ref="A2:A49" si="0">B2&amp;"|"&amp;G2</f>
        <v>Governo|1º quad. 2024</v>
      </c>
      <c r="B2" s="9" t="s">
        <v>15</v>
      </c>
      <c r="C2" s="9" t="s">
        <v>16</v>
      </c>
      <c r="D2" s="9" t="s">
        <v>47</v>
      </c>
      <c r="E2" s="9" t="s">
        <v>48</v>
      </c>
      <c r="F2" s="9">
        <v>1</v>
      </c>
      <c r="G2" s="9" t="s">
        <v>5</v>
      </c>
      <c r="H2" s="9" t="s">
        <v>49</v>
      </c>
      <c r="I2" s="15">
        <v>26332058971.099998</v>
      </c>
      <c r="J2" s="15">
        <v>62703025040.360001</v>
      </c>
      <c r="K2" s="10">
        <f t="shared" ref="K2:K49" si="1">IF(OR(I2="",J2="",J2=0),"",I2/J2)</f>
        <v>0.41994878164412108</v>
      </c>
      <c r="L2" s="16">
        <v>0.4199</v>
      </c>
      <c r="M2" s="9" t="str">
        <f t="shared" ref="M2:M49" si="2">IF(L2="","Não declarado",IF(K2="","Sem dado",IF(ABS(K2-L2)&lt;=0.00005,"Sim","Não")))</f>
        <v>Sim</v>
      </c>
      <c r="N2" s="16">
        <v>0.49</v>
      </c>
      <c r="O2" s="16">
        <v>0.46550000000000002</v>
      </c>
      <c r="P2" s="16">
        <v>0.441</v>
      </c>
      <c r="Q2" s="15">
        <v>30724482269.779999</v>
      </c>
      <c r="R2" s="15">
        <v>29188258156.290001</v>
      </c>
      <c r="S2" s="15">
        <v>27652034042.799999</v>
      </c>
      <c r="T2" s="9" t="str">
        <f t="shared" ref="T2:T49" si="3">IF(K2="","Sem dado",IF(N2="","Sem limite próprio na LRF",IF(AND(Q2&lt;&gt;"",R2&lt;&gt;"",S2&lt;&gt;""),IF(I2&gt;Q2,"Acima do limite máximo",IF(I2&gt;R2,"Acima do limite prudencial",IF(I2&gt;S2,"Acima do limite de alerta","Abaixo do limite de alerta"))),IF(K2&gt;N2,"Acima do limite máximo",IF(K2&gt;O2,"Acima do limite prudencial",IF(K2&gt;P2,"Acima do limite de alerta","Abaixo do limite de alerta"))))))</f>
        <v>Abaixo do limite de alerta</v>
      </c>
      <c r="U2" s="9" t="s">
        <v>50</v>
      </c>
    </row>
    <row r="3" spans="1:21" x14ac:dyDescent="0.25">
      <c r="A3" s="9" t="str">
        <f t="shared" si="0"/>
        <v>Governo|2º quad. 2024</v>
      </c>
      <c r="B3" s="9" t="s">
        <v>15</v>
      </c>
      <c r="C3" s="9" t="s">
        <v>16</v>
      </c>
      <c r="D3" s="9" t="s">
        <v>47</v>
      </c>
      <c r="E3" s="9" t="s">
        <v>48</v>
      </c>
      <c r="F3" s="9">
        <v>2</v>
      </c>
      <c r="G3" s="9" t="s">
        <v>6</v>
      </c>
      <c r="H3" s="9" t="s">
        <v>51</v>
      </c>
      <c r="I3" s="15">
        <v>26644120200.029999</v>
      </c>
      <c r="J3" s="15">
        <v>64913246621.730003</v>
      </c>
      <c r="K3" s="10">
        <f t="shared" si="1"/>
        <v>0.41045736558662216</v>
      </c>
      <c r="L3" s="16">
        <v>0.41049999999999998</v>
      </c>
      <c r="M3" s="9" t="str">
        <f t="shared" si="2"/>
        <v>Sim</v>
      </c>
      <c r="N3" s="16">
        <v>0.49</v>
      </c>
      <c r="O3" s="16">
        <v>0.46550000000000002</v>
      </c>
      <c r="P3" s="16">
        <v>0.441</v>
      </c>
      <c r="Q3" s="15">
        <v>31807490844.650002</v>
      </c>
      <c r="R3" s="15">
        <v>30217116302.419998</v>
      </c>
      <c r="S3" s="15">
        <v>28626741760.189999</v>
      </c>
      <c r="T3" s="9" t="str">
        <f t="shared" si="3"/>
        <v>Abaixo do limite de alerta</v>
      </c>
      <c r="U3" s="9" t="s">
        <v>50</v>
      </c>
    </row>
    <row r="4" spans="1:21" x14ac:dyDescent="0.25">
      <c r="A4" s="9" t="str">
        <f t="shared" si="0"/>
        <v>Governo|3º quad. 2024</v>
      </c>
      <c r="B4" s="9" t="s">
        <v>15</v>
      </c>
      <c r="C4" s="9" t="s">
        <v>16</v>
      </c>
      <c r="D4" s="9" t="s">
        <v>47</v>
      </c>
      <c r="E4" s="9" t="s">
        <v>48</v>
      </c>
      <c r="F4" s="9">
        <v>3</v>
      </c>
      <c r="G4" s="9" t="s">
        <v>7</v>
      </c>
      <c r="H4" s="9" t="s">
        <v>52</v>
      </c>
      <c r="I4" s="15">
        <v>28222023933.459999</v>
      </c>
      <c r="J4" s="15">
        <v>66084616647.010002</v>
      </c>
      <c r="K4" s="10">
        <f t="shared" si="1"/>
        <v>0.42705890365086813</v>
      </c>
      <c r="L4" s="16">
        <v>0.42709999999999998</v>
      </c>
      <c r="M4" s="9" t="str">
        <f t="shared" si="2"/>
        <v>Sim</v>
      </c>
      <c r="N4" s="16">
        <v>0.49</v>
      </c>
      <c r="O4" s="16">
        <v>0.46550000000000002</v>
      </c>
      <c r="P4" s="16">
        <v>0.441</v>
      </c>
      <c r="Q4" s="15">
        <v>32381462157.029999</v>
      </c>
      <c r="R4" s="15">
        <v>30762389049.18</v>
      </c>
      <c r="S4" s="15">
        <v>29143315941.330002</v>
      </c>
      <c r="T4" s="9" t="str">
        <f t="shared" si="3"/>
        <v>Abaixo do limite de alerta</v>
      </c>
      <c r="U4" s="9" t="s">
        <v>50</v>
      </c>
    </row>
    <row r="5" spans="1:21" x14ac:dyDescent="0.25">
      <c r="A5" s="9" t="str">
        <f t="shared" si="0"/>
        <v>Governo|1º quad. 2025</v>
      </c>
      <c r="B5" s="9" t="s">
        <v>15</v>
      </c>
      <c r="C5" s="9" t="s">
        <v>16</v>
      </c>
      <c r="D5" s="9" t="s">
        <v>47</v>
      </c>
      <c r="E5" s="9" t="s">
        <v>53</v>
      </c>
      <c r="F5" s="9">
        <v>1</v>
      </c>
      <c r="G5" s="9" t="s">
        <v>8</v>
      </c>
      <c r="H5" s="9" t="s">
        <v>54</v>
      </c>
      <c r="I5" s="15">
        <v>28767357361.509998</v>
      </c>
      <c r="J5" s="15">
        <v>68346595194.959999</v>
      </c>
      <c r="K5" s="10">
        <f t="shared" si="1"/>
        <v>0.42090403010494598</v>
      </c>
      <c r="L5" s="16">
        <v>0.42090000000000011</v>
      </c>
      <c r="M5" s="9" t="str">
        <f t="shared" si="2"/>
        <v>Sim</v>
      </c>
      <c r="N5" s="16">
        <v>0.49</v>
      </c>
      <c r="O5" s="16">
        <v>0.46550000000000002</v>
      </c>
      <c r="P5" s="16">
        <v>0.441</v>
      </c>
      <c r="Q5" s="15">
        <v>33489831645.529999</v>
      </c>
      <c r="R5" s="15">
        <v>31815340063.25</v>
      </c>
      <c r="S5" s="15">
        <v>30140848480.98</v>
      </c>
      <c r="T5" s="9" t="str">
        <f t="shared" si="3"/>
        <v>Abaixo do limite de alerta</v>
      </c>
      <c r="U5" s="9" t="s">
        <v>50</v>
      </c>
    </row>
    <row r="6" spans="1:21" x14ac:dyDescent="0.25">
      <c r="A6" s="9" t="str">
        <f t="shared" si="0"/>
        <v>Governo|2º quad. 2025</v>
      </c>
      <c r="B6" s="9" t="s">
        <v>15</v>
      </c>
      <c r="C6" s="9" t="s">
        <v>16</v>
      </c>
      <c r="D6" s="9" t="s">
        <v>47</v>
      </c>
      <c r="E6" s="9" t="s">
        <v>53</v>
      </c>
      <c r="F6" s="9">
        <v>2</v>
      </c>
      <c r="G6" s="9" t="s">
        <v>9</v>
      </c>
      <c r="H6" s="9" t="s">
        <v>55</v>
      </c>
      <c r="I6" s="15">
        <v>29464958441.150002</v>
      </c>
      <c r="J6" s="15">
        <v>69774091880.690002</v>
      </c>
      <c r="K6" s="10">
        <f t="shared" si="1"/>
        <v>0.42229081951411879</v>
      </c>
      <c r="L6" s="16">
        <v>0.42230000000000001</v>
      </c>
      <c r="M6" s="9" t="str">
        <f t="shared" si="2"/>
        <v>Sim</v>
      </c>
      <c r="N6" s="16">
        <v>0.49</v>
      </c>
      <c r="O6" s="16">
        <v>0.46550000000000002</v>
      </c>
      <c r="P6" s="16">
        <v>0.441</v>
      </c>
      <c r="Q6" s="15">
        <v>34189305021.540001</v>
      </c>
      <c r="R6" s="15">
        <v>32479839770.459999</v>
      </c>
      <c r="S6" s="15">
        <v>30770374519.389999</v>
      </c>
      <c r="T6" s="9" t="str">
        <f t="shared" si="3"/>
        <v>Abaixo do limite de alerta</v>
      </c>
      <c r="U6" s="9" t="s">
        <v>50</v>
      </c>
    </row>
    <row r="7" spans="1:21" x14ac:dyDescent="0.25">
      <c r="A7" s="9" t="str">
        <f t="shared" si="0"/>
        <v>Governo|3º quad. 2025</v>
      </c>
      <c r="B7" s="9" t="s">
        <v>15</v>
      </c>
      <c r="C7" s="9" t="s">
        <v>16</v>
      </c>
      <c r="D7" s="9" t="s">
        <v>47</v>
      </c>
      <c r="E7" s="9" t="s">
        <v>53</v>
      </c>
      <c r="F7" s="9">
        <v>3</v>
      </c>
      <c r="G7" s="9" t="s">
        <v>10</v>
      </c>
      <c r="H7" s="9" t="s">
        <v>56</v>
      </c>
      <c r="I7" s="15">
        <v>30171103608.450001</v>
      </c>
      <c r="J7" s="15">
        <v>71052802963.070007</v>
      </c>
      <c r="K7" s="10">
        <f t="shared" si="1"/>
        <v>0.42462932284503341</v>
      </c>
      <c r="L7" s="16">
        <v>0.42459999999999998</v>
      </c>
      <c r="M7" s="9" t="str">
        <f t="shared" si="2"/>
        <v>Sim</v>
      </c>
      <c r="N7" s="16">
        <v>0.49</v>
      </c>
      <c r="O7" s="16">
        <v>0.46550000000000002</v>
      </c>
      <c r="P7" s="16">
        <v>0.441</v>
      </c>
      <c r="Q7" s="15">
        <v>34815873451.900002</v>
      </c>
      <c r="R7" s="15">
        <v>33075079779.310001</v>
      </c>
      <c r="S7" s="15">
        <v>31334286106.709999</v>
      </c>
      <c r="T7" s="9" t="str">
        <f t="shared" si="3"/>
        <v>Abaixo do limite de alerta</v>
      </c>
      <c r="U7" s="9" t="s">
        <v>50</v>
      </c>
    </row>
    <row r="8" spans="1:21" x14ac:dyDescent="0.25">
      <c r="A8" s="9" t="str">
        <f t="shared" si="0"/>
        <v>Governo|1º quad. 2026</v>
      </c>
      <c r="B8" s="9" t="s">
        <v>15</v>
      </c>
      <c r="C8" s="9" t="s">
        <v>16</v>
      </c>
      <c r="D8" s="9" t="s">
        <v>47</v>
      </c>
      <c r="E8" s="9" t="s">
        <v>57</v>
      </c>
      <c r="F8" s="9">
        <v>1</v>
      </c>
      <c r="G8" s="9" t="s">
        <v>11</v>
      </c>
      <c r="H8" s="9" t="s">
        <v>58</v>
      </c>
      <c r="I8" s="15">
        <v>31004640787.23</v>
      </c>
      <c r="J8" s="15">
        <v>71010487165.570007</v>
      </c>
      <c r="K8" s="10">
        <f t="shared" si="1"/>
        <v>0.43662058978610757</v>
      </c>
      <c r="L8" s="16">
        <v>0.43659999999999999</v>
      </c>
      <c r="M8" s="9" t="str">
        <f t="shared" si="2"/>
        <v>Sim</v>
      </c>
      <c r="N8" s="16">
        <v>0.49</v>
      </c>
      <c r="O8" s="16">
        <v>0.46550000000000002</v>
      </c>
      <c r="P8" s="16">
        <v>0.441</v>
      </c>
      <c r="Q8" s="15">
        <v>34795138711.129997</v>
      </c>
      <c r="R8" s="15">
        <v>33055381775.57</v>
      </c>
      <c r="S8" s="15">
        <v>31315624840.02</v>
      </c>
      <c r="T8" s="9" t="str">
        <f t="shared" si="3"/>
        <v>Abaixo do limite de alerta</v>
      </c>
      <c r="U8" s="9" t="s">
        <v>50</v>
      </c>
    </row>
    <row r="9" spans="1:21" x14ac:dyDescent="0.25">
      <c r="A9" s="9" t="str">
        <f t="shared" si="0"/>
        <v>Governo|2º quad. 2026</v>
      </c>
      <c r="B9" s="9" t="s">
        <v>15</v>
      </c>
      <c r="C9" s="9" t="s">
        <v>16</v>
      </c>
      <c r="D9" s="9" t="s">
        <v>47</v>
      </c>
      <c r="E9" s="9" t="s">
        <v>57</v>
      </c>
      <c r="F9" s="9">
        <v>2</v>
      </c>
      <c r="G9" s="9" t="s">
        <v>12</v>
      </c>
      <c r="H9" s="9" t="s">
        <v>59</v>
      </c>
      <c r="I9" s="15">
        <v>32116181717.599998</v>
      </c>
      <c r="J9" s="15">
        <v>71562057716.639999</v>
      </c>
      <c r="K9" s="10">
        <f t="shared" si="1"/>
        <v>0.44878784571523256</v>
      </c>
      <c r="L9" s="16">
        <v>0.44879999999999998</v>
      </c>
      <c r="M9" s="9" t="str">
        <f t="shared" si="2"/>
        <v>Sim</v>
      </c>
      <c r="N9" s="16">
        <v>0.49</v>
      </c>
      <c r="O9" s="16">
        <v>0.46550000000000002</v>
      </c>
      <c r="P9" s="16">
        <v>0.441</v>
      </c>
      <c r="Q9" s="15">
        <v>35065408281.150002</v>
      </c>
      <c r="R9" s="15">
        <v>33312137867.09</v>
      </c>
      <c r="S9" s="15">
        <v>31558867453.040001</v>
      </c>
      <c r="T9" s="9" t="str">
        <f t="shared" si="3"/>
        <v>Acima do limite de alerta</v>
      </c>
      <c r="U9" s="9" t="s">
        <v>50</v>
      </c>
    </row>
    <row r="10" spans="1:21" x14ac:dyDescent="0.25">
      <c r="A10" s="9" t="str">
        <f t="shared" si="0"/>
        <v>Assembleia Legislativa|1º quad. 2024</v>
      </c>
      <c r="B10" s="9" t="s">
        <v>17</v>
      </c>
      <c r="C10" s="9" t="s">
        <v>18</v>
      </c>
      <c r="D10" s="9" t="s">
        <v>60</v>
      </c>
      <c r="E10" s="9" t="s">
        <v>48</v>
      </c>
      <c r="F10" s="9">
        <v>1</v>
      </c>
      <c r="G10" s="9" t="s">
        <v>5</v>
      </c>
      <c r="H10" s="9" t="s">
        <v>49</v>
      </c>
      <c r="I10" s="15">
        <v>529097258.54000002</v>
      </c>
      <c r="J10" s="15">
        <v>62703025040.360001</v>
      </c>
      <c r="K10" s="10">
        <f t="shared" si="1"/>
        <v>8.4381456588328314E-3</v>
      </c>
      <c r="L10" s="16">
        <v>8.3999999999999995E-3</v>
      </c>
      <c r="M10" s="9" t="str">
        <f t="shared" si="2"/>
        <v>Sim</v>
      </c>
      <c r="N10" s="16">
        <v>1.6400000000000001E-2</v>
      </c>
      <c r="O10" s="16">
        <v>1.5599999999999999E-2</v>
      </c>
      <c r="P10" s="16">
        <v>1.4800000000000001E-2</v>
      </c>
      <c r="Q10" s="15">
        <v>1028329610.66</v>
      </c>
      <c r="R10" s="15">
        <v>976913130.13</v>
      </c>
      <c r="S10" s="15">
        <v>925496649.59000003</v>
      </c>
      <c r="T10" s="9" t="str">
        <f t="shared" si="3"/>
        <v>Abaixo do limite de alerta</v>
      </c>
      <c r="U10" s="9" t="s">
        <v>50</v>
      </c>
    </row>
    <row r="11" spans="1:21" x14ac:dyDescent="0.25">
      <c r="A11" s="9" t="str">
        <f t="shared" si="0"/>
        <v>Assembleia Legislativa|2º quad. 2024</v>
      </c>
      <c r="B11" s="9" t="s">
        <v>17</v>
      </c>
      <c r="C11" s="9" t="s">
        <v>18</v>
      </c>
      <c r="D11" s="9" t="s">
        <v>60</v>
      </c>
      <c r="E11" s="9" t="s">
        <v>48</v>
      </c>
      <c r="F11" s="9">
        <v>2</v>
      </c>
      <c r="G11" s="9" t="s">
        <v>6</v>
      </c>
      <c r="H11" s="9" t="s">
        <v>51</v>
      </c>
      <c r="I11" s="15">
        <v>539005140.48000002</v>
      </c>
      <c r="J11" s="15">
        <v>64913246621.730003</v>
      </c>
      <c r="K11" s="10">
        <f t="shared" si="1"/>
        <v>8.3034691458425004E-3</v>
      </c>
      <c r="L11" s="16">
        <v>8.3000000000000001E-3</v>
      </c>
      <c r="M11" s="9" t="str">
        <f t="shared" si="2"/>
        <v>Sim</v>
      </c>
      <c r="N11" s="16">
        <v>1.6400000000000001E-2</v>
      </c>
      <c r="O11" s="16">
        <v>1.5599999999999999E-2</v>
      </c>
      <c r="P11" s="16">
        <v>1.4800000000000001E-2</v>
      </c>
      <c r="Q11" s="15">
        <v>1064577244.6</v>
      </c>
      <c r="R11" s="15">
        <v>1011348382.37</v>
      </c>
      <c r="S11" s="15">
        <v>958119520.13999999</v>
      </c>
      <c r="T11" s="9" t="str">
        <f t="shared" si="3"/>
        <v>Abaixo do limite de alerta</v>
      </c>
      <c r="U11" s="9" t="s">
        <v>50</v>
      </c>
    </row>
    <row r="12" spans="1:21" x14ac:dyDescent="0.25">
      <c r="A12" s="9" t="str">
        <f t="shared" si="0"/>
        <v>Assembleia Legislativa|3º quad. 2024</v>
      </c>
      <c r="B12" s="9" t="s">
        <v>17</v>
      </c>
      <c r="C12" s="9" t="s">
        <v>18</v>
      </c>
      <c r="D12" s="9" t="s">
        <v>60</v>
      </c>
      <c r="E12" s="9" t="s">
        <v>48</v>
      </c>
      <c r="F12" s="9">
        <v>3</v>
      </c>
      <c r="G12" s="9" t="s">
        <v>7</v>
      </c>
      <c r="H12" s="9" t="s">
        <v>52</v>
      </c>
      <c r="I12" s="15">
        <v>556337569.39999998</v>
      </c>
      <c r="J12" s="15">
        <v>66084616647.010002</v>
      </c>
      <c r="K12" s="10">
        <f t="shared" si="1"/>
        <v>8.4185639204305118E-3</v>
      </c>
      <c r="L12" s="16">
        <v>8.3999999999999995E-3</v>
      </c>
      <c r="M12" s="9" t="str">
        <f t="shared" si="2"/>
        <v>Sim</v>
      </c>
      <c r="N12" s="16">
        <v>1.6400000000000001E-2</v>
      </c>
      <c r="O12" s="16">
        <v>1.5599999999999999E-2</v>
      </c>
      <c r="P12" s="16">
        <v>1.4800000000000001E-2</v>
      </c>
      <c r="Q12" s="15">
        <v>1083787713.01</v>
      </c>
      <c r="R12" s="15">
        <v>1029598327.36</v>
      </c>
      <c r="S12" s="15">
        <v>975408941.71000004</v>
      </c>
      <c r="T12" s="9" t="str">
        <f t="shared" si="3"/>
        <v>Abaixo do limite de alerta</v>
      </c>
      <c r="U12" s="9" t="s">
        <v>50</v>
      </c>
    </row>
    <row r="13" spans="1:21" x14ac:dyDescent="0.25">
      <c r="A13" s="9" t="str">
        <f t="shared" si="0"/>
        <v>Assembleia Legislativa|1º quad. 2025</v>
      </c>
      <c r="B13" s="9" t="s">
        <v>17</v>
      </c>
      <c r="C13" s="9" t="s">
        <v>18</v>
      </c>
      <c r="D13" s="9" t="s">
        <v>60</v>
      </c>
      <c r="E13" s="9" t="s">
        <v>53</v>
      </c>
      <c r="F13" s="9">
        <v>1</v>
      </c>
      <c r="G13" s="9" t="s">
        <v>8</v>
      </c>
      <c r="H13" s="9" t="s">
        <v>54</v>
      </c>
      <c r="I13" s="15">
        <v>566371443.44000006</v>
      </c>
      <c r="J13" s="15">
        <v>68346595194.959999</v>
      </c>
      <c r="K13" s="10">
        <f t="shared" si="1"/>
        <v>8.2867543265968766E-3</v>
      </c>
      <c r="L13" s="16">
        <v>8.3000000000000001E-3</v>
      </c>
      <c r="M13" s="9" t="str">
        <f t="shared" si="2"/>
        <v>Sim</v>
      </c>
      <c r="N13" s="16">
        <v>1.6400000000000001E-2</v>
      </c>
      <c r="O13" s="16">
        <v>1.5599999999999999E-2</v>
      </c>
      <c r="P13" s="16">
        <v>1.4800000000000001E-2</v>
      </c>
      <c r="Q13" s="15">
        <v>1120884161.2</v>
      </c>
      <c r="R13" s="15">
        <v>1064839953.14</v>
      </c>
      <c r="S13" s="15">
        <v>1008795745.08</v>
      </c>
      <c r="T13" s="9" t="str">
        <f t="shared" si="3"/>
        <v>Abaixo do limite de alerta</v>
      </c>
      <c r="U13" s="9" t="s">
        <v>50</v>
      </c>
    </row>
    <row r="14" spans="1:21" x14ac:dyDescent="0.25">
      <c r="A14" s="9" t="str">
        <f t="shared" si="0"/>
        <v>Assembleia Legislativa|2º quad. 2025</v>
      </c>
      <c r="B14" s="9" t="s">
        <v>17</v>
      </c>
      <c r="C14" s="9" t="s">
        <v>18</v>
      </c>
      <c r="D14" s="9" t="s">
        <v>60</v>
      </c>
      <c r="E14" s="9" t="s">
        <v>53</v>
      </c>
      <c r="F14" s="9">
        <v>2</v>
      </c>
      <c r="G14" s="9" t="s">
        <v>9</v>
      </c>
      <c r="H14" s="9" t="s">
        <v>55</v>
      </c>
      <c r="I14" s="15">
        <v>589134002.05999994</v>
      </c>
      <c r="J14" s="15">
        <v>68774091880.690002</v>
      </c>
      <c r="K14" s="10">
        <f t="shared" si="1"/>
        <v>8.5662200103206829E-3</v>
      </c>
      <c r="L14" s="16">
        <v>8.6E-3</v>
      </c>
      <c r="M14" s="9" t="str">
        <f t="shared" si="2"/>
        <v>Sim</v>
      </c>
      <c r="N14" s="16">
        <v>1.6400000000000001E-2</v>
      </c>
      <c r="O14" s="16">
        <v>1.5599999999999999E-2</v>
      </c>
      <c r="P14" s="16">
        <v>1.4800000000000001E-2</v>
      </c>
      <c r="Q14" s="15">
        <v>1127895106.8399999</v>
      </c>
      <c r="R14" s="15">
        <v>1071500351.5</v>
      </c>
      <c r="S14" s="15">
        <v>1015105596.16</v>
      </c>
      <c r="T14" s="9" t="str">
        <f t="shared" si="3"/>
        <v>Abaixo do limite de alerta</v>
      </c>
      <c r="U14" s="9" t="s">
        <v>50</v>
      </c>
    </row>
    <row r="15" spans="1:21" x14ac:dyDescent="0.25">
      <c r="A15" s="9" t="str">
        <f t="shared" si="0"/>
        <v>Assembleia Legislativa|3º quad. 2025</v>
      </c>
      <c r="B15" s="9" t="s">
        <v>17</v>
      </c>
      <c r="C15" s="9" t="s">
        <v>18</v>
      </c>
      <c r="D15" s="9" t="s">
        <v>60</v>
      </c>
      <c r="E15" s="9" t="s">
        <v>53</v>
      </c>
      <c r="F15" s="9">
        <v>3</v>
      </c>
      <c r="G15" s="9" t="s">
        <v>10</v>
      </c>
      <c r="H15" s="9" t="s">
        <v>56</v>
      </c>
      <c r="I15" s="15">
        <v>587529586.13999999</v>
      </c>
      <c r="J15" s="15">
        <v>71052802963.070007</v>
      </c>
      <c r="K15" s="10">
        <f t="shared" si="1"/>
        <v>8.2689149708192501E-3</v>
      </c>
      <c r="L15" s="16">
        <v>8.3000000000000001E-3</v>
      </c>
      <c r="M15" s="9" t="str">
        <f t="shared" si="2"/>
        <v>Sim</v>
      </c>
      <c r="N15" s="16">
        <v>1.6400000000000001E-2</v>
      </c>
      <c r="O15" s="16">
        <v>1.5599999999999999E-2</v>
      </c>
      <c r="P15" s="16">
        <v>1.4800000000000001E-2</v>
      </c>
      <c r="Q15" s="15">
        <v>1165265968.5899999</v>
      </c>
      <c r="R15" s="15">
        <v>1107002670.1600001</v>
      </c>
      <c r="S15" s="15">
        <v>1048739371.73</v>
      </c>
      <c r="T15" s="9" t="str">
        <f t="shared" si="3"/>
        <v>Abaixo do limite de alerta</v>
      </c>
      <c r="U15" s="9" t="s">
        <v>50</v>
      </c>
    </row>
    <row r="16" spans="1:21" x14ac:dyDescent="0.25">
      <c r="A16" s="9" t="str">
        <f t="shared" si="0"/>
        <v>Assembleia Legislativa|1º quad. 2026</v>
      </c>
      <c r="B16" s="9" t="s">
        <v>17</v>
      </c>
      <c r="C16" s="9" t="s">
        <v>18</v>
      </c>
      <c r="D16" s="9" t="s">
        <v>60</v>
      </c>
      <c r="E16" s="9" t="s">
        <v>57</v>
      </c>
      <c r="F16" s="9">
        <v>1</v>
      </c>
      <c r="G16" s="9" t="s">
        <v>11</v>
      </c>
      <c r="H16" s="9" t="s">
        <v>58</v>
      </c>
      <c r="I16" s="15">
        <v>599671792.64999998</v>
      </c>
      <c r="J16" s="15">
        <v>71010487165.570007</v>
      </c>
      <c r="K16" s="10">
        <f t="shared" si="1"/>
        <v>8.4448342292285459E-3</v>
      </c>
      <c r="L16" s="16">
        <v>8.3999999999999995E-3</v>
      </c>
      <c r="M16" s="9" t="str">
        <f t="shared" si="2"/>
        <v>Sim</v>
      </c>
      <c r="N16" s="16">
        <v>1.6400000000000001E-2</v>
      </c>
      <c r="O16" s="16">
        <v>1.5599999999999999E-2</v>
      </c>
      <c r="P16" s="16">
        <v>1.4800000000000001E-2</v>
      </c>
      <c r="Q16" s="15">
        <v>1164571989.52</v>
      </c>
      <c r="R16" s="15">
        <v>1106343390.04</v>
      </c>
      <c r="S16" s="15">
        <v>1048114790.5700001</v>
      </c>
      <c r="T16" s="9" t="str">
        <f t="shared" si="3"/>
        <v>Abaixo do limite de alerta</v>
      </c>
      <c r="U16" s="9" t="s">
        <v>50</v>
      </c>
    </row>
    <row r="17" spans="1:21" x14ac:dyDescent="0.25">
      <c r="A17" s="9" t="str">
        <f t="shared" si="0"/>
        <v>Assembleia Legislativa|2º quad. 2026</v>
      </c>
      <c r="B17" s="9" t="s">
        <v>17</v>
      </c>
      <c r="C17" s="9" t="s">
        <v>18</v>
      </c>
      <c r="D17" s="9" t="s">
        <v>60</v>
      </c>
      <c r="E17" s="9" t="s">
        <v>57</v>
      </c>
      <c r="F17" s="9">
        <v>2</v>
      </c>
      <c r="G17" s="9" t="s">
        <v>12</v>
      </c>
      <c r="H17" s="9" t="s">
        <v>59</v>
      </c>
      <c r="I17" s="15">
        <v>621992844.91999996</v>
      </c>
      <c r="J17" s="15">
        <v>71562057716.639999</v>
      </c>
      <c r="K17" s="10">
        <f t="shared" si="1"/>
        <v>8.691656790849529E-3</v>
      </c>
      <c r="L17" s="16">
        <v>8.6999999999999994E-3</v>
      </c>
      <c r="M17" s="9" t="str">
        <f t="shared" si="2"/>
        <v>Sim</v>
      </c>
      <c r="N17" s="16">
        <v>1.6400000000000001E-2</v>
      </c>
      <c r="O17" s="16">
        <v>1.5599999999999999E-2</v>
      </c>
      <c r="P17" s="16">
        <v>1.4800000000000001E-2</v>
      </c>
      <c r="Q17" s="15">
        <v>1173617746.55</v>
      </c>
      <c r="R17" s="15">
        <v>1114936859.22</v>
      </c>
      <c r="S17" s="15">
        <v>1056255971.9</v>
      </c>
      <c r="T17" s="9" t="str">
        <f t="shared" si="3"/>
        <v>Abaixo do limite de alerta</v>
      </c>
      <c r="U17" s="9" t="s">
        <v>50</v>
      </c>
    </row>
    <row r="18" spans="1:21" x14ac:dyDescent="0.25">
      <c r="A18" s="9" t="str">
        <f t="shared" si="0"/>
        <v>Tribunal de Justiça|1º quad. 2024</v>
      </c>
      <c r="B18" s="9" t="s">
        <v>19</v>
      </c>
      <c r="C18" s="9" t="s">
        <v>20</v>
      </c>
      <c r="D18" s="9" t="s">
        <v>61</v>
      </c>
      <c r="E18" s="9" t="s">
        <v>48</v>
      </c>
      <c r="F18" s="9">
        <v>1</v>
      </c>
      <c r="G18" s="9" t="s">
        <v>5</v>
      </c>
      <c r="H18" s="9" t="s">
        <v>49</v>
      </c>
      <c r="I18" s="15">
        <v>2499008424.6700001</v>
      </c>
      <c r="J18" s="15">
        <v>62703025040.360001</v>
      </c>
      <c r="K18" s="10">
        <f t="shared" si="1"/>
        <v>3.9854670856174251E-2</v>
      </c>
      <c r="L18" s="16">
        <v>3.9899999999999998E-2</v>
      </c>
      <c r="M18" s="9" t="str">
        <f t="shared" si="2"/>
        <v>Sim</v>
      </c>
      <c r="N18" s="16">
        <v>0.06</v>
      </c>
      <c r="O18" s="16">
        <v>5.7000000000000002E-2</v>
      </c>
      <c r="P18" s="16">
        <v>5.4000000000000013E-2</v>
      </c>
      <c r="Q18" s="15">
        <v>3762181502.4200001</v>
      </c>
      <c r="R18" s="15">
        <v>3574072427.3000002</v>
      </c>
      <c r="S18" s="15">
        <v>3385963352.1799998</v>
      </c>
      <c r="T18" s="9" t="str">
        <f t="shared" si="3"/>
        <v>Abaixo do limite de alerta</v>
      </c>
      <c r="U18" s="9" t="s">
        <v>50</v>
      </c>
    </row>
    <row r="19" spans="1:21" x14ac:dyDescent="0.25">
      <c r="A19" s="9" t="str">
        <f t="shared" si="0"/>
        <v>Tribunal de Justiça|2º quad. 2024</v>
      </c>
      <c r="B19" s="9" t="s">
        <v>19</v>
      </c>
      <c r="C19" s="9" t="s">
        <v>20</v>
      </c>
      <c r="D19" s="9" t="s">
        <v>61</v>
      </c>
      <c r="E19" s="9" t="s">
        <v>48</v>
      </c>
      <c r="F19" s="9">
        <v>2</v>
      </c>
      <c r="G19" s="9" t="s">
        <v>6</v>
      </c>
      <c r="H19" s="9" t="s">
        <v>51</v>
      </c>
      <c r="I19" s="15">
        <v>2480869354.4000001</v>
      </c>
      <c r="J19" s="15">
        <v>64913246621.730003</v>
      </c>
      <c r="K19" s="10">
        <f t="shared" si="1"/>
        <v>3.8218229460264243E-2</v>
      </c>
      <c r="L19" s="16">
        <v>3.8199999999999998E-2</v>
      </c>
      <c r="M19" s="9" t="str">
        <f t="shared" si="2"/>
        <v>Sim</v>
      </c>
      <c r="N19" s="16">
        <v>0.06</v>
      </c>
      <c r="O19" s="16">
        <v>5.7000000000000002E-2</v>
      </c>
      <c r="P19" s="16">
        <v>5.4000000000000013E-2</v>
      </c>
      <c r="Q19" s="15">
        <v>3894794797.3000002</v>
      </c>
      <c r="R19" s="15">
        <v>3700055057.4400001</v>
      </c>
      <c r="S19" s="15">
        <v>3505315317.5700002</v>
      </c>
      <c r="T19" s="9" t="str">
        <f t="shared" si="3"/>
        <v>Abaixo do limite de alerta</v>
      </c>
      <c r="U19" s="9" t="s">
        <v>50</v>
      </c>
    </row>
    <row r="20" spans="1:21" x14ac:dyDescent="0.25">
      <c r="A20" s="9" t="str">
        <f t="shared" si="0"/>
        <v>Tribunal de Justiça|3º quad. 2024</v>
      </c>
      <c r="B20" s="9" t="s">
        <v>19</v>
      </c>
      <c r="C20" s="9" t="s">
        <v>20</v>
      </c>
      <c r="D20" s="9" t="s">
        <v>61</v>
      </c>
      <c r="E20" s="9" t="s">
        <v>48</v>
      </c>
      <c r="F20" s="9">
        <v>3</v>
      </c>
      <c r="G20" s="9" t="s">
        <v>7</v>
      </c>
      <c r="H20" s="9" t="s">
        <v>52</v>
      </c>
      <c r="I20" s="15">
        <v>2705150632.1799998</v>
      </c>
      <c r="J20" s="15">
        <v>66084616647.010002</v>
      </c>
      <c r="K20" s="10">
        <f t="shared" si="1"/>
        <v>4.0934649687528968E-2</v>
      </c>
      <c r="L20" s="16">
        <v>4.0899999999999999E-2</v>
      </c>
      <c r="M20" s="9" t="str">
        <f t="shared" si="2"/>
        <v>Sim</v>
      </c>
      <c r="N20" s="16">
        <v>0.06</v>
      </c>
      <c r="O20" s="16">
        <v>5.7000000000000002E-2</v>
      </c>
      <c r="P20" s="16">
        <v>5.4000000000000013E-2</v>
      </c>
      <c r="Q20" s="15">
        <v>3965076998.8200002</v>
      </c>
      <c r="R20" s="15">
        <v>3766823148.8800001</v>
      </c>
      <c r="S20" s="15">
        <v>3568569298.9400001</v>
      </c>
      <c r="T20" s="9" t="str">
        <f t="shared" si="3"/>
        <v>Abaixo do limite de alerta</v>
      </c>
      <c r="U20" s="9" t="s">
        <v>50</v>
      </c>
    </row>
    <row r="21" spans="1:21" x14ac:dyDescent="0.25">
      <c r="A21" s="9" t="str">
        <f t="shared" si="0"/>
        <v>Tribunal de Justiça|1º quad. 2025</v>
      </c>
      <c r="B21" s="9" t="s">
        <v>19</v>
      </c>
      <c r="C21" s="9" t="s">
        <v>20</v>
      </c>
      <c r="D21" s="9" t="s">
        <v>61</v>
      </c>
      <c r="E21" s="9" t="s">
        <v>53</v>
      </c>
      <c r="F21" s="9">
        <v>1</v>
      </c>
      <c r="G21" s="9" t="s">
        <v>8</v>
      </c>
      <c r="H21" s="9" t="s">
        <v>54</v>
      </c>
      <c r="I21" s="15">
        <v>2726785822.4000001</v>
      </c>
      <c r="J21" s="15">
        <v>68346595194.959999</v>
      </c>
      <c r="K21" s="10">
        <f t="shared" si="1"/>
        <v>3.9896439824424174E-2</v>
      </c>
      <c r="L21" s="16">
        <v>3.9899999999999998E-2</v>
      </c>
      <c r="M21" s="9" t="str">
        <f t="shared" si="2"/>
        <v>Sim</v>
      </c>
      <c r="N21" s="16">
        <v>0.06</v>
      </c>
      <c r="O21" s="16">
        <v>5.7000000000000002E-2</v>
      </c>
      <c r="P21" s="16">
        <v>5.4000000000000013E-2</v>
      </c>
      <c r="Q21" s="15">
        <v>4100795711.6999998</v>
      </c>
      <c r="R21" s="15">
        <v>3895755926.1199999</v>
      </c>
      <c r="S21" s="15">
        <v>3690716140.5300002</v>
      </c>
      <c r="T21" s="9" t="str">
        <f t="shared" si="3"/>
        <v>Abaixo do limite de alerta</v>
      </c>
      <c r="U21" s="9" t="s">
        <v>50</v>
      </c>
    </row>
    <row r="22" spans="1:21" x14ac:dyDescent="0.25">
      <c r="A22" s="9" t="str">
        <f t="shared" si="0"/>
        <v>Tribunal de Justiça|2º quad. 2025</v>
      </c>
      <c r="B22" s="9" t="s">
        <v>19</v>
      </c>
      <c r="C22" s="9" t="s">
        <v>20</v>
      </c>
      <c r="D22" s="9" t="s">
        <v>61</v>
      </c>
      <c r="E22" s="9" t="s">
        <v>53</v>
      </c>
      <c r="F22" s="9">
        <v>2</v>
      </c>
      <c r="G22" s="9" t="s">
        <v>9</v>
      </c>
      <c r="H22" s="9" t="s">
        <v>55</v>
      </c>
      <c r="I22" s="15">
        <v>2794059640.9099998</v>
      </c>
      <c r="J22" s="15">
        <v>69774091880.690002</v>
      </c>
      <c r="K22" s="10">
        <f t="shared" si="1"/>
        <v>4.0044371278779148E-2</v>
      </c>
      <c r="L22" s="16">
        <v>0.04</v>
      </c>
      <c r="M22" s="9" t="str">
        <f t="shared" si="2"/>
        <v>Sim</v>
      </c>
      <c r="N22" s="16">
        <v>0.06</v>
      </c>
      <c r="O22" s="16">
        <v>5.7000000000000002E-2</v>
      </c>
      <c r="P22" s="16">
        <v>5.4000000000000013E-2</v>
      </c>
      <c r="Q22" s="15">
        <v>4186445512.8400002</v>
      </c>
      <c r="R22" s="15">
        <v>3977123237.1999998</v>
      </c>
      <c r="S22" s="15">
        <v>3767800961.5599999</v>
      </c>
      <c r="T22" s="9" t="str">
        <f t="shared" si="3"/>
        <v>Abaixo do limite de alerta</v>
      </c>
      <c r="U22" s="9" t="s">
        <v>50</v>
      </c>
    </row>
    <row r="23" spans="1:21" x14ac:dyDescent="0.25">
      <c r="A23" s="9" t="str">
        <f t="shared" si="0"/>
        <v>Tribunal de Justiça|3º quad. 2025</v>
      </c>
      <c r="B23" s="9" t="s">
        <v>19</v>
      </c>
      <c r="C23" s="9" t="s">
        <v>20</v>
      </c>
      <c r="D23" s="9" t="s">
        <v>61</v>
      </c>
      <c r="E23" s="9" t="s">
        <v>53</v>
      </c>
      <c r="F23" s="9">
        <v>3</v>
      </c>
      <c r="G23" s="9" t="s">
        <v>10</v>
      </c>
      <c r="H23" s="9" t="s">
        <v>56</v>
      </c>
      <c r="I23" s="15">
        <v>2892341676.8000002</v>
      </c>
      <c r="J23" s="15">
        <v>71052802963.070007</v>
      </c>
      <c r="K23" s="10">
        <f t="shared" si="1"/>
        <v>4.0706932818727885E-2</v>
      </c>
      <c r="L23" s="16">
        <v>4.07E-2</v>
      </c>
      <c r="M23" s="9" t="str">
        <f t="shared" si="2"/>
        <v>Sim</v>
      </c>
      <c r="N23" s="16">
        <v>0.06</v>
      </c>
      <c r="O23" s="16">
        <v>5.7000000000000002E-2</v>
      </c>
      <c r="P23" s="16">
        <v>5.4000000000000013E-2</v>
      </c>
      <c r="Q23" s="15">
        <v>4263168177.7800002</v>
      </c>
      <c r="R23" s="15">
        <v>4050009768.8899999</v>
      </c>
      <c r="S23" s="15">
        <v>3836851360</v>
      </c>
      <c r="T23" s="9" t="str">
        <f t="shared" si="3"/>
        <v>Abaixo do limite de alerta</v>
      </c>
      <c r="U23" s="9" t="s">
        <v>50</v>
      </c>
    </row>
    <row r="24" spans="1:21" x14ac:dyDescent="0.25">
      <c r="A24" s="9" t="str">
        <f t="shared" si="0"/>
        <v>Tribunal de Justiça|1º quad. 2026</v>
      </c>
      <c r="B24" s="9" t="s">
        <v>19</v>
      </c>
      <c r="C24" s="9" t="s">
        <v>20</v>
      </c>
      <c r="D24" s="9" t="s">
        <v>61</v>
      </c>
      <c r="E24" s="9" t="s">
        <v>57</v>
      </c>
      <c r="F24" s="9">
        <v>1</v>
      </c>
      <c r="G24" s="9" t="s">
        <v>11</v>
      </c>
      <c r="H24" s="9" t="s">
        <v>58</v>
      </c>
      <c r="I24" s="15">
        <v>2974487322.4099998</v>
      </c>
      <c r="J24" s="15">
        <v>71010487165.570007</v>
      </c>
      <c r="K24" s="10">
        <f t="shared" si="1"/>
        <v>4.188800050722935E-2</v>
      </c>
      <c r="L24" s="16">
        <v>4.1900000000000007E-2</v>
      </c>
      <c r="M24" s="9" t="str">
        <f t="shared" si="2"/>
        <v>Sim</v>
      </c>
      <c r="N24" s="16">
        <v>0.06</v>
      </c>
      <c r="O24" s="16">
        <v>5.7000000000000002E-2</v>
      </c>
      <c r="P24" s="16">
        <v>5.4000000000000013E-2</v>
      </c>
      <c r="Q24" s="15">
        <v>4260629229.9299998</v>
      </c>
      <c r="R24" s="15">
        <v>4047597768.4299998</v>
      </c>
      <c r="S24" s="15">
        <v>3834566306.9400001</v>
      </c>
      <c r="T24" s="9" t="str">
        <f t="shared" si="3"/>
        <v>Abaixo do limite de alerta</v>
      </c>
      <c r="U24" s="9" t="s">
        <v>50</v>
      </c>
    </row>
    <row r="25" spans="1:21" x14ac:dyDescent="0.25">
      <c r="A25" s="9" t="str">
        <f t="shared" si="0"/>
        <v>Tribunal de Justiça|2º quad. 2026</v>
      </c>
      <c r="B25" s="9" t="s">
        <v>19</v>
      </c>
      <c r="C25" s="9" t="s">
        <v>20</v>
      </c>
      <c r="D25" s="9" t="s">
        <v>61</v>
      </c>
      <c r="E25" s="9" t="s">
        <v>57</v>
      </c>
      <c r="F25" s="9">
        <v>2</v>
      </c>
      <c r="G25" s="9" t="s">
        <v>12</v>
      </c>
      <c r="H25" s="9" t="s">
        <v>59</v>
      </c>
      <c r="I25" s="15">
        <v>3062912892.5900002</v>
      </c>
      <c r="J25" s="15">
        <v>71562057716.639999</v>
      </c>
      <c r="K25" s="10">
        <f t="shared" si="1"/>
        <v>4.2800794028562357E-2</v>
      </c>
      <c r="L25" s="16">
        <v>4.2799999999999998E-2</v>
      </c>
      <c r="M25" s="9" t="str">
        <f t="shared" si="2"/>
        <v>Sim</v>
      </c>
      <c r="N25" s="16">
        <v>0.06</v>
      </c>
      <c r="O25" s="16">
        <v>5.7000000000000002E-2</v>
      </c>
      <c r="P25" s="16">
        <v>5.4000000000000013E-2</v>
      </c>
      <c r="Q25" s="15">
        <v>4293723463</v>
      </c>
      <c r="R25" s="15">
        <v>4079037289.8499999</v>
      </c>
      <c r="S25" s="15">
        <v>3864351116.6999998</v>
      </c>
      <c r="T25" s="9" t="str">
        <f t="shared" si="3"/>
        <v>Abaixo do limite de alerta</v>
      </c>
      <c r="U25" s="9" t="s">
        <v>50</v>
      </c>
    </row>
    <row r="26" spans="1:21" x14ac:dyDescent="0.25">
      <c r="A26" s="9" t="str">
        <f t="shared" si="0"/>
        <v>Tribunal de Contas|1º quad. 2024</v>
      </c>
      <c r="B26" s="9" t="s">
        <v>21</v>
      </c>
      <c r="C26" s="9" t="s">
        <v>21</v>
      </c>
      <c r="D26" s="9" t="s">
        <v>62</v>
      </c>
      <c r="E26" s="9" t="s">
        <v>48</v>
      </c>
      <c r="F26" s="9">
        <v>1</v>
      </c>
      <c r="G26" s="9" t="s">
        <v>5</v>
      </c>
      <c r="H26" s="9" t="s">
        <v>49</v>
      </c>
      <c r="I26" s="15">
        <v>460552573.63999999</v>
      </c>
      <c r="J26" s="15">
        <v>62703025040.360001</v>
      </c>
      <c r="K26" s="10">
        <f t="shared" si="1"/>
        <v>7.3449817348294841E-3</v>
      </c>
      <c r="L26" s="16">
        <v>7.3000000000000001E-3</v>
      </c>
      <c r="M26" s="9" t="str">
        <f t="shared" si="2"/>
        <v>Sim</v>
      </c>
      <c r="N26" s="16">
        <v>1.3599999999999999E-2</v>
      </c>
      <c r="O26" s="16">
        <v>1.29E-2</v>
      </c>
      <c r="P26" s="16">
        <v>1.2200000000000001E-2</v>
      </c>
      <c r="Q26" s="15">
        <v>852761140.54999995</v>
      </c>
      <c r="R26" s="15">
        <v>810123083.51999998</v>
      </c>
      <c r="S26" s="15">
        <v>767485026.5</v>
      </c>
      <c r="T26" s="9" t="str">
        <f t="shared" si="3"/>
        <v>Abaixo do limite de alerta</v>
      </c>
      <c r="U26" s="9" t="s">
        <v>50</v>
      </c>
    </row>
    <row r="27" spans="1:21" x14ac:dyDescent="0.25">
      <c r="A27" s="9" t="str">
        <f t="shared" si="0"/>
        <v>Tribunal de Contas|2º quad. 2024</v>
      </c>
      <c r="B27" s="9" t="s">
        <v>21</v>
      </c>
      <c r="C27" s="9" t="s">
        <v>21</v>
      </c>
      <c r="D27" s="9" t="s">
        <v>62</v>
      </c>
      <c r="E27" s="9" t="s">
        <v>48</v>
      </c>
      <c r="F27" s="9">
        <v>2</v>
      </c>
      <c r="G27" s="9" t="s">
        <v>6</v>
      </c>
      <c r="H27" s="9" t="s">
        <v>51</v>
      </c>
      <c r="I27" s="15">
        <v>491955359.48000002</v>
      </c>
      <c r="J27" s="15">
        <v>64913246621.730003</v>
      </c>
      <c r="K27" s="10">
        <f t="shared" si="1"/>
        <v>7.5786589807590324E-3</v>
      </c>
      <c r="L27" s="16">
        <v>7.6E-3</v>
      </c>
      <c r="M27" s="9" t="str">
        <f t="shared" si="2"/>
        <v>Sim</v>
      </c>
      <c r="N27" s="16">
        <v>1.3599999999999999E-2</v>
      </c>
      <c r="O27" s="16">
        <v>1.29E-2</v>
      </c>
      <c r="P27" s="16">
        <v>1.2200000000000001E-2</v>
      </c>
      <c r="Q27" s="15">
        <v>882820154.04999995</v>
      </c>
      <c r="R27" s="15">
        <v>838679146.35000002</v>
      </c>
      <c r="S27" s="15">
        <v>794538138.64999998</v>
      </c>
      <c r="T27" s="9" t="str">
        <f t="shared" si="3"/>
        <v>Abaixo do limite de alerta</v>
      </c>
      <c r="U27" s="9" t="s">
        <v>50</v>
      </c>
    </row>
    <row r="28" spans="1:21" x14ac:dyDescent="0.25">
      <c r="A28" s="9" t="str">
        <f t="shared" si="0"/>
        <v>Tribunal de Contas|3º quad. 2024</v>
      </c>
      <c r="B28" s="9" t="s">
        <v>21</v>
      </c>
      <c r="C28" s="9" t="s">
        <v>21</v>
      </c>
      <c r="D28" s="9" t="s">
        <v>62</v>
      </c>
      <c r="E28" s="9" t="s">
        <v>48</v>
      </c>
      <c r="F28" s="9">
        <v>3</v>
      </c>
      <c r="G28" s="9" t="s">
        <v>7</v>
      </c>
      <c r="H28" s="9" t="s">
        <v>52</v>
      </c>
      <c r="I28" s="15">
        <v>561514191.78999996</v>
      </c>
      <c r="J28" s="15">
        <v>66084616647.010002</v>
      </c>
      <c r="K28" s="10">
        <f t="shared" si="1"/>
        <v>8.4968971642722796E-3</v>
      </c>
      <c r="L28" s="16">
        <v>8.5000000000000006E-3</v>
      </c>
      <c r="M28" s="9" t="str">
        <f t="shared" si="2"/>
        <v>Sim</v>
      </c>
      <c r="N28" s="16">
        <v>1.3599999999999999E-2</v>
      </c>
      <c r="O28" s="16">
        <v>1.29E-2</v>
      </c>
      <c r="P28" s="16">
        <v>1.2200000000000001E-2</v>
      </c>
      <c r="Q28" s="15">
        <v>898750786.39999998</v>
      </c>
      <c r="R28" s="15">
        <v>853813247.08000004</v>
      </c>
      <c r="S28" s="15">
        <v>808875707.75999999</v>
      </c>
      <c r="T28" s="9" t="str">
        <f t="shared" si="3"/>
        <v>Abaixo do limite de alerta</v>
      </c>
      <c r="U28" s="9" t="s">
        <v>50</v>
      </c>
    </row>
    <row r="29" spans="1:21" x14ac:dyDescent="0.25">
      <c r="A29" s="9" t="str">
        <f t="shared" si="0"/>
        <v>Tribunal de Contas|1º quad. 2025</v>
      </c>
      <c r="B29" s="9" t="s">
        <v>21</v>
      </c>
      <c r="C29" s="9" t="s">
        <v>21</v>
      </c>
      <c r="D29" s="9" t="s">
        <v>62</v>
      </c>
      <c r="E29" s="9" t="s">
        <v>53</v>
      </c>
      <c r="F29" s="9">
        <v>1</v>
      </c>
      <c r="G29" s="9" t="s">
        <v>8</v>
      </c>
      <c r="H29" s="9" t="s">
        <v>54</v>
      </c>
      <c r="I29" s="15">
        <v>578896047.11000001</v>
      </c>
      <c r="J29" s="15">
        <v>68346595194.959999</v>
      </c>
      <c r="K29" s="10">
        <f t="shared" si="1"/>
        <v>8.4700056448852746E-3</v>
      </c>
      <c r="L29" s="16">
        <v>8.5000000000000006E-3</v>
      </c>
      <c r="M29" s="9" t="str">
        <f t="shared" si="2"/>
        <v>Sim</v>
      </c>
      <c r="N29" s="16">
        <v>1.3599999999999999E-2</v>
      </c>
      <c r="O29" s="16">
        <v>1.29E-2</v>
      </c>
      <c r="P29" s="16">
        <v>1.2200000000000001E-2</v>
      </c>
      <c r="Q29" s="15">
        <v>929513694.64999998</v>
      </c>
      <c r="R29" s="15">
        <v>883038009.91999996</v>
      </c>
      <c r="S29" s="15">
        <v>836562325.19000006</v>
      </c>
      <c r="T29" s="9" t="str">
        <f t="shared" si="3"/>
        <v>Abaixo do limite de alerta</v>
      </c>
      <c r="U29" s="9" t="s">
        <v>50</v>
      </c>
    </row>
    <row r="30" spans="1:21" x14ac:dyDescent="0.25">
      <c r="A30" s="9" t="str">
        <f t="shared" si="0"/>
        <v>Tribunal de Contas|2º quad. 2025</v>
      </c>
      <c r="B30" s="9" t="s">
        <v>21</v>
      </c>
      <c r="C30" s="9" t="s">
        <v>21</v>
      </c>
      <c r="D30" s="9" t="s">
        <v>62</v>
      </c>
      <c r="E30" s="9" t="s">
        <v>53</v>
      </c>
      <c r="F30" s="9">
        <v>2</v>
      </c>
      <c r="G30" s="9" t="s">
        <v>9</v>
      </c>
      <c r="H30" s="9" t="s">
        <v>55</v>
      </c>
      <c r="I30" s="15">
        <v>587501062.63</v>
      </c>
      <c r="J30" s="15">
        <v>69774091880.690002</v>
      </c>
      <c r="K30" s="10">
        <f t="shared" si="1"/>
        <v>8.4200459912053844E-3</v>
      </c>
      <c r="L30" s="16">
        <v>8.3999999999999995E-3</v>
      </c>
      <c r="M30" s="9" t="str">
        <f t="shared" si="2"/>
        <v>Sim</v>
      </c>
      <c r="N30" s="16">
        <v>1.3599999999999999E-2</v>
      </c>
      <c r="O30" s="16">
        <v>1.29E-2</v>
      </c>
      <c r="P30" s="16">
        <v>1.2200000000000001E-2</v>
      </c>
      <c r="Q30" s="15">
        <v>948927649.58000004</v>
      </c>
      <c r="R30" s="15">
        <v>901481267.10000002</v>
      </c>
      <c r="S30" s="15">
        <v>854034884.62</v>
      </c>
      <c r="T30" s="9" t="str">
        <f t="shared" si="3"/>
        <v>Abaixo do limite de alerta</v>
      </c>
      <c r="U30" s="9" t="s">
        <v>50</v>
      </c>
    </row>
    <row r="31" spans="1:21" x14ac:dyDescent="0.25">
      <c r="A31" s="9" t="str">
        <f t="shared" si="0"/>
        <v>Tribunal de Contas|3º quad. 2025</v>
      </c>
      <c r="B31" s="9" t="s">
        <v>21</v>
      </c>
      <c r="C31" s="9" t="s">
        <v>21</v>
      </c>
      <c r="D31" s="9" t="s">
        <v>62</v>
      </c>
      <c r="E31" s="9" t="s">
        <v>53</v>
      </c>
      <c r="F31" s="9">
        <v>3</v>
      </c>
      <c r="G31" s="9" t="s">
        <v>10</v>
      </c>
      <c r="H31" s="9" t="s">
        <v>56</v>
      </c>
      <c r="I31" s="15">
        <v>585377983.5</v>
      </c>
      <c r="J31" s="15">
        <v>71052802963.070007</v>
      </c>
      <c r="K31" s="10">
        <f t="shared" si="1"/>
        <v>8.2386332289276845E-3</v>
      </c>
      <c r="L31" s="16">
        <v>8.199999999999999E-3</v>
      </c>
      <c r="M31" s="9" t="str">
        <f t="shared" si="2"/>
        <v>Sim</v>
      </c>
      <c r="N31" s="16">
        <v>1.3599999999999999E-2</v>
      </c>
      <c r="O31" s="16">
        <v>1.29E-2</v>
      </c>
      <c r="P31" s="16">
        <v>1.2200000000000001E-2</v>
      </c>
      <c r="Q31" s="15">
        <v>966318120.28999996</v>
      </c>
      <c r="R31" s="15">
        <v>918002214.27999997</v>
      </c>
      <c r="S31" s="15">
        <v>869686308.25999999</v>
      </c>
      <c r="T31" s="9" t="str">
        <f t="shared" si="3"/>
        <v>Abaixo do limite de alerta</v>
      </c>
      <c r="U31" s="9" t="s">
        <v>50</v>
      </c>
    </row>
    <row r="32" spans="1:21" x14ac:dyDescent="0.25">
      <c r="A32" s="9" t="str">
        <f t="shared" si="0"/>
        <v>Tribunal de Contas|1º quad. 2026</v>
      </c>
      <c r="B32" s="9" t="s">
        <v>21</v>
      </c>
      <c r="C32" s="9" t="s">
        <v>21</v>
      </c>
      <c r="D32" s="9" t="s">
        <v>62</v>
      </c>
      <c r="E32" s="9" t="s">
        <v>57</v>
      </c>
      <c r="F32" s="9">
        <v>1</v>
      </c>
      <c r="G32" s="9" t="s">
        <v>11</v>
      </c>
      <c r="H32" s="9" t="s">
        <v>58</v>
      </c>
      <c r="I32" s="15">
        <v>612709397.25999999</v>
      </c>
      <c r="J32" s="15">
        <v>71010487165.570007</v>
      </c>
      <c r="K32" s="10">
        <f t="shared" si="1"/>
        <v>8.6284353440836126E-3</v>
      </c>
      <c r="L32" s="16">
        <v>8.6E-3</v>
      </c>
      <c r="M32" s="9" t="str">
        <f t="shared" si="2"/>
        <v>Sim</v>
      </c>
      <c r="N32" s="16">
        <v>1.3599999999999999E-2</v>
      </c>
      <c r="O32" s="16">
        <v>1.29E-2</v>
      </c>
      <c r="P32" s="16">
        <v>1.2200000000000001E-2</v>
      </c>
      <c r="Q32" s="15">
        <v>965742625.45000005</v>
      </c>
      <c r="R32" s="15">
        <v>917455494.17999995</v>
      </c>
      <c r="S32" s="15">
        <v>869168362.90999997</v>
      </c>
      <c r="T32" s="9" t="str">
        <f t="shared" si="3"/>
        <v>Abaixo do limite de alerta</v>
      </c>
      <c r="U32" s="9" t="s">
        <v>50</v>
      </c>
    </row>
    <row r="33" spans="1:21" x14ac:dyDescent="0.25">
      <c r="A33" s="9" t="str">
        <f t="shared" si="0"/>
        <v>Tribunal de Contas|2º quad. 2026</v>
      </c>
      <c r="B33" s="9" t="s">
        <v>21</v>
      </c>
      <c r="C33" s="9" t="s">
        <v>21</v>
      </c>
      <c r="D33" s="9" t="s">
        <v>62</v>
      </c>
      <c r="E33" s="9" t="s">
        <v>57</v>
      </c>
      <c r="F33" s="9">
        <v>2</v>
      </c>
      <c r="G33" s="9" t="s">
        <v>12</v>
      </c>
      <c r="H33" s="9" t="s">
        <v>59</v>
      </c>
      <c r="I33" s="15">
        <v>622641815.77999997</v>
      </c>
      <c r="J33" s="15">
        <v>71562057716.639999</v>
      </c>
      <c r="K33" s="10">
        <f t="shared" si="1"/>
        <v>8.7007254353338691E-3</v>
      </c>
      <c r="L33" s="16">
        <v>8.6999999999999994E-3</v>
      </c>
      <c r="M33" s="9" t="str">
        <f t="shared" si="2"/>
        <v>Sim</v>
      </c>
      <c r="N33" s="16">
        <v>1.3599999999999999E-2</v>
      </c>
      <c r="O33" s="16">
        <v>1.29E-2</v>
      </c>
      <c r="P33" s="16">
        <v>1.2200000000000001E-2</v>
      </c>
      <c r="Q33" s="15">
        <v>973243984.94000006</v>
      </c>
      <c r="R33" s="15">
        <v>924581785.69000006</v>
      </c>
      <c r="S33" s="15">
        <v>875919586.45000005</v>
      </c>
      <c r="T33" s="9" t="str">
        <f t="shared" si="3"/>
        <v>Abaixo do limite de alerta</v>
      </c>
      <c r="U33" s="9" t="s">
        <v>50</v>
      </c>
    </row>
    <row r="34" spans="1:21" x14ac:dyDescent="0.25">
      <c r="A34" s="9" t="str">
        <f t="shared" si="0"/>
        <v>Defensoria Pública|1º quad. 2024</v>
      </c>
      <c r="B34" s="9" t="s">
        <v>22</v>
      </c>
      <c r="C34" s="9" t="s">
        <v>22</v>
      </c>
      <c r="D34" s="9" t="s">
        <v>63</v>
      </c>
      <c r="E34" s="9" t="s">
        <v>48</v>
      </c>
      <c r="F34" s="9">
        <v>1</v>
      </c>
      <c r="G34" s="9" t="s">
        <v>5</v>
      </c>
      <c r="H34" s="9" t="s">
        <v>49</v>
      </c>
      <c r="I34" s="15">
        <v>113260469.19</v>
      </c>
      <c r="J34" s="15">
        <v>62703025040.360001</v>
      </c>
      <c r="K34" s="10">
        <f t="shared" si="1"/>
        <v>1.8062999212095068E-3</v>
      </c>
      <c r="L34" s="10"/>
      <c r="M34" s="9" t="str">
        <f t="shared" si="2"/>
        <v>Não declarado</v>
      </c>
      <c r="N34" s="10"/>
      <c r="O34" s="10"/>
      <c r="P34" s="10"/>
      <c r="Q34" s="17"/>
      <c r="R34" s="17"/>
      <c r="S34" s="17"/>
      <c r="T34" s="9" t="str">
        <f t="shared" si="3"/>
        <v>Sem limite próprio na LRF</v>
      </c>
      <c r="U34" s="9" t="s">
        <v>64</v>
      </c>
    </row>
    <row r="35" spans="1:21" x14ac:dyDescent="0.25">
      <c r="A35" s="9" t="str">
        <f t="shared" si="0"/>
        <v>Defensoria Pública|2º quad. 2024</v>
      </c>
      <c r="B35" s="9" t="s">
        <v>22</v>
      </c>
      <c r="C35" s="9" t="s">
        <v>22</v>
      </c>
      <c r="D35" s="9" t="s">
        <v>63</v>
      </c>
      <c r="E35" s="9" t="s">
        <v>48</v>
      </c>
      <c r="F35" s="9">
        <v>2</v>
      </c>
      <c r="G35" s="9" t="s">
        <v>6</v>
      </c>
      <c r="H35" s="9" t="s">
        <v>51</v>
      </c>
      <c r="I35" s="15">
        <v>114607771.51000001</v>
      </c>
      <c r="J35" s="15">
        <v>64913246621.730003</v>
      </c>
      <c r="K35" s="10">
        <f t="shared" si="1"/>
        <v>1.765552910607841E-3</v>
      </c>
      <c r="L35" s="10"/>
      <c r="M35" s="9" t="str">
        <f t="shared" si="2"/>
        <v>Não declarado</v>
      </c>
      <c r="N35" s="10"/>
      <c r="O35" s="10"/>
      <c r="P35" s="10"/>
      <c r="Q35" s="17"/>
      <c r="R35" s="17"/>
      <c r="S35" s="17"/>
      <c r="T35" s="9" t="str">
        <f t="shared" si="3"/>
        <v>Sem limite próprio na LRF</v>
      </c>
      <c r="U35" s="9" t="s">
        <v>64</v>
      </c>
    </row>
    <row r="36" spans="1:21" x14ac:dyDescent="0.25">
      <c r="A36" s="9" t="str">
        <f t="shared" si="0"/>
        <v>Defensoria Pública|3º quad. 2024</v>
      </c>
      <c r="B36" s="9" t="s">
        <v>22</v>
      </c>
      <c r="C36" s="9" t="s">
        <v>22</v>
      </c>
      <c r="D36" s="9" t="s">
        <v>63</v>
      </c>
      <c r="E36" s="9" t="s">
        <v>48</v>
      </c>
      <c r="F36" s="9">
        <v>3</v>
      </c>
      <c r="G36" s="9" t="s">
        <v>7</v>
      </c>
      <c r="H36" s="9" t="s">
        <v>52</v>
      </c>
      <c r="I36" s="15">
        <v>132427796.66</v>
      </c>
      <c r="J36" s="15">
        <v>66084616647.010002</v>
      </c>
      <c r="K36" s="10">
        <f t="shared" si="1"/>
        <v>2.0039126105151081E-3</v>
      </c>
      <c r="L36" s="10"/>
      <c r="M36" s="9" t="str">
        <f t="shared" si="2"/>
        <v>Não declarado</v>
      </c>
      <c r="N36" s="10"/>
      <c r="O36" s="10"/>
      <c r="P36" s="10"/>
      <c r="Q36" s="17"/>
      <c r="R36" s="17"/>
      <c r="S36" s="17"/>
      <c r="T36" s="9" t="str">
        <f t="shared" si="3"/>
        <v>Sem limite próprio na LRF</v>
      </c>
      <c r="U36" s="9" t="s">
        <v>64</v>
      </c>
    </row>
    <row r="37" spans="1:21" x14ac:dyDescent="0.25">
      <c r="A37" s="9" t="str">
        <f t="shared" si="0"/>
        <v>Defensoria Pública|1º quad. 2025</v>
      </c>
      <c r="B37" s="9" t="s">
        <v>22</v>
      </c>
      <c r="C37" s="9" t="s">
        <v>22</v>
      </c>
      <c r="D37" s="9" t="s">
        <v>63</v>
      </c>
      <c r="E37" s="9" t="s">
        <v>53</v>
      </c>
      <c r="F37" s="9">
        <v>1</v>
      </c>
      <c r="G37" s="9" t="s">
        <v>8</v>
      </c>
      <c r="H37" s="9" t="s">
        <v>54</v>
      </c>
      <c r="I37" s="15">
        <v>134654011.96000001</v>
      </c>
      <c r="J37" s="15">
        <v>68346595194.959999</v>
      </c>
      <c r="K37" s="10">
        <f t="shared" si="1"/>
        <v>1.9701641548623863E-3</v>
      </c>
      <c r="L37" s="10"/>
      <c r="M37" s="9" t="str">
        <f t="shared" si="2"/>
        <v>Não declarado</v>
      </c>
      <c r="N37" s="10"/>
      <c r="O37" s="10"/>
      <c r="P37" s="10"/>
      <c r="Q37" s="17"/>
      <c r="R37" s="17"/>
      <c r="S37" s="17"/>
      <c r="T37" s="9" t="str">
        <f t="shared" si="3"/>
        <v>Sem limite próprio na LRF</v>
      </c>
      <c r="U37" s="9" t="s">
        <v>64</v>
      </c>
    </row>
    <row r="38" spans="1:21" x14ac:dyDescent="0.25">
      <c r="A38" s="9" t="str">
        <f t="shared" si="0"/>
        <v>Defensoria Pública|2º quad. 2025</v>
      </c>
      <c r="B38" s="9" t="s">
        <v>22</v>
      </c>
      <c r="C38" s="9" t="s">
        <v>22</v>
      </c>
      <c r="D38" s="9" t="s">
        <v>63</v>
      </c>
      <c r="E38" s="9" t="s">
        <v>53</v>
      </c>
      <c r="F38" s="9">
        <v>2</v>
      </c>
      <c r="G38" s="9" t="s">
        <v>9</v>
      </c>
      <c r="H38" s="9" t="s">
        <v>55</v>
      </c>
      <c r="I38" s="15">
        <v>143399957.69</v>
      </c>
      <c r="J38" s="15">
        <v>69774091880.690002</v>
      </c>
      <c r="K38" s="10">
        <f t="shared" si="1"/>
        <v>2.0552034978141504E-3</v>
      </c>
      <c r="L38" s="10"/>
      <c r="M38" s="9" t="str">
        <f t="shared" si="2"/>
        <v>Não declarado</v>
      </c>
      <c r="N38" s="10"/>
      <c r="O38" s="10"/>
      <c r="P38" s="10"/>
      <c r="Q38" s="17"/>
      <c r="R38" s="17"/>
      <c r="S38" s="17"/>
      <c r="T38" s="9" t="str">
        <f t="shared" si="3"/>
        <v>Sem limite próprio na LRF</v>
      </c>
      <c r="U38" s="9" t="s">
        <v>64</v>
      </c>
    </row>
    <row r="39" spans="1:21" x14ac:dyDescent="0.25">
      <c r="A39" s="9" t="str">
        <f t="shared" si="0"/>
        <v>Defensoria Pública|3º quad. 2025</v>
      </c>
      <c r="B39" s="9" t="s">
        <v>22</v>
      </c>
      <c r="C39" s="9" t="s">
        <v>22</v>
      </c>
      <c r="D39" s="9" t="s">
        <v>63</v>
      </c>
      <c r="E39" s="9" t="s">
        <v>53</v>
      </c>
      <c r="F39" s="9">
        <v>3</v>
      </c>
      <c r="G39" s="9" t="s">
        <v>10</v>
      </c>
      <c r="H39" s="9" t="s">
        <v>56</v>
      </c>
      <c r="I39" s="15">
        <v>155160051.47</v>
      </c>
      <c r="J39" s="15">
        <v>71052802963.070007</v>
      </c>
      <c r="K39" s="10">
        <f t="shared" si="1"/>
        <v>2.1837287904130269E-3</v>
      </c>
      <c r="L39" s="10"/>
      <c r="M39" s="9" t="str">
        <f t="shared" si="2"/>
        <v>Não declarado</v>
      </c>
      <c r="N39" s="10"/>
      <c r="O39" s="10"/>
      <c r="P39" s="10"/>
      <c r="Q39" s="17"/>
      <c r="R39" s="17"/>
      <c r="S39" s="17"/>
      <c r="T39" s="9" t="str">
        <f t="shared" si="3"/>
        <v>Sem limite próprio na LRF</v>
      </c>
      <c r="U39" s="9" t="s">
        <v>64</v>
      </c>
    </row>
    <row r="40" spans="1:21" x14ac:dyDescent="0.25">
      <c r="A40" s="9" t="str">
        <f t="shared" si="0"/>
        <v>Defensoria Pública|1º quad. 2026</v>
      </c>
      <c r="B40" s="9" t="s">
        <v>22</v>
      </c>
      <c r="C40" s="9" t="s">
        <v>22</v>
      </c>
      <c r="D40" s="9" t="s">
        <v>63</v>
      </c>
      <c r="E40" s="9" t="s">
        <v>57</v>
      </c>
      <c r="F40" s="9">
        <v>1</v>
      </c>
      <c r="G40" s="9" t="s">
        <v>11</v>
      </c>
      <c r="H40" s="9" t="s">
        <v>58</v>
      </c>
      <c r="I40" s="15">
        <v>164176632.84999999</v>
      </c>
      <c r="J40" s="15">
        <v>71010487165.570007</v>
      </c>
      <c r="K40" s="10">
        <f t="shared" si="1"/>
        <v>2.3120054431847686E-3</v>
      </c>
      <c r="L40" s="10"/>
      <c r="M40" s="9" t="str">
        <f t="shared" si="2"/>
        <v>Não declarado</v>
      </c>
      <c r="N40" s="10"/>
      <c r="O40" s="10"/>
      <c r="P40" s="10"/>
      <c r="Q40" s="17"/>
      <c r="R40" s="17"/>
      <c r="S40" s="17"/>
      <c r="T40" s="9" t="str">
        <f t="shared" si="3"/>
        <v>Sem limite próprio na LRF</v>
      </c>
      <c r="U40" s="9" t="s">
        <v>64</v>
      </c>
    </row>
    <row r="41" spans="1:21" x14ac:dyDescent="0.25">
      <c r="A41" s="9" t="str">
        <f t="shared" si="0"/>
        <v>Defensoria Pública|2º quad. 2026</v>
      </c>
      <c r="B41" s="9" t="s">
        <v>22</v>
      </c>
      <c r="C41" s="9" t="s">
        <v>22</v>
      </c>
      <c r="D41" s="9" t="s">
        <v>63</v>
      </c>
      <c r="E41" s="9" t="s">
        <v>57</v>
      </c>
      <c r="F41" s="9">
        <v>2</v>
      </c>
      <c r="G41" s="9" t="s">
        <v>12</v>
      </c>
      <c r="H41" s="9" t="s">
        <v>59</v>
      </c>
      <c r="I41" s="15">
        <v>173533879.41999999</v>
      </c>
      <c r="J41" s="15">
        <v>71562057716.639999</v>
      </c>
      <c r="K41" s="10">
        <f t="shared" si="1"/>
        <v>2.4249425597448822E-3</v>
      </c>
      <c r="L41" s="10"/>
      <c r="M41" s="9" t="str">
        <f t="shared" si="2"/>
        <v>Não declarado</v>
      </c>
      <c r="N41" s="10"/>
      <c r="O41" s="10"/>
      <c r="P41" s="10"/>
      <c r="Q41" s="17"/>
      <c r="R41" s="17"/>
      <c r="S41" s="17"/>
      <c r="T41" s="9" t="str">
        <f t="shared" si="3"/>
        <v>Sem limite próprio na LRF</v>
      </c>
      <c r="U41" s="9" t="s">
        <v>64</v>
      </c>
    </row>
    <row r="42" spans="1:21" x14ac:dyDescent="0.25">
      <c r="A42" s="9" t="str">
        <f t="shared" si="0"/>
        <v>Ministério Público|1º quad. 2024</v>
      </c>
      <c r="B42" s="9" t="s">
        <v>23</v>
      </c>
      <c r="C42" s="9" t="s">
        <v>23</v>
      </c>
      <c r="D42" s="9" t="s">
        <v>65</v>
      </c>
      <c r="E42" s="9" t="s">
        <v>48</v>
      </c>
      <c r="F42" s="9">
        <v>1</v>
      </c>
      <c r="G42" s="9" t="s">
        <v>5</v>
      </c>
      <c r="H42" s="9" t="s">
        <v>49</v>
      </c>
      <c r="I42" s="15">
        <v>914644868.59000003</v>
      </c>
      <c r="J42" s="15">
        <v>62703025040.360001</v>
      </c>
      <c r="K42" s="10">
        <f t="shared" si="1"/>
        <v>1.4586933692613257E-2</v>
      </c>
      <c r="L42" s="16">
        <v>1.46E-2</v>
      </c>
      <c r="M42" s="9" t="str">
        <f t="shared" si="2"/>
        <v>Sim</v>
      </c>
      <c r="N42" s="16">
        <v>0.02</v>
      </c>
      <c r="O42" s="16">
        <v>1.9E-2</v>
      </c>
      <c r="P42" s="16">
        <v>1.7999999999999999E-2</v>
      </c>
      <c r="Q42" s="15">
        <v>1254060500.8099999</v>
      </c>
      <c r="R42" s="15">
        <v>1191357475.77</v>
      </c>
      <c r="S42" s="15">
        <v>1128654450.73</v>
      </c>
      <c r="T42" s="9" t="str">
        <f t="shared" si="3"/>
        <v>Abaixo do limite de alerta</v>
      </c>
      <c r="U42" s="9" t="s">
        <v>50</v>
      </c>
    </row>
    <row r="43" spans="1:21" x14ac:dyDescent="0.25">
      <c r="A43" s="9" t="str">
        <f t="shared" si="0"/>
        <v>Ministério Público|2º quad. 2024</v>
      </c>
      <c r="B43" s="9" t="s">
        <v>23</v>
      </c>
      <c r="C43" s="9" t="s">
        <v>23</v>
      </c>
      <c r="D43" s="9" t="s">
        <v>65</v>
      </c>
      <c r="E43" s="9" t="s">
        <v>48</v>
      </c>
      <c r="F43" s="9">
        <v>2</v>
      </c>
      <c r="G43" s="9" t="s">
        <v>6</v>
      </c>
      <c r="H43" s="9" t="s">
        <v>51</v>
      </c>
      <c r="I43" s="15">
        <v>910854255.65999997</v>
      </c>
      <c r="J43" s="15">
        <v>64913246621.730003</v>
      </c>
      <c r="K43" s="10">
        <f t="shared" si="1"/>
        <v>1.4031870273995621E-2</v>
      </c>
      <c r="L43" s="16">
        <v>1.4E-2</v>
      </c>
      <c r="M43" s="9" t="str">
        <f t="shared" si="2"/>
        <v>Sim</v>
      </c>
      <c r="N43" s="16">
        <v>0.02</v>
      </c>
      <c r="O43" s="16">
        <v>1.9E-2</v>
      </c>
      <c r="P43" s="16">
        <v>1.7999999999999999E-2</v>
      </c>
      <c r="Q43" s="15">
        <v>1298264932.4300001</v>
      </c>
      <c r="R43" s="15">
        <v>1233351685.8099999</v>
      </c>
      <c r="S43" s="15">
        <v>1168438439.1900001</v>
      </c>
      <c r="T43" s="9" t="str">
        <f t="shared" si="3"/>
        <v>Abaixo do limite de alerta</v>
      </c>
      <c r="U43" s="9" t="s">
        <v>50</v>
      </c>
    </row>
    <row r="44" spans="1:21" x14ac:dyDescent="0.25">
      <c r="A44" s="9" t="str">
        <f t="shared" si="0"/>
        <v>Ministério Público|3º quad. 2024</v>
      </c>
      <c r="B44" s="9" t="s">
        <v>23</v>
      </c>
      <c r="C44" s="9" t="s">
        <v>23</v>
      </c>
      <c r="D44" s="9" t="s">
        <v>65</v>
      </c>
      <c r="E44" s="9" t="s">
        <v>48</v>
      </c>
      <c r="F44" s="9">
        <v>3</v>
      </c>
      <c r="G44" s="9" t="s">
        <v>7</v>
      </c>
      <c r="H44" s="9" t="s">
        <v>52</v>
      </c>
      <c r="I44" s="15">
        <v>991796821.21000004</v>
      </c>
      <c r="J44" s="15">
        <v>66084616647.010002</v>
      </c>
      <c r="K44" s="10">
        <f t="shared" si="1"/>
        <v>1.500798327253176E-2</v>
      </c>
      <c r="L44" s="16">
        <v>1.4999999999999999E-2</v>
      </c>
      <c r="M44" s="9" t="str">
        <f t="shared" si="2"/>
        <v>Sim</v>
      </c>
      <c r="N44" s="16">
        <v>0.02</v>
      </c>
      <c r="O44" s="16">
        <v>1.9E-2</v>
      </c>
      <c r="P44" s="16">
        <v>1.7999999999999999E-2</v>
      </c>
      <c r="Q44" s="15">
        <v>1321692332.9400001</v>
      </c>
      <c r="R44" s="15">
        <v>1255607716.29</v>
      </c>
      <c r="S44" s="15">
        <v>1189523099.6500001</v>
      </c>
      <c r="T44" s="9" t="str">
        <f t="shared" si="3"/>
        <v>Abaixo do limite de alerta</v>
      </c>
      <c r="U44" s="9" t="s">
        <v>50</v>
      </c>
    </row>
    <row r="45" spans="1:21" x14ac:dyDescent="0.25">
      <c r="A45" s="9" t="str">
        <f t="shared" si="0"/>
        <v>Ministério Público|1º quad. 2025</v>
      </c>
      <c r="B45" s="9" t="s">
        <v>23</v>
      </c>
      <c r="C45" s="9" t="s">
        <v>23</v>
      </c>
      <c r="D45" s="9" t="s">
        <v>65</v>
      </c>
      <c r="E45" s="9" t="s">
        <v>53</v>
      </c>
      <c r="F45" s="9">
        <v>1</v>
      </c>
      <c r="G45" s="9" t="s">
        <v>8</v>
      </c>
      <c r="H45" s="9" t="s">
        <v>54</v>
      </c>
      <c r="I45" s="15">
        <v>1017032314.6799999</v>
      </c>
      <c r="J45" s="15">
        <v>68346595194.959999</v>
      </c>
      <c r="K45" s="10">
        <f t="shared" si="1"/>
        <v>1.4880511776466631E-2</v>
      </c>
      <c r="L45" s="16">
        <v>1.49E-2</v>
      </c>
      <c r="M45" s="9" t="str">
        <f t="shared" si="2"/>
        <v>Sim</v>
      </c>
      <c r="N45" s="16">
        <v>0.02</v>
      </c>
      <c r="O45" s="16">
        <v>1.9E-2</v>
      </c>
      <c r="P45" s="16">
        <v>1.7999999999999999E-2</v>
      </c>
      <c r="Q45" s="15">
        <v>1366931903.9000001</v>
      </c>
      <c r="R45" s="15">
        <v>1298585308.71</v>
      </c>
      <c r="S45" s="15">
        <v>1230238713.51</v>
      </c>
      <c r="T45" s="9" t="str">
        <f t="shared" si="3"/>
        <v>Abaixo do limite de alerta</v>
      </c>
      <c r="U45" s="9" t="s">
        <v>50</v>
      </c>
    </row>
    <row r="46" spans="1:21" x14ac:dyDescent="0.25">
      <c r="A46" s="9" t="str">
        <f t="shared" si="0"/>
        <v>Ministério Público|2º quad. 2025</v>
      </c>
      <c r="B46" s="9" t="s">
        <v>23</v>
      </c>
      <c r="C46" s="9" t="s">
        <v>23</v>
      </c>
      <c r="D46" s="9" t="s">
        <v>65</v>
      </c>
      <c r="E46" s="9" t="s">
        <v>53</v>
      </c>
      <c r="F46" s="9">
        <v>2</v>
      </c>
      <c r="G46" s="9" t="s">
        <v>9</v>
      </c>
      <c r="H46" s="9" t="s">
        <v>55</v>
      </c>
      <c r="I46" s="15">
        <v>1035178204.77</v>
      </c>
      <c r="J46" s="15">
        <v>69774091880.690002</v>
      </c>
      <c r="K46" s="10">
        <f t="shared" si="1"/>
        <v>1.4836140132645507E-2</v>
      </c>
      <c r="L46" s="16">
        <v>1.4800000000000001E-2</v>
      </c>
      <c r="M46" s="9" t="str">
        <f t="shared" si="2"/>
        <v>Sim</v>
      </c>
      <c r="N46" s="16">
        <v>0.02</v>
      </c>
      <c r="O46" s="16">
        <v>1.9E-2</v>
      </c>
      <c r="P46" s="16">
        <v>1.7999999999999999E-2</v>
      </c>
      <c r="Q46" s="15">
        <v>1395481837.6099999</v>
      </c>
      <c r="R46" s="15">
        <v>1325707745.73</v>
      </c>
      <c r="S46" s="15">
        <v>1255933653.8499999</v>
      </c>
      <c r="T46" s="9" t="str">
        <f t="shared" si="3"/>
        <v>Abaixo do limite de alerta</v>
      </c>
      <c r="U46" s="9" t="s">
        <v>50</v>
      </c>
    </row>
    <row r="47" spans="1:21" x14ac:dyDescent="0.25">
      <c r="A47" s="9" t="str">
        <f t="shared" si="0"/>
        <v>Ministério Público|3º quad. 2025</v>
      </c>
      <c r="B47" s="9" t="s">
        <v>23</v>
      </c>
      <c r="C47" s="9" t="s">
        <v>23</v>
      </c>
      <c r="D47" s="9" t="s">
        <v>65</v>
      </c>
      <c r="E47" s="9" t="s">
        <v>53</v>
      </c>
      <c r="F47" s="9">
        <v>3</v>
      </c>
      <c r="G47" s="9" t="s">
        <v>10</v>
      </c>
      <c r="H47" s="9" t="s">
        <v>56</v>
      </c>
      <c r="I47" s="15">
        <v>1071402542.9299999</v>
      </c>
      <c r="J47" s="15">
        <v>71052802963.070007</v>
      </c>
      <c r="K47" s="10">
        <f t="shared" si="1"/>
        <v>1.5078962380792576E-2</v>
      </c>
      <c r="L47" s="16">
        <v>1.5100000000000001E-2</v>
      </c>
      <c r="M47" s="9" t="str">
        <f t="shared" si="2"/>
        <v>Sim</v>
      </c>
      <c r="N47" s="16">
        <v>0.02</v>
      </c>
      <c r="O47" s="16">
        <v>1.9E-2</v>
      </c>
      <c r="P47" s="16">
        <v>1.7999999999999999E-2</v>
      </c>
      <c r="Q47" s="15">
        <v>1421056059.26</v>
      </c>
      <c r="R47" s="15">
        <v>1350003256.3</v>
      </c>
      <c r="S47" s="15">
        <v>1278950453.3299999</v>
      </c>
      <c r="T47" s="9" t="str">
        <f t="shared" si="3"/>
        <v>Abaixo do limite de alerta</v>
      </c>
      <c r="U47" s="9" t="s">
        <v>50</v>
      </c>
    </row>
    <row r="48" spans="1:21" x14ac:dyDescent="0.25">
      <c r="A48" s="9" t="str">
        <f t="shared" si="0"/>
        <v>Ministério Público|1º quad. 2026</v>
      </c>
      <c r="B48" s="9" t="s">
        <v>23</v>
      </c>
      <c r="C48" s="9" t="s">
        <v>23</v>
      </c>
      <c r="D48" s="9" t="s">
        <v>65</v>
      </c>
      <c r="E48" s="9" t="s">
        <v>57</v>
      </c>
      <c r="F48" s="9">
        <v>1</v>
      </c>
      <c r="G48" s="9" t="s">
        <v>11</v>
      </c>
      <c r="H48" s="9" t="s">
        <v>58</v>
      </c>
      <c r="I48" s="15">
        <v>1086908460.1199999</v>
      </c>
      <c r="J48" s="15">
        <v>71010487165.570007</v>
      </c>
      <c r="K48" s="10">
        <f t="shared" si="1"/>
        <v>1.5306309018634588E-2</v>
      </c>
      <c r="L48" s="16">
        <v>1.5299999999999999E-2</v>
      </c>
      <c r="M48" s="9" t="str">
        <f t="shared" si="2"/>
        <v>Sim</v>
      </c>
      <c r="N48" s="16">
        <v>0.02</v>
      </c>
      <c r="O48" s="16">
        <v>1.9E-2</v>
      </c>
      <c r="P48" s="16">
        <v>1.7999999999999999E-2</v>
      </c>
      <c r="Q48" s="15">
        <v>1420209743.3099999</v>
      </c>
      <c r="R48" s="15">
        <v>1349199256.1400001</v>
      </c>
      <c r="S48" s="15">
        <v>1278188768.98</v>
      </c>
      <c r="T48" s="9" t="str">
        <f t="shared" si="3"/>
        <v>Abaixo do limite de alerta</v>
      </c>
      <c r="U48" s="9" t="s">
        <v>50</v>
      </c>
    </row>
    <row r="49" spans="1:21" x14ac:dyDescent="0.25">
      <c r="A49" s="9" t="str">
        <f t="shared" si="0"/>
        <v>Ministério Público|2º quad. 2026</v>
      </c>
      <c r="B49" s="9" t="s">
        <v>23</v>
      </c>
      <c r="C49" s="9" t="s">
        <v>23</v>
      </c>
      <c r="D49" s="9" t="s">
        <v>65</v>
      </c>
      <c r="E49" s="9" t="s">
        <v>57</v>
      </c>
      <c r="F49" s="9">
        <v>2</v>
      </c>
      <c r="G49" s="9" t="s">
        <v>12</v>
      </c>
      <c r="H49" s="9" t="s">
        <v>59</v>
      </c>
      <c r="I49" s="15">
        <v>1103897801.2</v>
      </c>
      <c r="J49" s="15">
        <v>71562057716.639999</v>
      </c>
      <c r="K49" s="10">
        <f t="shared" si="1"/>
        <v>1.5425741467231673E-2</v>
      </c>
      <c r="L49" s="16">
        <v>1.54E-2</v>
      </c>
      <c r="M49" s="9" t="str">
        <f t="shared" si="2"/>
        <v>Sim</v>
      </c>
      <c r="N49" s="16">
        <v>0.02</v>
      </c>
      <c r="O49" s="16">
        <v>1.9E-2</v>
      </c>
      <c r="P49" s="16">
        <v>1.7999999999999999E-2</v>
      </c>
      <c r="Q49" s="15">
        <v>1431241154.3299999</v>
      </c>
      <c r="R49" s="15">
        <v>1359679096.6099999</v>
      </c>
      <c r="S49" s="15">
        <v>1288117038.9000001</v>
      </c>
      <c r="T49" s="9" t="str">
        <f t="shared" si="3"/>
        <v>Abaixo do limite de alerta</v>
      </c>
      <c r="U49" s="9" t="s">
        <v>50</v>
      </c>
    </row>
  </sheetData>
  <autoFilter ref="A1:U49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18" x14ac:dyDescent="0.25">
      <c r="A1" s="1" t="s">
        <v>66</v>
      </c>
    </row>
    <row r="3" spans="1:2" ht="30" customHeight="1" x14ac:dyDescent="0.25">
      <c r="A3" s="18" t="s">
        <v>67</v>
      </c>
      <c r="B3" s="19" t="s">
        <v>68</v>
      </c>
    </row>
    <row r="4" spans="1:2" ht="15" customHeight="1" x14ac:dyDescent="0.25">
      <c r="A4" s="18" t="s">
        <v>69</v>
      </c>
      <c r="B4" s="19" t="s">
        <v>70</v>
      </c>
    </row>
    <row r="5" spans="1:2" ht="30" customHeight="1" x14ac:dyDescent="0.25">
      <c r="A5" s="18" t="s">
        <v>71</v>
      </c>
      <c r="B5" s="19" t="s">
        <v>72</v>
      </c>
    </row>
    <row r="6" spans="1:2" ht="30" customHeight="1" x14ac:dyDescent="0.25">
      <c r="A6" s="18" t="s">
        <v>73</v>
      </c>
      <c r="B6" s="19" t="s">
        <v>74</v>
      </c>
    </row>
    <row r="7" spans="1:2" ht="30" customHeight="1" x14ac:dyDescent="0.25">
      <c r="A7" s="18" t="s">
        <v>75</v>
      </c>
      <c r="B7" s="19" t="s">
        <v>76</v>
      </c>
    </row>
    <row r="8" spans="1:2" ht="60" customHeight="1" x14ac:dyDescent="0.25">
      <c r="A8" s="18" t="s">
        <v>77</v>
      </c>
      <c r="B8" s="19" t="s">
        <v>78</v>
      </c>
    </row>
    <row r="9" spans="1:2" ht="45" customHeight="1" x14ac:dyDescent="0.25">
      <c r="A9" s="18" t="s">
        <v>79</v>
      </c>
      <c r="B9" s="19" t="s">
        <v>80</v>
      </c>
    </row>
    <row r="10" spans="1:2" ht="15" customHeight="1" x14ac:dyDescent="0.25">
      <c r="A10" s="18" t="s">
        <v>81</v>
      </c>
      <c r="B10" s="19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Dados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Medeiros</cp:lastModifiedBy>
  <dcterms:created xsi:type="dcterms:W3CDTF">2026-10-15T10:08:07Z</dcterms:created>
  <dcterms:modified xsi:type="dcterms:W3CDTF">2026-10-15T10:08:37Z</dcterms:modified>
</cp:coreProperties>
</file>