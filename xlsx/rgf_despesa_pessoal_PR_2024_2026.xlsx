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480ED2778631B4AC45F4BC72A4C8551F17875C07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J21" i="1"/>
  <c r="I21" i="1"/>
  <c r="H21" i="1"/>
  <c r="G21" i="1"/>
  <c r="F21" i="1"/>
  <c r="E21" i="1"/>
  <c r="D21" i="1"/>
  <c r="C21" i="1"/>
  <c r="J20" i="1"/>
  <c r="I20" i="1"/>
  <c r="E19" i="1"/>
  <c r="D19" i="1"/>
  <c r="C19" i="1"/>
  <c r="J18" i="1"/>
  <c r="I18" i="1"/>
  <c r="H18" i="1"/>
  <c r="G18" i="1"/>
  <c r="F18" i="1"/>
  <c r="H17" i="1"/>
  <c r="G17" i="1"/>
  <c r="F17" i="1"/>
  <c r="E17" i="1"/>
  <c r="D17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M43" i="2" l="1"/>
  <c r="T43" i="2"/>
  <c r="M30" i="2"/>
  <c r="T30" i="2"/>
  <c r="T24" i="2"/>
  <c r="M24" i="2"/>
  <c r="T11" i="2"/>
  <c r="M11" i="2"/>
  <c r="H19" i="1"/>
  <c r="G19" i="1"/>
  <c r="F19" i="1"/>
  <c r="C18" i="1"/>
  <c r="J17" i="1"/>
  <c r="I17" i="1"/>
  <c r="H20" i="1"/>
  <c r="G20" i="1"/>
  <c r="F20" i="1"/>
  <c r="E20" i="1"/>
  <c r="D20" i="1"/>
  <c r="C20" i="1"/>
  <c r="J19" i="1"/>
  <c r="I19" i="1"/>
  <c r="E18" i="1"/>
  <c r="D18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T33" i="2"/>
  <c r="L9" i="1" s="1"/>
  <c r="M33" i="2"/>
  <c r="T32" i="2"/>
  <c r="M32" i="2"/>
  <c r="T31" i="2"/>
  <c r="M31" i="2"/>
  <c r="T29" i="2"/>
  <c r="M29" i="2"/>
  <c r="T28" i="2"/>
  <c r="M28" i="2"/>
  <c r="T27" i="2"/>
  <c r="M27" i="2"/>
  <c r="T26" i="2"/>
  <c r="M26" i="2"/>
  <c r="T25" i="2"/>
  <c r="L8" i="1" s="1"/>
  <c r="M25" i="2"/>
  <c r="M23" i="2"/>
  <c r="T23" i="2"/>
  <c r="M22" i="2"/>
  <c r="T22" i="2"/>
  <c r="T21" i="2"/>
  <c r="M21" i="2"/>
  <c r="T20" i="2"/>
  <c r="M20" i="2"/>
  <c r="T19" i="2"/>
  <c r="M19" i="2"/>
  <c r="T18" i="2"/>
  <c r="M18" i="2"/>
  <c r="T17" i="2"/>
  <c r="L7" i="1" s="1"/>
  <c r="M17" i="2"/>
  <c r="M16" i="2"/>
  <c r="T16" i="2"/>
  <c r="M15" i="2"/>
  <c r="T15" i="2"/>
  <c r="T14" i="2"/>
  <c r="M14" i="2"/>
  <c r="T13" i="2"/>
  <c r="M13" i="2"/>
  <c r="T12" i="2"/>
  <c r="M12" i="2"/>
  <c r="T10" i="2"/>
  <c r="M10" i="2"/>
  <c r="T9" i="2"/>
  <c r="L6" i="1" s="1"/>
  <c r="M9" i="2"/>
  <c r="T8" i="2"/>
  <c r="M8" i="2"/>
  <c r="T7" i="2"/>
  <c r="M7" i="2"/>
  <c r="T6" i="2"/>
  <c r="M6" i="2"/>
  <c r="T5" i="2"/>
  <c r="M5" i="2"/>
  <c r="T4" i="2"/>
  <c r="M4" i="2"/>
  <c r="T3" i="2"/>
  <c r="M3" i="2"/>
  <c r="T2" i="2"/>
  <c r="M2" i="2"/>
  <c r="C17" i="1"/>
  <c r="J16" i="1"/>
  <c r="I16" i="1"/>
  <c r="D11" i="1"/>
  <c r="C11" i="1"/>
  <c r="L10" i="1"/>
  <c r="H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<sst xmlns="http://schemas.openxmlformats.org/spreadsheetml/2006/main" count="427" uniqueCount="83">
  <si>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Paraná (PR)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</si>
  <si>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</si>
  <si>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</si>
  <si>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</si>
  <si>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</si>
  <si>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</si>
  <si>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</si>
  <si>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</si>
  <si>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</si>
  <si>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</si>
  <si>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</si>
  <si>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</si>
  <si>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</si>
  <si>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</si>
  <si>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</si>
  <si>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</si>
  <si>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</si>
  <si>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</si>
  <si>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</si>
  <si>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</si>
  <si>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</si>
  <si>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</si>
  <si>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</si>
  <si>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</si>
  <si>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</si>
  <si>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</si>
  <si>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</si>
  <si>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</si>
  <si>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</si>
  <si>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</si>
  <si>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</si>
  <si>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</si>
  <si>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</si>
  <si>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</si>
  <si>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</si>
  <si>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</si>
  <si>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</si>
  <si>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</si>
  <si>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</si>
  <si>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</si>
  <si>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</si>
  <si>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</si>
  <si>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</si>
  <si>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</si>
  <si>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</si>
  <si>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</si>
  <si>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</si>
  <si>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Paraná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</si>
  <si>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</si>
  <si>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</si>
  <si>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</si>
  <si>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</si>
  <si>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</si>
  <si>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</si>
  <si>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</si>
  <si>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</si>
  <si>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</si>
  <si>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</si>
  <si>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</si>
  <si>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</si>
  <si>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Paraná</t>
  </si>
  <si>
    <t>Tribunal de Justiça do Estado do Paraná</t>
  </si>
  <si>
    <t>Tribunal de Contas do Estado do Paraná</t>
  </si>
  <si>
    <t>Defensoria Pública do Estado do Paraná</t>
  </si>
  <si>
    <t>Calculado (despesa líquida / RCL Ajustada do Executivo)</t>
  </si>
  <si>
    <t>Ministério Público do Estado do Paraná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</si>
  <si>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</si>
  <si>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</si>
  <si>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</si>
  <si>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</si>
  <si>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Paraná (PR).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</si>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</sst>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0.41994878164412108</v>
      </c>
      <c r="D6" s="7">
        <f>IFERROR(IF(INDEX(Dados!$K$2:$K$49,MATCH($A6&amp;"|"&amp;D$5,Dados!$A$2:$A$49,0))="","",INDEX(Dados!$K$2:$K$49,MATCH($A6&amp;"|"&amp;D$5,Dados!$A$2:$A$49,0))),"")</f>
        <v>0.41045736558662216</v>
      </c>
      <c r="E6" s="7">
        <f>IFERROR(IF(INDEX(Dados!$K$2:$K$49,MATCH($A6&amp;"|"&amp;E$5,Dados!$A$2:$A$49,0))="","",INDEX(Dados!$K$2:$K$49,MATCH($A6&amp;"|"&amp;E$5,Dados!$A$2:$A$49,0))),"")</f>
        <v>0.42705890365086813</v>
      </c>
      <c r="F6" s="7">
        <f>IFERROR(IF(INDEX(Dados!$K$2:$K$49,MATCH($A6&amp;"|"&amp;F$5,Dados!$A$2:$A$49,0))="","",INDEX(Dados!$K$2:$K$49,MATCH($A6&amp;"|"&amp;F$5,Dados!$A$2:$A$49,0))),"")</f>
        <v>0.42090403010494598</v>
      </c>
      <c r="G6" s="7">
        <f>IFERROR(IF(INDEX(Dados!$K$2:$K$49,MATCH($A6&amp;"|"&amp;G$5,Dados!$A$2:$A$49,0))="","",INDEX(Dados!$K$2:$K$49,MATCH($A6&amp;"|"&amp;G$5,Dados!$A$2:$A$49,0))),"")</f>
        <v>0.42229081951411879</v>
      </c>
      <c r="H6" s="7">
        <f>IFERROR(IF(INDEX(Dados!$K$2:$K$49,MATCH($A6&amp;"|"&amp;H$5,Dados!$A$2:$A$49,0))="","",INDEX(Dados!$K$2:$K$49,MATCH($A6&amp;"|"&amp;H$5,Dados!$A$2:$A$49,0))),"")</f>
        <v>0.42462932284503341</v>
      </c>
      <c r="I6" s="7">
        <f>IFERROR(IF(INDEX(Dados!$K$2:$K$49,MATCH($A6&amp;"|"&amp;I$5,Dados!$A$2:$A$49,0))="","",INDEX(Dados!$K$2:$K$49,MATCH($A6&amp;"|"&amp;I$5,Dados!$A$2:$A$49,0))),"")</f>
        <v>0.43662058978610757</v>
      </c>
      <c r="J6" s="7">
        <f>IFERROR(IF(INDEX(Dados!$K$2:$K$49,MATCH($A6&amp;"|"&amp;J$5,Dados!$A$2:$A$49,0))="","",INDEX(Dados!$K$2:$K$49,MATCH($A6&amp;"|"&amp;J$5,Dados!$A$2:$A$49,0))),"")</f>
        <v>0.44878784571523256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Acima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8.4381456588328314E-3</v>
      </c>
      <c r="D7" s="10">
        <f>IFERROR(IF(INDEX(Dados!$K$2:$K$49,MATCH($A7&amp;"|"&amp;D$5,Dados!$A$2:$A$49,0))="","",INDEX(Dados!$K$2:$K$49,MATCH($A7&amp;"|"&amp;D$5,Dados!$A$2:$A$49,0))),"")</f>
        <v>8.3034691458425004E-3</v>
      </c>
      <c r="E7" s="10">
        <f>IFERROR(IF(INDEX(Dados!$K$2:$K$49,MATCH($A7&amp;"|"&amp;E$5,Dados!$A$2:$A$49,0))="","",INDEX(Dados!$K$2:$K$49,MATCH($A7&amp;"|"&amp;E$5,Dados!$A$2:$A$49,0))),"")</f>
        <v>8.4185639204305118E-3</v>
      </c>
      <c r="F7" s="10">
        <f>IFERROR(IF(INDEX(Dados!$K$2:$K$49,MATCH($A7&amp;"|"&amp;F$5,Dados!$A$2:$A$49,0))="","",INDEX(Dados!$K$2:$K$49,MATCH($A7&amp;"|"&amp;F$5,Dados!$A$2:$A$49,0))),"")</f>
        <v>8.2867543265968766E-3</v>
      </c>
      <c r="G7" s="10">
        <f>IFERROR(IF(INDEX(Dados!$K$2:$K$49,MATCH($A7&amp;"|"&amp;G$5,Dados!$A$2:$A$49,0))="","",INDEX(Dados!$K$2:$K$49,MATCH($A7&amp;"|"&amp;G$5,Dados!$A$2:$A$49,0))),"")</f>
        <v>8.5662200103206829E-3</v>
      </c>
      <c r="H7" s="10">
        <f>IFERROR(IF(INDEX(Dados!$K$2:$K$49,MATCH($A7&amp;"|"&amp;H$5,Dados!$A$2:$A$49,0))="","",INDEX(Dados!$K$2:$K$49,MATCH($A7&amp;"|"&amp;H$5,Dados!$A$2:$A$49,0))),"")</f>
        <v>8.2689149708192501E-3</v>
      </c>
      <c r="I7" s="10">
        <f>IFERROR(IF(INDEX(Dados!$K$2:$K$49,MATCH($A7&amp;"|"&amp;I$5,Dados!$A$2:$A$49,0))="","",INDEX(Dados!$K$2:$K$49,MATCH($A7&amp;"|"&amp;I$5,Dados!$A$2:$A$49,0))),"")</f>
        <v>8.4448342292285459E-3</v>
      </c>
      <c r="J7" s="10">
        <f>IFERROR(IF(INDEX(Dados!$K$2:$K$49,MATCH($A7&amp;"|"&amp;J$5,Dados!$A$2:$A$49,0))="","",INDEX(Dados!$K$2:$K$49,MATCH($A7&amp;"|"&amp;J$5,Dados!$A$2:$A$49,0))),"")</f>
        <v>8.691656790849529E-3</v>
      </c>
      <c r="K7" s="10">
        <f>IFERROR(IF(INDEX(Dados!$N$2:$N$49,MATCH($A7&amp;"|"&amp;J$5,Dados!$A$2:$A$49,0))=0,"—",INDEX(Dados!$N$2:$N$49,MATCH($A7&amp;"|"&amp;J$5,Dados!$A$2:$A$49,0))),"—")</f>
        <v>1.6400000000000001E-2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3.9854670856174251E-2</v>
      </c>
      <c r="D8" s="10">
        <f>IFERROR(IF(INDEX(Dados!$K$2:$K$49,MATCH($A8&amp;"|"&amp;D$5,Dados!$A$2:$A$49,0))="","",INDEX(Dados!$K$2:$K$49,MATCH($A8&amp;"|"&amp;D$5,Dados!$A$2:$A$49,0))),"")</f>
        <v>3.8218229460264243E-2</v>
      </c>
      <c r="E8" s="10">
        <f>IFERROR(IF(INDEX(Dados!$K$2:$K$49,MATCH($A8&amp;"|"&amp;E$5,Dados!$A$2:$A$49,0))="","",INDEX(Dados!$K$2:$K$49,MATCH($A8&amp;"|"&amp;E$5,Dados!$A$2:$A$49,0))),"")</f>
        <v>4.0934649687528968E-2</v>
      </c>
      <c r="F8" s="10">
        <f>IFERROR(IF(INDEX(Dados!$K$2:$K$49,MATCH($A8&amp;"|"&amp;F$5,Dados!$A$2:$A$49,0))="","",INDEX(Dados!$K$2:$K$49,MATCH($A8&amp;"|"&amp;F$5,Dados!$A$2:$A$49,0))),"")</f>
        <v>3.9896439824424174E-2</v>
      </c>
      <c r="G8" s="10">
        <f>IFERROR(IF(INDEX(Dados!$K$2:$K$49,MATCH($A8&amp;"|"&amp;G$5,Dados!$A$2:$A$49,0))="","",INDEX(Dados!$K$2:$K$49,MATCH($A8&amp;"|"&amp;G$5,Dados!$A$2:$A$49,0))),"")</f>
        <v>4.0044371278779148E-2</v>
      </c>
      <c r="H8" s="10">
        <f>IFERROR(IF(INDEX(Dados!$K$2:$K$49,MATCH($A8&amp;"|"&amp;H$5,Dados!$A$2:$A$49,0))="","",INDEX(Dados!$K$2:$K$49,MATCH($A8&amp;"|"&amp;H$5,Dados!$A$2:$A$49,0))),"")</f>
        <v>4.0706932818727885E-2</v>
      </c>
      <c r="I8" s="10">
        <f>IFERROR(IF(INDEX(Dados!$K$2:$K$49,MATCH($A8&amp;"|"&amp;I$5,Dados!$A$2:$A$49,0))="","",INDEX(Dados!$K$2:$K$49,MATCH($A8&amp;"|"&amp;I$5,Dados!$A$2:$A$49,0))),"")</f>
        <v>4.188800050722935E-2</v>
      </c>
      <c r="J8" s="10">
        <f>IFERROR(IF(INDEX(Dados!$K$2:$K$49,MATCH($A8&amp;"|"&amp;J$5,Dados!$A$2:$A$49,0))="","",INDEX(Dados!$K$2:$K$49,MATCH($A8&amp;"|"&amp;J$5,Dados!$A$2:$A$49,0))),"")</f>
        <v>4.2800794028562357E-2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7.3449817348294841E-3</v>
      </c>
      <c r="D9" s="10">
        <f>IFERROR(IF(INDEX(Dados!$K$2:$K$49,MATCH($A9&amp;"|"&amp;D$5,Dados!$A$2:$A$49,0))="","",INDEX(Dados!$K$2:$K$49,MATCH($A9&amp;"|"&amp;D$5,Dados!$A$2:$A$49,0))),"")</f>
        <v>7.5786589807590324E-3</v>
      </c>
      <c r="E9" s="10">
        <f>IFERROR(IF(INDEX(Dados!$K$2:$K$49,MATCH($A9&amp;"|"&amp;E$5,Dados!$A$2:$A$49,0))="","",INDEX(Dados!$K$2:$K$49,MATCH($A9&amp;"|"&amp;E$5,Dados!$A$2:$A$49,0))),"")</f>
        <v>8.4968971642722796E-3</v>
      </c>
      <c r="F9" s="10">
        <f>IFERROR(IF(INDEX(Dados!$K$2:$K$49,MATCH($A9&amp;"|"&amp;F$5,Dados!$A$2:$A$49,0))="","",INDEX(Dados!$K$2:$K$49,MATCH($A9&amp;"|"&amp;F$5,Dados!$A$2:$A$49,0))),"")</f>
        <v>8.4700056448852746E-3</v>
      </c>
      <c r="G9" s="10">
        <f>IFERROR(IF(INDEX(Dados!$K$2:$K$49,MATCH($A9&amp;"|"&amp;G$5,Dados!$A$2:$A$49,0))="","",INDEX(Dados!$K$2:$K$49,MATCH($A9&amp;"|"&amp;G$5,Dados!$A$2:$A$49,0))),"")</f>
        <v>8.4200459912053844E-3</v>
      </c>
      <c r="H9" s="10">
        <f>IFERROR(IF(INDEX(Dados!$K$2:$K$49,MATCH($A9&amp;"|"&amp;H$5,Dados!$A$2:$A$49,0))="","",INDEX(Dados!$K$2:$K$49,MATCH($A9&amp;"|"&amp;H$5,Dados!$A$2:$A$49,0))),"")</f>
        <v>8.2386332289276845E-3</v>
      </c>
      <c r="I9" s="10">
        <f>IFERROR(IF(INDEX(Dados!$K$2:$K$49,MATCH($A9&amp;"|"&amp;I$5,Dados!$A$2:$A$49,0))="","",INDEX(Dados!$K$2:$K$49,MATCH($A9&amp;"|"&amp;I$5,Dados!$A$2:$A$49,0))),"")</f>
        <v>8.6284353440836126E-3</v>
      </c>
      <c r="J9" s="10">
        <f>IFERROR(IF(INDEX(Dados!$K$2:$K$49,MATCH($A9&amp;"|"&amp;J$5,Dados!$A$2:$A$49,0))="","",INDEX(Dados!$K$2:$K$49,MATCH($A9&amp;"|"&amp;J$5,Dados!$A$2:$A$49,0))),"")</f>
        <v>8.7007254353338691E-3</v>
      </c>
      <c r="K9" s="10">
        <f>IFERROR(IF(INDEX(Dados!$N$2:$N$49,MATCH($A9&amp;"|"&amp;J$5,Dados!$A$2:$A$49,0))=0,"—",INDEX(Dados!$N$2:$N$49,MATCH($A9&amp;"|"&amp;J$5,Dados!$A$2:$A$49,0))),"—")</f>
        <v>1.3599999999999999E-2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1.8062999212095068E-3</v>
      </c>
      <c r="D10" s="10">
        <f>IFERROR(IF(INDEX(Dados!$K$2:$K$49,MATCH($A10&amp;"|"&amp;D$5,Dados!$A$2:$A$49,0))="","",INDEX(Dados!$K$2:$K$49,MATCH($A10&amp;"|"&amp;D$5,Dados!$A$2:$A$49,0))),"")</f>
        <v>1.765552910607841E-3</v>
      </c>
      <c r="E10" s="10">
        <f>IFERROR(IF(INDEX(Dados!$K$2:$K$49,MATCH($A10&amp;"|"&amp;E$5,Dados!$A$2:$A$49,0))="","",INDEX(Dados!$K$2:$K$49,MATCH($A10&amp;"|"&amp;E$5,Dados!$A$2:$A$49,0))),"")</f>
        <v>2.0039126105151081E-3</v>
      </c>
      <c r="F10" s="10">
        <f>IFERROR(IF(INDEX(Dados!$K$2:$K$49,MATCH($A10&amp;"|"&amp;F$5,Dados!$A$2:$A$49,0))="","",INDEX(Dados!$K$2:$K$49,MATCH($A10&amp;"|"&amp;F$5,Dados!$A$2:$A$49,0))),"")</f>
        <v>1.9701641548623863E-3</v>
      </c>
      <c r="G10" s="10">
        <f>IFERROR(IF(INDEX(Dados!$K$2:$K$49,MATCH($A10&amp;"|"&amp;G$5,Dados!$A$2:$A$49,0))="","",INDEX(Dados!$K$2:$K$49,MATCH($A10&amp;"|"&amp;G$5,Dados!$A$2:$A$49,0))),"")</f>
        <v>2.0552034978141504E-3</v>
      </c>
      <c r="H10" s="10">
        <f>IFERROR(IF(INDEX(Dados!$K$2:$K$49,MATCH($A10&amp;"|"&amp;H$5,Dados!$A$2:$A$49,0))="","",INDEX(Dados!$K$2:$K$49,MATCH($A10&amp;"|"&amp;H$5,Dados!$A$2:$A$49,0))),"")</f>
        <v>2.1837287904130269E-3</v>
      </c>
      <c r="I10" s="10">
        <f>IFERROR(IF(INDEX(Dados!$K$2:$K$49,MATCH($A10&amp;"|"&amp;I$5,Dados!$A$2:$A$49,0))="","",INDEX(Dados!$K$2:$K$49,MATCH($A10&amp;"|"&amp;I$5,Dados!$A$2:$A$49,0))),"")</f>
        <v>2.3120054431847686E-3</v>
      </c>
      <c r="J10" s="10">
        <f>IFERROR(IF(INDEX(Dados!$K$2:$K$49,MATCH($A10&amp;"|"&amp;J$5,Dados!$A$2:$A$49,0))="","",INDEX(Dados!$K$2:$K$49,MATCH($A10&amp;"|"&amp;J$5,Dados!$A$2:$A$49,0))),"")</f>
        <v>2.4249425597448822E-3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1.4586933692613257E-2</v>
      </c>
      <c r="D11" s="10">
        <f>IFERROR(IF(INDEX(Dados!$K$2:$K$49,MATCH($A11&amp;"|"&amp;D$5,Dados!$A$2:$A$49,0))="","",INDEX(Dados!$K$2:$K$49,MATCH($A11&amp;"|"&amp;D$5,Dados!$A$2:$A$49,0))),"")</f>
        <v>1.4031870273995621E-2</v>
      </c>
      <c r="E11" s="10">
        <f>IFERROR(IF(INDEX(Dados!$K$2:$K$49,MATCH($A11&amp;"|"&amp;E$5,Dados!$A$2:$A$49,0))="","",INDEX(Dados!$K$2:$K$49,MATCH($A11&amp;"|"&amp;E$5,Dados!$A$2:$A$49,0))),"")</f>
        <v>1.500798327253176E-2</v>
      </c>
      <c r="F11" s="10">
        <f>IFERROR(IF(INDEX(Dados!$K$2:$K$49,MATCH($A11&amp;"|"&amp;F$5,Dados!$A$2:$A$49,0))="","",INDEX(Dados!$K$2:$K$49,MATCH($A11&amp;"|"&amp;F$5,Dados!$A$2:$A$49,0))),"")</f>
        <v>1.4880511776466631E-2</v>
      </c>
      <c r="G11" s="10">
        <f>IFERROR(IF(INDEX(Dados!$K$2:$K$49,MATCH($A11&amp;"|"&amp;G$5,Dados!$A$2:$A$49,0))="","",INDEX(Dados!$K$2:$K$49,MATCH($A11&amp;"|"&amp;G$5,Dados!$A$2:$A$49,0))),"")</f>
        <v>1.4836140132645507E-2</v>
      </c>
      <c r="H11" s="10">
        <f>IFERROR(IF(INDEX(Dados!$K$2:$K$49,MATCH($A11&amp;"|"&amp;H$5,Dados!$A$2:$A$49,0))="","",INDEX(Dados!$K$2:$K$49,MATCH($A11&amp;"|"&amp;H$5,Dados!$A$2:$A$49,0))),"")</f>
        <v>1.5078962380792576E-2</v>
      </c>
      <c r="I11" s="10">
        <f>IFERROR(IF(INDEX(Dados!$K$2:$K$49,MATCH($A11&amp;"|"&amp;I$5,Dados!$A$2:$A$49,0))="","",INDEX(Dados!$K$2:$K$49,MATCH($A11&amp;"|"&amp;I$5,Dados!$A$2:$A$49,0))),"")</f>
        <v>1.5306309018634588E-2</v>
      </c>
      <c r="J11" s="10">
        <f>IFERROR(IF(INDEX(Dados!$K$2:$K$49,MATCH($A11&amp;"|"&amp;J$5,Dados!$A$2:$A$49,0))="","",INDEX(Dados!$K$2:$K$49,MATCH($A11&amp;"|"&amp;J$5,Dados!$A$2:$A$49,0))),"")</f>
        <v>1.5425741467231673E-2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62703.02504036</v>
      </c>
      <c r="D12" s="12">
        <f>IFERROR(INDEX(Dados!$J$2:$J$49,MATCH("Governo|"&amp;D$5,Dados!$A$2:$A$49,0))/1000000,"")</f>
        <v>64913.246621730003</v>
      </c>
      <c r="E12" s="12">
        <f>IFERROR(INDEX(Dados!$J$2:$J$49,MATCH("Governo|"&amp;E$5,Dados!$A$2:$A$49,0))/1000000,"")</f>
        <v>66084.61664701</v>
      </c>
      <c r="F12" s="12">
        <f>IFERROR(INDEX(Dados!$J$2:$J$49,MATCH("Governo|"&amp;F$5,Dados!$A$2:$A$49,0))/1000000,"")</f>
        <v>68346.595194959998</v>
      </c>
      <c r="G12" s="12">
        <f>IFERROR(INDEX(Dados!$J$2:$J$49,MATCH("Governo|"&amp;G$5,Dados!$A$2:$A$49,0))/1000000,"")</f>
        <v>69774.091880690001</v>
      </c>
      <c r="H12" s="12">
        <f>IFERROR(INDEX(Dados!$J$2:$J$49,MATCH("Governo|"&amp;H$5,Dados!$A$2:$A$49,0))/1000000,"")</f>
        <v>71052.802963070004</v>
      </c>
      <c r="I12" s="12">
        <f>IFERROR(INDEX(Dados!$J$2:$J$49,MATCH("Governo|"&amp;I$5,Dados!$A$2:$A$49,0))/1000000,"")</f>
        <v>71010.487165570012</v>
      </c>
      <c r="J12" s="12">
        <f>IFERROR(INDEX(Dados!$J$2:$J$49,MATCH("Governo|"&amp;J$5,Dados!$A$2:$A$49,0))/1000000,"")</f>
        <v>71562.057716640003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26332.058971099999</v>
      </c>
      <c r="D16" s="13">
        <f>IFERROR(IF(INDEX(Dados!$I$2:$I$49,MATCH($A16&amp;"|"&amp;D$15,Dados!$A$2:$A$49,0))="","",INDEX(Dados!$I$2:$I$49,MATCH($A16&amp;"|"&amp;D$15,Dados!$A$2:$A$49,0))/1000000),"")</f>
        <v>26644.12020003</v>
      </c>
      <c r="E16" s="13">
        <f>IFERROR(IF(INDEX(Dados!$I$2:$I$49,MATCH($A16&amp;"|"&amp;E$15,Dados!$A$2:$A$49,0))="","",INDEX(Dados!$I$2:$I$49,MATCH($A16&amp;"|"&amp;E$15,Dados!$A$2:$A$49,0))/1000000),"")</f>
        <v>28222.023933459997</v>
      </c>
      <c r="F16" s="13">
        <f>IFERROR(IF(INDEX(Dados!$I$2:$I$49,MATCH($A16&amp;"|"&amp;F$15,Dados!$A$2:$A$49,0))="","",INDEX(Dados!$I$2:$I$49,MATCH($A16&amp;"|"&amp;F$15,Dados!$A$2:$A$49,0))/1000000),"")</f>
        <v>28767.357361509999</v>
      </c>
      <c r="G16" s="13">
        <f>IFERROR(IF(INDEX(Dados!$I$2:$I$49,MATCH($A16&amp;"|"&amp;G$15,Dados!$A$2:$A$49,0))="","",INDEX(Dados!$I$2:$I$49,MATCH($A16&amp;"|"&amp;G$15,Dados!$A$2:$A$49,0))/1000000),"")</f>
        <v>29464.95844115</v>
      </c>
      <c r="H16" s="13">
        <f>IFERROR(IF(INDEX(Dados!$I$2:$I$49,MATCH($A16&amp;"|"&amp;H$15,Dados!$A$2:$A$49,0))="","",INDEX(Dados!$I$2:$I$49,MATCH($A16&amp;"|"&amp;H$15,Dados!$A$2:$A$49,0))/1000000),"")</f>
        <v>30171.103608450001</v>
      </c>
      <c r="I16" s="13">
        <f>IFERROR(IF(INDEX(Dados!$I$2:$I$49,MATCH($A16&amp;"|"&amp;I$15,Dados!$A$2:$A$49,0))="","",INDEX(Dados!$I$2:$I$49,MATCH($A16&amp;"|"&amp;I$15,Dados!$A$2:$A$49,0))/1000000),"")</f>
        <v>31004.640787230001</v>
      </c>
      <c r="J16" s="13">
        <f>IFERROR(IF(INDEX(Dados!$I$2:$I$49,MATCH($A16&amp;"|"&amp;J$15,Dados!$A$2:$A$49,0))="","",INDEX(Dados!$I$2:$I$49,MATCH($A16&amp;"|"&amp;J$15,Dados!$A$2:$A$49,0))/1000000),"")</f>
        <v>32116.181717599997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529.09725853999998</v>
      </c>
      <c r="D17" s="14">
        <f>IFERROR(IF(INDEX(Dados!$I$2:$I$49,MATCH($A17&amp;"|"&amp;D$15,Dados!$A$2:$A$49,0))="","",INDEX(Dados!$I$2:$I$49,MATCH($A17&amp;"|"&amp;D$15,Dados!$A$2:$A$49,0))/1000000),"")</f>
        <v>539.00514048000002</v>
      </c>
      <c r="E17" s="14">
        <f>IFERROR(IF(INDEX(Dados!$I$2:$I$49,MATCH($A17&amp;"|"&amp;E$15,Dados!$A$2:$A$49,0))="","",INDEX(Dados!$I$2:$I$49,MATCH($A17&amp;"|"&amp;E$15,Dados!$A$2:$A$49,0))/1000000),"")</f>
        <v>556.33756940000001</v>
      </c>
      <c r="F17" s="14">
        <f>IFERROR(IF(INDEX(Dados!$I$2:$I$49,MATCH($A17&amp;"|"&amp;F$15,Dados!$A$2:$A$49,0))="","",INDEX(Dados!$I$2:$I$49,MATCH($A17&amp;"|"&amp;F$15,Dados!$A$2:$A$49,0))/1000000),"")</f>
        <v>566.37144344000001</v>
      </c>
      <c r="G17" s="14">
        <f>IFERROR(IF(INDEX(Dados!$I$2:$I$49,MATCH($A17&amp;"|"&amp;G$15,Dados!$A$2:$A$49,0))="","",INDEX(Dados!$I$2:$I$49,MATCH($A17&amp;"|"&amp;G$15,Dados!$A$2:$A$49,0))/1000000),"")</f>
        <v>589.13400205999994</v>
      </c>
      <c r="H17" s="14">
        <f>IFERROR(IF(INDEX(Dados!$I$2:$I$49,MATCH($A17&amp;"|"&amp;H$15,Dados!$A$2:$A$49,0))="","",INDEX(Dados!$I$2:$I$49,MATCH($A17&amp;"|"&amp;H$15,Dados!$A$2:$A$49,0))/1000000),"")</f>
        <v>587.52958613999999</v>
      </c>
      <c r="I17" s="14">
        <f>IFERROR(IF(INDEX(Dados!$I$2:$I$49,MATCH($A17&amp;"|"&amp;I$15,Dados!$A$2:$A$49,0))="","",INDEX(Dados!$I$2:$I$49,MATCH($A17&amp;"|"&amp;I$15,Dados!$A$2:$A$49,0))/1000000),"")</f>
        <v>599.67179264999993</v>
      </c>
      <c r="J17" s="14">
        <f>IFERROR(IF(INDEX(Dados!$I$2:$I$49,MATCH($A17&amp;"|"&amp;J$15,Dados!$A$2:$A$49,0))="","",INDEX(Dados!$I$2:$I$49,MATCH($A17&amp;"|"&amp;J$15,Dados!$A$2:$A$49,0))/1000000),"")</f>
        <v>621.99284491999992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2499.0084246700003</v>
      </c>
      <c r="D18" s="14">
        <f>IFERROR(IF(INDEX(Dados!$I$2:$I$49,MATCH($A18&amp;"|"&amp;D$15,Dados!$A$2:$A$49,0))="","",INDEX(Dados!$I$2:$I$49,MATCH($A18&amp;"|"&amp;D$15,Dados!$A$2:$A$49,0))/1000000),"")</f>
        <v>2480.8693544000002</v>
      </c>
      <c r="E18" s="14">
        <f>IFERROR(IF(INDEX(Dados!$I$2:$I$49,MATCH($A18&amp;"|"&amp;E$15,Dados!$A$2:$A$49,0))="","",INDEX(Dados!$I$2:$I$49,MATCH($A18&amp;"|"&amp;E$15,Dados!$A$2:$A$49,0))/1000000),"")</f>
        <v>2705.1506321799998</v>
      </c>
      <c r="F18" s="14">
        <f>IFERROR(IF(INDEX(Dados!$I$2:$I$49,MATCH($A18&amp;"|"&amp;F$15,Dados!$A$2:$A$49,0))="","",INDEX(Dados!$I$2:$I$49,MATCH($A18&amp;"|"&amp;F$15,Dados!$A$2:$A$49,0))/1000000),"")</f>
        <v>2726.7858224000001</v>
      </c>
      <c r="G18" s="14">
        <f>IFERROR(IF(INDEX(Dados!$I$2:$I$49,MATCH($A18&amp;"|"&amp;G$15,Dados!$A$2:$A$49,0))="","",INDEX(Dados!$I$2:$I$49,MATCH($A18&amp;"|"&amp;G$15,Dados!$A$2:$A$49,0))/1000000),"")</f>
        <v>2794.0596409099999</v>
      </c>
      <c r="H18" s="14">
        <f>IFERROR(IF(INDEX(Dados!$I$2:$I$49,MATCH($A18&amp;"|"&amp;H$15,Dados!$A$2:$A$49,0))="","",INDEX(Dados!$I$2:$I$49,MATCH($A18&amp;"|"&amp;H$15,Dados!$A$2:$A$49,0))/1000000),"")</f>
        <v>2892.3416768000002</v>
      </c>
      <c r="I18" s="14">
        <f>IFERROR(IF(INDEX(Dados!$I$2:$I$49,MATCH($A18&amp;"|"&amp;I$15,Dados!$A$2:$A$49,0))="","",INDEX(Dados!$I$2:$I$49,MATCH($A18&amp;"|"&amp;I$15,Dados!$A$2:$A$49,0))/1000000),"")</f>
        <v>2974.4873224099997</v>
      </c>
      <c r="J18" s="14">
        <f>IFERROR(IF(INDEX(Dados!$I$2:$I$49,MATCH($A18&amp;"|"&amp;J$15,Dados!$A$2:$A$49,0))="","",INDEX(Dados!$I$2:$I$49,MATCH($A18&amp;"|"&amp;J$15,Dados!$A$2:$A$49,0))/1000000),"")</f>
        <v>3062.91289259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460.55257363999999</v>
      </c>
      <c r="D19" s="14">
        <f>IFERROR(IF(INDEX(Dados!$I$2:$I$49,MATCH($A19&amp;"|"&amp;D$15,Dados!$A$2:$A$49,0))="","",INDEX(Dados!$I$2:$I$49,MATCH($A19&amp;"|"&amp;D$15,Dados!$A$2:$A$49,0))/1000000),"")</f>
        <v>491.95535948000003</v>
      </c>
      <c r="E19" s="14">
        <f>IFERROR(IF(INDEX(Dados!$I$2:$I$49,MATCH($A19&amp;"|"&amp;E$15,Dados!$A$2:$A$49,0))="","",INDEX(Dados!$I$2:$I$49,MATCH($A19&amp;"|"&amp;E$15,Dados!$A$2:$A$49,0))/1000000),"")</f>
        <v>561.51419178999993</v>
      </c>
      <c r="F19" s="14">
        <f>IFERROR(IF(INDEX(Dados!$I$2:$I$49,MATCH($A19&amp;"|"&amp;F$15,Dados!$A$2:$A$49,0))="","",INDEX(Dados!$I$2:$I$49,MATCH($A19&amp;"|"&amp;F$15,Dados!$A$2:$A$49,0))/1000000),"")</f>
        <v>578.89604711000004</v>
      </c>
      <c r="G19" s="14">
        <f>IFERROR(IF(INDEX(Dados!$I$2:$I$49,MATCH($A19&amp;"|"&amp;G$15,Dados!$A$2:$A$49,0))="","",INDEX(Dados!$I$2:$I$49,MATCH($A19&amp;"|"&amp;G$15,Dados!$A$2:$A$49,0))/1000000),"")</f>
        <v>587.50106262999998</v>
      </c>
      <c r="H19" s="14">
        <f>IFERROR(IF(INDEX(Dados!$I$2:$I$49,MATCH($A19&amp;"|"&amp;H$15,Dados!$A$2:$A$49,0))="","",INDEX(Dados!$I$2:$I$49,MATCH($A19&amp;"|"&amp;H$15,Dados!$A$2:$A$49,0))/1000000),"")</f>
        <v>585.37798350000003</v>
      </c>
      <c r="I19" s="14">
        <f>IFERROR(IF(INDEX(Dados!$I$2:$I$49,MATCH($A19&amp;"|"&amp;I$15,Dados!$A$2:$A$49,0))="","",INDEX(Dados!$I$2:$I$49,MATCH($A19&amp;"|"&amp;I$15,Dados!$A$2:$A$49,0))/1000000),"")</f>
        <v>612.70939725999995</v>
      </c>
      <c r="J19" s="14">
        <f>IFERROR(IF(INDEX(Dados!$I$2:$I$49,MATCH($A19&amp;"|"&amp;J$15,Dados!$A$2:$A$49,0))="","",INDEX(Dados!$I$2:$I$49,MATCH($A19&amp;"|"&amp;J$15,Dados!$A$2:$A$49,0))/1000000),"")</f>
        <v>622.64181578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113.26046918999999</v>
      </c>
      <c r="D20" s="14">
        <f>IFERROR(IF(INDEX(Dados!$I$2:$I$49,MATCH($A20&amp;"|"&amp;D$15,Dados!$A$2:$A$49,0))="","",INDEX(Dados!$I$2:$I$49,MATCH($A20&amp;"|"&amp;D$15,Dados!$A$2:$A$49,0))/1000000),"")</f>
        <v>114.60777151000001</v>
      </c>
      <c r="E20" s="14">
        <f>IFERROR(IF(INDEX(Dados!$I$2:$I$49,MATCH($A20&amp;"|"&amp;E$15,Dados!$A$2:$A$49,0))="","",INDEX(Dados!$I$2:$I$49,MATCH($A20&amp;"|"&amp;E$15,Dados!$A$2:$A$49,0))/1000000),"")</f>
        <v>132.42779665999998</v>
      </c>
      <c r="F20" s="14">
        <f>IFERROR(IF(INDEX(Dados!$I$2:$I$49,MATCH($A20&amp;"|"&amp;F$15,Dados!$A$2:$A$49,0))="","",INDEX(Dados!$I$2:$I$49,MATCH($A20&amp;"|"&amp;F$15,Dados!$A$2:$A$49,0))/1000000),"")</f>
        <v>134.65401196000002</v>
      </c>
      <c r="G20" s="14">
        <f>IFERROR(IF(INDEX(Dados!$I$2:$I$49,MATCH($A20&amp;"|"&amp;G$15,Dados!$A$2:$A$49,0))="","",INDEX(Dados!$I$2:$I$49,MATCH($A20&amp;"|"&amp;G$15,Dados!$A$2:$A$49,0))/1000000),"")</f>
        <v>143.39995769000001</v>
      </c>
      <c r="H20" s="14">
        <f>IFERROR(IF(INDEX(Dados!$I$2:$I$49,MATCH($A20&amp;"|"&amp;H$15,Dados!$A$2:$A$49,0))="","",INDEX(Dados!$I$2:$I$49,MATCH($A20&amp;"|"&amp;H$15,Dados!$A$2:$A$49,0))/1000000),"")</f>
        <v>155.16005146999998</v>
      </c>
      <c r="I20" s="14">
        <f>IFERROR(IF(INDEX(Dados!$I$2:$I$49,MATCH($A20&amp;"|"&amp;I$15,Dados!$A$2:$A$49,0))="","",INDEX(Dados!$I$2:$I$49,MATCH($A20&amp;"|"&amp;I$15,Dados!$A$2:$A$49,0))/1000000),"")</f>
        <v>164.17663285</v>
      </c>
      <c r="J20" s="14">
        <f>IFERROR(IF(INDEX(Dados!$I$2:$I$49,MATCH($A20&amp;"|"&amp;J$15,Dados!$A$2:$A$49,0))="","",INDEX(Dados!$I$2:$I$49,MATCH($A20&amp;"|"&amp;J$15,Dados!$A$2:$A$49,0))/1000000),"")</f>
        <v>173.53387941999998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914.64486858999999</v>
      </c>
      <c r="D21" s="14">
        <f>IFERROR(IF(INDEX(Dados!$I$2:$I$49,MATCH($A21&amp;"|"&amp;D$15,Dados!$A$2:$A$49,0))="","",INDEX(Dados!$I$2:$I$49,MATCH($A21&amp;"|"&amp;D$15,Dados!$A$2:$A$49,0))/1000000),"")</f>
        <v>910.85425565999992</v>
      </c>
      <c r="E21" s="14">
        <f>IFERROR(IF(INDEX(Dados!$I$2:$I$49,MATCH($A21&amp;"|"&amp;E$15,Dados!$A$2:$A$49,0))="","",INDEX(Dados!$I$2:$I$49,MATCH($A21&amp;"|"&amp;E$15,Dados!$A$2:$A$49,0))/1000000),"")</f>
        <v>991.79682121000008</v>
      </c>
      <c r="F21" s="14">
        <f>IFERROR(IF(INDEX(Dados!$I$2:$I$49,MATCH($A21&amp;"|"&amp;F$15,Dados!$A$2:$A$49,0))="","",INDEX(Dados!$I$2:$I$49,MATCH($A21&amp;"|"&amp;F$15,Dados!$A$2:$A$49,0))/1000000),"")</f>
        <v>1017.0323146799999</v>
      </c>
      <c r="G21" s="14">
        <f>IFERROR(IF(INDEX(Dados!$I$2:$I$49,MATCH($A21&amp;"|"&amp;G$15,Dados!$A$2:$A$49,0))="","",INDEX(Dados!$I$2:$I$49,MATCH($A21&amp;"|"&amp;G$15,Dados!$A$2:$A$49,0))/1000000),"")</f>
        <v>1035.1782047700001</v>
      </c>
      <c r="H21" s="14">
        <f>IFERROR(IF(INDEX(Dados!$I$2:$I$49,MATCH($A21&amp;"|"&amp;H$15,Dados!$A$2:$A$49,0))="","",INDEX(Dados!$I$2:$I$49,MATCH($A21&amp;"|"&amp;H$15,Dados!$A$2:$A$49,0))/1000000),"")</f>
        <v>1071.40254293</v>
      </c>
      <c r="I21" s="14">
        <f>IFERROR(IF(INDEX(Dados!$I$2:$I$49,MATCH($A21&amp;"|"&amp;I$15,Dados!$A$2:$A$49,0))="","",INDEX(Dados!$I$2:$I$49,MATCH($A21&amp;"|"&amp;I$15,Dados!$A$2:$A$49,0))/1000000),"")</f>
        <v>1086.90846012</v>
      </c>
      <c r="J21" s="14">
        <f>IFERROR(IF(INDEX(Dados!$I$2:$I$49,MATCH($A21&amp;"|"&amp;J$15,Dados!$A$2:$A$49,0))="","",INDEX(Dados!$I$2:$I$49,MATCH($A21&amp;"|"&amp;J$15,Dados!$A$2:$A$49,0))/1000000),"")</f>
        <v>1103.8978012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26332058971.099998</v>
      </c>
      <c r="J2" s="15">
        <v>62703025040.360001</v>
      </c>
      <c r="K2" s="10">
        <f t="shared" ref="K2:K49" si="1">IF(OR(I2="",J2="",J2=0),"",I2/J2)</f>
        <v>0.41994878164412108</v>
      </c>
      <c r="L2" s="16">
        <v>0.4199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30724482269.779999</v>
      </c>
      <c r="R2" s="15">
        <v>29188258156.290001</v>
      </c>
      <c r="S2" s="15">
        <v>27652034042.799999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26644120200.029999</v>
      </c>
      <c r="J3" s="15">
        <v>64913246621.730003</v>
      </c>
      <c r="K3" s="10">
        <f t="shared" si="1"/>
        <v>0.41045736558662216</v>
      </c>
      <c r="L3" s="16">
        <v>0.41049999999999998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31807490844.650002</v>
      </c>
      <c r="R3" s="15">
        <v>30217116302.419998</v>
      </c>
      <c r="S3" s="15">
        <v>28626741760.189999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28222023933.459999</v>
      </c>
      <c r="J4" s="15">
        <v>66084616647.010002</v>
      </c>
      <c r="K4" s="10">
        <f t="shared" si="1"/>
        <v>0.42705890365086813</v>
      </c>
      <c r="L4" s="16">
        <v>0.42709999999999998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32381462157.029999</v>
      </c>
      <c r="R4" s="15">
        <v>30762389049.18</v>
      </c>
      <c r="S4" s="15">
        <v>29143315941.330002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28767357361.509998</v>
      </c>
      <c r="J5" s="15">
        <v>68346595194.959999</v>
      </c>
      <c r="K5" s="10">
        <f t="shared" si="1"/>
        <v>0.42090403010494598</v>
      </c>
      <c r="L5" s="16">
        <v>0.42090000000000011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33489831645.529999</v>
      </c>
      <c r="R5" s="15">
        <v>31815340063.25</v>
      </c>
      <c r="S5" s="15">
        <v>30140848480.98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29464958441.150002</v>
      </c>
      <c r="J6" s="15">
        <v>69774091880.690002</v>
      </c>
      <c r="K6" s="10">
        <f t="shared" si="1"/>
        <v>0.42229081951411879</v>
      </c>
      <c r="L6" s="16">
        <v>0.42230000000000001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34189305021.540001</v>
      </c>
      <c r="R6" s="15">
        <v>32479839770.459999</v>
      </c>
      <c r="S6" s="15">
        <v>30770374519.389999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30171103608.450001</v>
      </c>
      <c r="J7" s="15">
        <v>71052802963.070007</v>
      </c>
      <c r="K7" s="10">
        <f t="shared" si="1"/>
        <v>0.42462932284503341</v>
      </c>
      <c r="L7" s="16">
        <v>0.42459999999999998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34815873451.900002</v>
      </c>
      <c r="R7" s="15">
        <v>33075079779.310001</v>
      </c>
      <c r="S7" s="15">
        <v>31334286106.709999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31004640787.23</v>
      </c>
      <c r="J8" s="15">
        <v>71010487165.570007</v>
      </c>
      <c r="K8" s="10">
        <f t="shared" si="1"/>
        <v>0.43662058978610757</v>
      </c>
      <c r="L8" s="16">
        <v>0.43659999999999999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34795138711.129997</v>
      </c>
      <c r="R8" s="15">
        <v>33055381775.57</v>
      </c>
      <c r="S8" s="15">
        <v>31315624840.02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32116181717.599998</v>
      </c>
      <c r="J9" s="15">
        <v>71562057716.639999</v>
      </c>
      <c r="K9" s="10">
        <f t="shared" si="1"/>
        <v>0.44878784571523256</v>
      </c>
      <c r="L9" s="16">
        <v>0.44879999999999998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35065408281.150002</v>
      </c>
      <c r="R9" s="15">
        <v>33312137867.09</v>
      </c>
      <c r="S9" s="15">
        <v>31558867453.040001</v>
      </c>
      <c r="T9" s="9" t="str">
        <f t="shared" si="3"/>
        <v>Acima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529097258.54000002</v>
      </c>
      <c r="J10" s="15">
        <v>62703025040.360001</v>
      </c>
      <c r="K10" s="10">
        <f t="shared" si="1"/>
        <v>8.4381456588328314E-3</v>
      </c>
      <c r="L10" s="16">
        <v>8.3999999999999995E-3</v>
      </c>
      <c r="M10" s="9" t="str">
        <f t="shared" si="2"/>
        <v>Sim</v>
      </c>
      <c r="N10" s="16">
        <v>1.6400000000000001E-2</v>
      </c>
      <c r="O10" s="16">
        <v>1.5599999999999999E-2</v>
      </c>
      <c r="P10" s="16">
        <v>1.4800000000000001E-2</v>
      </c>
      <c r="Q10" s="15">
        <v>1028329610.66</v>
      </c>
      <c r="R10" s="15">
        <v>976913130.13</v>
      </c>
      <c r="S10" s="15">
        <v>925496649.59000003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539005140.48000002</v>
      </c>
      <c r="J11" s="15">
        <v>64913246621.730003</v>
      </c>
      <c r="K11" s="10">
        <f t="shared" si="1"/>
        <v>8.3034691458425004E-3</v>
      </c>
      <c r="L11" s="16">
        <v>8.3000000000000001E-3</v>
      </c>
      <c r="M11" s="9" t="str">
        <f t="shared" si="2"/>
        <v>Sim</v>
      </c>
      <c r="N11" s="16">
        <v>1.6400000000000001E-2</v>
      </c>
      <c r="O11" s="16">
        <v>1.5599999999999999E-2</v>
      </c>
      <c r="P11" s="16">
        <v>1.4800000000000001E-2</v>
      </c>
      <c r="Q11" s="15">
        <v>1064577244.6</v>
      </c>
      <c r="R11" s="15">
        <v>1011348382.37</v>
      </c>
      <c r="S11" s="15">
        <v>958119520.13999999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556337569.39999998</v>
      </c>
      <c r="J12" s="15">
        <v>66084616647.010002</v>
      </c>
      <c r="K12" s="10">
        <f t="shared" si="1"/>
        <v>8.4185639204305118E-3</v>
      </c>
      <c r="L12" s="16">
        <v>8.3999999999999995E-3</v>
      </c>
      <c r="M12" s="9" t="str">
        <f t="shared" si="2"/>
        <v>Sim</v>
      </c>
      <c r="N12" s="16">
        <v>1.6400000000000001E-2</v>
      </c>
      <c r="O12" s="16">
        <v>1.5599999999999999E-2</v>
      </c>
      <c r="P12" s="16">
        <v>1.4800000000000001E-2</v>
      </c>
      <c r="Q12" s="15">
        <v>1083787713.01</v>
      </c>
      <c r="R12" s="15">
        <v>1029598327.36</v>
      </c>
      <c r="S12" s="15">
        <v>975408941.71000004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566371443.44000006</v>
      </c>
      <c r="J13" s="15">
        <v>68346595194.959999</v>
      </c>
      <c r="K13" s="10">
        <f t="shared" si="1"/>
        <v>8.2867543265968766E-3</v>
      </c>
      <c r="L13" s="16">
        <v>8.3000000000000001E-3</v>
      </c>
      <c r="M13" s="9" t="str">
        <f t="shared" si="2"/>
        <v>Sim</v>
      </c>
      <c r="N13" s="16">
        <v>1.6400000000000001E-2</v>
      </c>
      <c r="O13" s="16">
        <v>1.5599999999999999E-2</v>
      </c>
      <c r="P13" s="16">
        <v>1.4800000000000001E-2</v>
      </c>
      <c r="Q13" s="15">
        <v>1120884161.2</v>
      </c>
      <c r="R13" s="15">
        <v>1064839953.14</v>
      </c>
      <c r="S13" s="15">
        <v>1008795745.08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589134002.05999994</v>
      </c>
      <c r="J14" s="15">
        <v>68774091880.690002</v>
      </c>
      <c r="K14" s="10">
        <f t="shared" si="1"/>
        <v>8.5662200103206829E-3</v>
      </c>
      <c r="L14" s="16">
        <v>8.6E-3</v>
      </c>
      <c r="M14" s="9" t="str">
        <f t="shared" si="2"/>
        <v>Sim</v>
      </c>
      <c r="N14" s="16">
        <v>1.6400000000000001E-2</v>
      </c>
      <c r="O14" s="16">
        <v>1.5599999999999999E-2</v>
      </c>
      <c r="P14" s="16">
        <v>1.4800000000000001E-2</v>
      </c>
      <c r="Q14" s="15">
        <v>1127895106.8399999</v>
      </c>
      <c r="R14" s="15">
        <v>1071500351.5</v>
      </c>
      <c r="S14" s="15">
        <v>1015105596.16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587529586.13999999</v>
      </c>
      <c r="J15" s="15">
        <v>71052802963.070007</v>
      </c>
      <c r="K15" s="10">
        <f t="shared" si="1"/>
        <v>8.2689149708192501E-3</v>
      </c>
      <c r="L15" s="16">
        <v>8.3000000000000001E-3</v>
      </c>
      <c r="M15" s="9" t="str">
        <f t="shared" si="2"/>
        <v>Sim</v>
      </c>
      <c r="N15" s="16">
        <v>1.6400000000000001E-2</v>
      </c>
      <c r="O15" s="16">
        <v>1.5599999999999999E-2</v>
      </c>
      <c r="P15" s="16">
        <v>1.4800000000000001E-2</v>
      </c>
      <c r="Q15" s="15">
        <v>1165265968.5899999</v>
      </c>
      <c r="R15" s="15">
        <v>1107002670.1600001</v>
      </c>
      <c r="S15" s="15">
        <v>1048739371.73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599671792.64999998</v>
      </c>
      <c r="J16" s="15">
        <v>71010487165.570007</v>
      </c>
      <c r="K16" s="10">
        <f t="shared" si="1"/>
        <v>8.4448342292285459E-3</v>
      </c>
      <c r="L16" s="16">
        <v>8.3999999999999995E-3</v>
      </c>
      <c r="M16" s="9" t="str">
        <f t="shared" si="2"/>
        <v>Sim</v>
      </c>
      <c r="N16" s="16">
        <v>1.6400000000000001E-2</v>
      </c>
      <c r="O16" s="16">
        <v>1.5599999999999999E-2</v>
      </c>
      <c r="P16" s="16">
        <v>1.4800000000000001E-2</v>
      </c>
      <c r="Q16" s="15">
        <v>1164571989.52</v>
      </c>
      <c r="R16" s="15">
        <v>1106343390.04</v>
      </c>
      <c r="S16" s="15">
        <v>1048114790.5700001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621992844.91999996</v>
      </c>
      <c r="J17" s="15">
        <v>71562057716.639999</v>
      </c>
      <c r="K17" s="10">
        <f t="shared" si="1"/>
        <v>8.691656790849529E-3</v>
      </c>
      <c r="L17" s="16">
        <v>8.6999999999999994E-3</v>
      </c>
      <c r="M17" s="9" t="str">
        <f t="shared" si="2"/>
        <v>Sim</v>
      </c>
      <c r="N17" s="16">
        <v>1.6400000000000001E-2</v>
      </c>
      <c r="O17" s="16">
        <v>1.5599999999999999E-2</v>
      </c>
      <c r="P17" s="16">
        <v>1.4800000000000001E-2</v>
      </c>
      <c r="Q17" s="15">
        <v>1173617746.55</v>
      </c>
      <c r="R17" s="15">
        <v>1114936859.22</v>
      </c>
      <c r="S17" s="15">
        <v>1056255971.9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2499008424.6700001</v>
      </c>
      <c r="J18" s="15">
        <v>62703025040.360001</v>
      </c>
      <c r="K18" s="10">
        <f t="shared" si="1"/>
        <v>3.9854670856174251E-2</v>
      </c>
      <c r="L18" s="16">
        <v>3.9899999999999998E-2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3762181502.4200001</v>
      </c>
      <c r="R18" s="15">
        <v>3574072427.3000002</v>
      </c>
      <c r="S18" s="15">
        <v>3385963352.1799998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2480869354.4000001</v>
      </c>
      <c r="J19" s="15">
        <v>64913246621.730003</v>
      </c>
      <c r="K19" s="10">
        <f t="shared" si="1"/>
        <v>3.8218229460264243E-2</v>
      </c>
      <c r="L19" s="16">
        <v>3.8199999999999998E-2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3894794797.3000002</v>
      </c>
      <c r="R19" s="15">
        <v>3700055057.4400001</v>
      </c>
      <c r="S19" s="15">
        <v>3505315317.5700002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2705150632.1799998</v>
      </c>
      <c r="J20" s="15">
        <v>66084616647.010002</v>
      </c>
      <c r="K20" s="10">
        <f t="shared" si="1"/>
        <v>4.0934649687528968E-2</v>
      </c>
      <c r="L20" s="16">
        <v>4.0899999999999999E-2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3965076998.8200002</v>
      </c>
      <c r="R20" s="15">
        <v>3766823148.8800001</v>
      </c>
      <c r="S20" s="15">
        <v>3568569298.9400001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2726785822.4000001</v>
      </c>
      <c r="J21" s="15">
        <v>68346595194.959999</v>
      </c>
      <c r="K21" s="10">
        <f t="shared" si="1"/>
        <v>3.9896439824424174E-2</v>
      </c>
      <c r="L21" s="16">
        <v>3.9899999999999998E-2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4100795711.6999998</v>
      </c>
      <c r="R21" s="15">
        <v>3895755926.1199999</v>
      </c>
      <c r="S21" s="15">
        <v>3690716140.5300002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2794059640.9099998</v>
      </c>
      <c r="J22" s="15">
        <v>69774091880.690002</v>
      </c>
      <c r="K22" s="10">
        <f t="shared" si="1"/>
        <v>4.0044371278779148E-2</v>
      </c>
      <c r="L22" s="16">
        <v>0.04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4186445512.8400002</v>
      </c>
      <c r="R22" s="15">
        <v>3977123237.1999998</v>
      </c>
      <c r="S22" s="15">
        <v>3767800961.5599999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2892341676.8000002</v>
      </c>
      <c r="J23" s="15">
        <v>71052802963.070007</v>
      </c>
      <c r="K23" s="10">
        <f t="shared" si="1"/>
        <v>4.0706932818727885E-2</v>
      </c>
      <c r="L23" s="16">
        <v>4.07E-2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4263168177.7800002</v>
      </c>
      <c r="R23" s="15">
        <v>4050009768.8899999</v>
      </c>
      <c r="S23" s="15">
        <v>3836851360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2974487322.4099998</v>
      </c>
      <c r="J24" s="15">
        <v>71010487165.570007</v>
      </c>
      <c r="K24" s="10">
        <f t="shared" si="1"/>
        <v>4.188800050722935E-2</v>
      </c>
      <c r="L24" s="16">
        <v>4.1900000000000007E-2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4260629229.9299998</v>
      </c>
      <c r="R24" s="15">
        <v>4047597768.4299998</v>
      </c>
      <c r="S24" s="15">
        <v>3834566306.9400001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3062912892.5900002</v>
      </c>
      <c r="J25" s="15">
        <v>71562057716.639999</v>
      </c>
      <c r="K25" s="10">
        <f t="shared" si="1"/>
        <v>4.2800794028562357E-2</v>
      </c>
      <c r="L25" s="16">
        <v>4.2799999999999998E-2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4293723463</v>
      </c>
      <c r="R25" s="15">
        <v>4079037289.8499999</v>
      </c>
      <c r="S25" s="15">
        <v>3864351116.6999998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460552573.63999999</v>
      </c>
      <c r="J26" s="15">
        <v>62703025040.360001</v>
      </c>
      <c r="K26" s="10">
        <f t="shared" si="1"/>
        <v>7.3449817348294841E-3</v>
      </c>
      <c r="L26" s="16">
        <v>7.3000000000000001E-3</v>
      </c>
      <c r="M26" s="9" t="str">
        <f t="shared" si="2"/>
        <v>Sim</v>
      </c>
      <c r="N26" s="16">
        <v>1.3599999999999999E-2</v>
      </c>
      <c r="O26" s="16">
        <v>1.29E-2</v>
      </c>
      <c r="P26" s="16">
        <v>1.2200000000000001E-2</v>
      </c>
      <c r="Q26" s="15">
        <v>852761140.54999995</v>
      </c>
      <c r="R26" s="15">
        <v>810123083.51999998</v>
      </c>
      <c r="S26" s="15">
        <v>767485026.5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491955359.48000002</v>
      </c>
      <c r="J27" s="15">
        <v>64913246621.730003</v>
      </c>
      <c r="K27" s="10">
        <f t="shared" si="1"/>
        <v>7.5786589807590324E-3</v>
      </c>
      <c r="L27" s="16">
        <v>7.6E-3</v>
      </c>
      <c r="M27" s="9" t="str">
        <f t="shared" si="2"/>
        <v>Sim</v>
      </c>
      <c r="N27" s="16">
        <v>1.3599999999999999E-2</v>
      </c>
      <c r="O27" s="16">
        <v>1.29E-2</v>
      </c>
      <c r="P27" s="16">
        <v>1.2200000000000001E-2</v>
      </c>
      <c r="Q27" s="15">
        <v>882820154.04999995</v>
      </c>
      <c r="R27" s="15">
        <v>838679146.35000002</v>
      </c>
      <c r="S27" s="15">
        <v>794538138.64999998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561514191.78999996</v>
      </c>
      <c r="J28" s="15">
        <v>66084616647.010002</v>
      </c>
      <c r="K28" s="10">
        <f t="shared" si="1"/>
        <v>8.4968971642722796E-3</v>
      </c>
      <c r="L28" s="16">
        <v>8.5000000000000006E-3</v>
      </c>
      <c r="M28" s="9" t="str">
        <f t="shared" si="2"/>
        <v>Sim</v>
      </c>
      <c r="N28" s="16">
        <v>1.3599999999999999E-2</v>
      </c>
      <c r="O28" s="16">
        <v>1.29E-2</v>
      </c>
      <c r="P28" s="16">
        <v>1.2200000000000001E-2</v>
      </c>
      <c r="Q28" s="15">
        <v>898750786.39999998</v>
      </c>
      <c r="R28" s="15">
        <v>853813247.08000004</v>
      </c>
      <c r="S28" s="15">
        <v>808875707.75999999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578896047.11000001</v>
      </c>
      <c r="J29" s="15">
        <v>68346595194.959999</v>
      </c>
      <c r="K29" s="10">
        <f t="shared" si="1"/>
        <v>8.4700056448852746E-3</v>
      </c>
      <c r="L29" s="16">
        <v>8.5000000000000006E-3</v>
      </c>
      <c r="M29" s="9" t="str">
        <f t="shared" si="2"/>
        <v>Sim</v>
      </c>
      <c r="N29" s="16">
        <v>1.3599999999999999E-2</v>
      </c>
      <c r="O29" s="16">
        <v>1.29E-2</v>
      </c>
      <c r="P29" s="16">
        <v>1.2200000000000001E-2</v>
      </c>
      <c r="Q29" s="15">
        <v>929513694.64999998</v>
      </c>
      <c r="R29" s="15">
        <v>883038009.91999996</v>
      </c>
      <c r="S29" s="15">
        <v>836562325.19000006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587501062.63</v>
      </c>
      <c r="J30" s="15">
        <v>69774091880.690002</v>
      </c>
      <c r="K30" s="10">
        <f t="shared" si="1"/>
        <v>8.4200459912053844E-3</v>
      </c>
      <c r="L30" s="16">
        <v>8.3999999999999995E-3</v>
      </c>
      <c r="M30" s="9" t="str">
        <f t="shared" si="2"/>
        <v>Sim</v>
      </c>
      <c r="N30" s="16">
        <v>1.3599999999999999E-2</v>
      </c>
      <c r="O30" s="16">
        <v>1.29E-2</v>
      </c>
      <c r="P30" s="16">
        <v>1.2200000000000001E-2</v>
      </c>
      <c r="Q30" s="15">
        <v>948927649.58000004</v>
      </c>
      <c r="R30" s="15">
        <v>901481267.10000002</v>
      </c>
      <c r="S30" s="15">
        <v>854034884.62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585377983.5</v>
      </c>
      <c r="J31" s="15">
        <v>71052802963.070007</v>
      </c>
      <c r="K31" s="10">
        <f t="shared" si="1"/>
        <v>8.2386332289276845E-3</v>
      </c>
      <c r="L31" s="16">
        <v>8.199999999999999E-3</v>
      </c>
      <c r="M31" s="9" t="str">
        <f t="shared" si="2"/>
        <v>Sim</v>
      </c>
      <c r="N31" s="16">
        <v>1.3599999999999999E-2</v>
      </c>
      <c r="O31" s="16">
        <v>1.29E-2</v>
      </c>
      <c r="P31" s="16">
        <v>1.2200000000000001E-2</v>
      </c>
      <c r="Q31" s="15">
        <v>966318120.28999996</v>
      </c>
      <c r="R31" s="15">
        <v>918002214.27999997</v>
      </c>
      <c r="S31" s="15">
        <v>869686308.25999999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612709397.25999999</v>
      </c>
      <c r="J32" s="15">
        <v>71010487165.570007</v>
      </c>
      <c r="K32" s="10">
        <f t="shared" si="1"/>
        <v>8.6284353440836126E-3</v>
      </c>
      <c r="L32" s="16">
        <v>8.6E-3</v>
      </c>
      <c r="M32" s="9" t="str">
        <f t="shared" si="2"/>
        <v>Sim</v>
      </c>
      <c r="N32" s="16">
        <v>1.3599999999999999E-2</v>
      </c>
      <c r="O32" s="16">
        <v>1.29E-2</v>
      </c>
      <c r="P32" s="16">
        <v>1.2200000000000001E-2</v>
      </c>
      <c r="Q32" s="15">
        <v>965742625.45000005</v>
      </c>
      <c r="R32" s="15">
        <v>917455494.17999995</v>
      </c>
      <c r="S32" s="15">
        <v>869168362.90999997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622641815.77999997</v>
      </c>
      <c r="J33" s="15">
        <v>71562057716.639999</v>
      </c>
      <c r="K33" s="10">
        <f t="shared" si="1"/>
        <v>8.7007254353338691E-3</v>
      </c>
      <c r="L33" s="16">
        <v>8.6999999999999994E-3</v>
      </c>
      <c r="M33" s="9" t="str">
        <f t="shared" si="2"/>
        <v>Sim</v>
      </c>
      <c r="N33" s="16">
        <v>1.3599999999999999E-2</v>
      </c>
      <c r="O33" s="16">
        <v>1.29E-2</v>
      </c>
      <c r="P33" s="16">
        <v>1.2200000000000001E-2</v>
      </c>
      <c r="Q33" s="15">
        <v>973243984.94000006</v>
      </c>
      <c r="R33" s="15">
        <v>924581785.69000006</v>
      </c>
      <c r="S33" s="15">
        <v>875919586.45000005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113260469.19</v>
      </c>
      <c r="J34" s="15">
        <v>62703025040.360001</v>
      </c>
      <c r="K34" s="10">
        <f t="shared" si="1"/>
        <v>1.8062999212095068E-3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114607771.51000001</v>
      </c>
      <c r="J35" s="15">
        <v>64913246621.730003</v>
      </c>
      <c r="K35" s="10">
        <f t="shared" si="1"/>
        <v>1.765552910607841E-3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132427796.66</v>
      </c>
      <c r="J36" s="15">
        <v>66084616647.010002</v>
      </c>
      <c r="K36" s="10">
        <f t="shared" si="1"/>
        <v>2.0039126105151081E-3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134654011.96000001</v>
      </c>
      <c r="J37" s="15">
        <v>68346595194.959999</v>
      </c>
      <c r="K37" s="10">
        <f t="shared" si="1"/>
        <v>1.9701641548623863E-3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143399957.69</v>
      </c>
      <c r="J38" s="15">
        <v>69774091880.690002</v>
      </c>
      <c r="K38" s="10">
        <f t="shared" si="1"/>
        <v>2.0552034978141504E-3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155160051.47</v>
      </c>
      <c r="J39" s="15">
        <v>71052802963.070007</v>
      </c>
      <c r="K39" s="10">
        <f t="shared" si="1"/>
        <v>2.1837287904130269E-3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164176632.84999999</v>
      </c>
      <c r="J40" s="15">
        <v>71010487165.570007</v>
      </c>
      <c r="K40" s="10">
        <f t="shared" si="1"/>
        <v>2.3120054431847686E-3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173533879.41999999</v>
      </c>
      <c r="J41" s="15">
        <v>71562057716.639999</v>
      </c>
      <c r="K41" s="10">
        <f t="shared" si="1"/>
        <v>2.4249425597448822E-3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914644868.59000003</v>
      </c>
      <c r="J42" s="15">
        <v>62703025040.360001</v>
      </c>
      <c r="K42" s="10">
        <f t="shared" si="1"/>
        <v>1.4586933692613257E-2</v>
      </c>
      <c r="L42" s="16">
        <v>1.46E-2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1254060500.8099999</v>
      </c>
      <c r="R42" s="15">
        <v>1191357475.77</v>
      </c>
      <c r="S42" s="15">
        <v>1128654450.73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910854255.65999997</v>
      </c>
      <c r="J43" s="15">
        <v>64913246621.730003</v>
      </c>
      <c r="K43" s="10">
        <f t="shared" si="1"/>
        <v>1.4031870273995621E-2</v>
      </c>
      <c r="L43" s="16">
        <v>1.4E-2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1298264932.4300001</v>
      </c>
      <c r="R43" s="15">
        <v>1233351685.8099999</v>
      </c>
      <c r="S43" s="15">
        <v>1168438439.1900001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991796821.21000004</v>
      </c>
      <c r="J44" s="15">
        <v>66084616647.010002</v>
      </c>
      <c r="K44" s="10">
        <f t="shared" si="1"/>
        <v>1.500798327253176E-2</v>
      </c>
      <c r="L44" s="16">
        <v>1.4999999999999999E-2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1321692332.9400001</v>
      </c>
      <c r="R44" s="15">
        <v>1255607716.29</v>
      </c>
      <c r="S44" s="15">
        <v>1189523099.6500001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1017032314.6799999</v>
      </c>
      <c r="J45" s="15">
        <v>68346595194.959999</v>
      </c>
      <c r="K45" s="10">
        <f t="shared" si="1"/>
        <v>1.4880511776466631E-2</v>
      </c>
      <c r="L45" s="16">
        <v>1.49E-2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1366931903.9000001</v>
      </c>
      <c r="R45" s="15">
        <v>1298585308.71</v>
      </c>
      <c r="S45" s="15">
        <v>1230238713.51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1035178204.77</v>
      </c>
      <c r="J46" s="15">
        <v>69774091880.690002</v>
      </c>
      <c r="K46" s="10">
        <f t="shared" si="1"/>
        <v>1.4836140132645507E-2</v>
      </c>
      <c r="L46" s="16">
        <v>1.4800000000000001E-2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1395481837.6099999</v>
      </c>
      <c r="R46" s="15">
        <v>1325707745.73</v>
      </c>
      <c r="S46" s="15">
        <v>1255933653.8499999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1071402542.9299999</v>
      </c>
      <c r="J47" s="15">
        <v>71052802963.070007</v>
      </c>
      <c r="K47" s="10">
        <f t="shared" si="1"/>
        <v>1.5078962380792576E-2</v>
      </c>
      <c r="L47" s="16">
        <v>1.5100000000000001E-2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1421056059.26</v>
      </c>
      <c r="R47" s="15">
        <v>1350003256.3</v>
      </c>
      <c r="S47" s="15">
        <v>1278950453.3299999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1086908460.1199999</v>
      </c>
      <c r="J48" s="15">
        <v>71010487165.570007</v>
      </c>
      <c r="K48" s="10">
        <f t="shared" si="1"/>
        <v>1.5306309018634588E-2</v>
      </c>
      <c r="L48" s="16">
        <v>1.5299999999999999E-2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1420209743.3099999</v>
      </c>
      <c r="R48" s="15">
        <v>1349199256.1400001</v>
      </c>
      <c r="S48" s="15">
        <v>1278188768.98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1103897801.2</v>
      </c>
      <c r="J49" s="15">
        <v>71562057716.639999</v>
      </c>
      <c r="K49" s="10">
        <f t="shared" si="1"/>
        <v>1.5425741467231673E-2</v>
      </c>
      <c r="L49" s="16">
        <v>1.54E-2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1431241154.3299999</v>
      </c>
      <c r="R49" s="15">
        <v>1359679096.6099999</v>
      </c>
      <c r="S49" s="15">
        <v>1288117038.9000001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2026-10-15T09:56:23Z</dcterms:created>
  <dcterms:modified xsi:type="dcterms:W3CDTF">2026-10-15T09:57:09Z</dcterms:modified>
</cp:coreProperties>
</file>