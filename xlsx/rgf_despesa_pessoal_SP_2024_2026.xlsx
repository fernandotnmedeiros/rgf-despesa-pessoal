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6A9D980FCD0496341AE22C33ADC8551FA7096B30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7" i="2" l="1"/>
  <c r="A57" i="2"/>
  <c r="K56" i="2"/>
  <c r="A56" i="2"/>
  <c r="K55" i="2"/>
  <c r="A55" i="2"/>
  <c r="K54" i="2"/>
  <c r="A54" i="2"/>
  <c r="K53" i="2"/>
  <c r="A53" i="2"/>
  <c r="K52" i="2"/>
  <c r="A52" i="2"/>
  <c r="K51" i="2"/>
  <c r="A51" i="2"/>
  <c r="K50" i="2"/>
  <c r="A50" i="2"/>
  <c r="M49" i="2"/>
  <c r="K49" i="2"/>
  <c r="T49" i="2" s="1"/>
  <c r="A49" i="2"/>
  <c r="M48" i="2"/>
  <c r="K48" i="2"/>
  <c r="T48" i="2" s="1"/>
  <c r="A48" i="2"/>
  <c r="M47" i="2"/>
  <c r="K47" i="2"/>
  <c r="T47" i="2" s="1"/>
  <c r="A47" i="2"/>
  <c r="M46" i="2"/>
  <c r="K46" i="2"/>
  <c r="T46" i="2" s="1"/>
  <c r="A46" i="2"/>
  <c r="M45" i="2"/>
  <c r="K45" i="2"/>
  <c r="T45" i="2" s="1"/>
  <c r="A45" i="2"/>
  <c r="M44" i="2"/>
  <c r="K44" i="2"/>
  <c r="T44" i="2" s="1"/>
  <c r="A44" i="2"/>
  <c r="M43" i="2"/>
  <c r="K43" i="2"/>
  <c r="T43" i="2" s="1"/>
  <c r="A43" i="2"/>
  <c r="M42" i="2"/>
  <c r="K42" i="2"/>
  <c r="T42" i="2" s="1"/>
  <c r="A42" i="2"/>
  <c r="K41" i="2"/>
  <c r="A41" i="2"/>
  <c r="K40" i="2"/>
  <c r="A40" i="2"/>
  <c r="K39" i="2"/>
  <c r="A39" i="2"/>
  <c r="K38" i="2"/>
  <c r="A38" i="2"/>
  <c r="K37" i="2"/>
  <c r="A37" i="2"/>
  <c r="K36" i="2"/>
  <c r="A36" i="2"/>
  <c r="K35" i="2"/>
  <c r="A35" i="2"/>
  <c r="K34" i="2"/>
  <c r="A34" i="2"/>
  <c r="K33" i="2"/>
  <c r="A33" i="2"/>
  <c r="K32" i="2"/>
  <c r="A32" i="2"/>
  <c r="K31" i="2"/>
  <c r="A31" i="2"/>
  <c r="K30" i="2"/>
  <c r="A30" i="2"/>
  <c r="K29" i="2"/>
  <c r="A29" i="2"/>
  <c r="K28" i="2"/>
  <c r="A28" i="2"/>
  <c r="K27" i="2"/>
  <c r="A27" i="2"/>
  <c r="K26" i="2"/>
  <c r="A26" i="2"/>
  <c r="K25" i="2"/>
  <c r="A25" i="2"/>
  <c r="K24" i="2"/>
  <c r="A24" i="2"/>
  <c r="K23" i="2"/>
  <c r="A23" i="2"/>
  <c r="K22" i="2"/>
  <c r="A22" i="2"/>
  <c r="K21" i="2"/>
  <c r="A21" i="2"/>
  <c r="K20" i="2"/>
  <c r="A20" i="2"/>
  <c r="K19" i="2"/>
  <c r="A19" i="2"/>
  <c r="K18" i="2"/>
  <c r="A18" i="2"/>
  <c r="K17" i="2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K8" i="2"/>
  <c r="A8" i="2"/>
  <c r="K7" i="2"/>
  <c r="A7" i="2"/>
  <c r="K6" i="2"/>
  <c r="A6" i="2"/>
  <c r="K5" i="2"/>
  <c r="A5" i="2"/>
  <c r="K4" i="2"/>
  <c r="A4" i="2"/>
  <c r="K3" i="2"/>
  <c r="A3" i="2"/>
  <c r="K2" i="2"/>
  <c r="A2" i="2"/>
  <c r="D20" i="1"/>
  <c r="H19" i="1"/>
  <c r="G19" i="1"/>
  <c r="F19" i="1"/>
  <c r="E19" i="1"/>
  <c r="D19" i="1"/>
  <c r="C19" i="1"/>
  <c r="J18" i="1"/>
  <c r="I18" i="1"/>
  <c r="H18" i="1"/>
  <c r="G18" i="1"/>
  <c r="F18" i="1"/>
  <c r="E18" i="1"/>
  <c r="D18" i="1"/>
  <c r="C18" i="1"/>
  <c r="J17" i="1"/>
  <c r="I17" i="1"/>
  <c r="H17" i="1"/>
  <c r="G17" i="1"/>
  <c r="F17" i="1"/>
  <c r="E17" i="1"/>
  <c r="D17" i="1"/>
  <c r="C17" i="1"/>
  <c r="J13" i="1"/>
  <c r="I13" i="1"/>
  <c r="H13" i="1"/>
  <c r="G13" i="1"/>
  <c r="F13" i="1"/>
  <c r="E13" i="1"/>
  <c r="D13" i="1"/>
  <c r="C13" i="1"/>
  <c r="K12" i="1"/>
  <c r="J12" i="1"/>
  <c r="I12" i="1"/>
  <c r="H12" i="1"/>
  <c r="G12" i="1"/>
  <c r="F12" i="1"/>
  <c r="E12" i="1"/>
  <c r="D12" i="1"/>
  <c r="C12" i="1"/>
  <c r="K11" i="1"/>
  <c r="J11" i="1"/>
  <c r="I11" i="1"/>
  <c r="H11" i="1"/>
  <c r="G11" i="1"/>
  <c r="F11" i="1"/>
  <c r="E11" i="1"/>
  <c r="D11" i="1"/>
  <c r="C11" i="1"/>
  <c r="K10" i="1"/>
  <c r="J10" i="1"/>
  <c r="I10" i="1"/>
  <c r="H10" i="1"/>
  <c r="G10" i="1"/>
  <c r="F10" i="1"/>
  <c r="E10" i="1"/>
  <c r="D10" i="1"/>
  <c r="C10" i="1"/>
  <c r="K9" i="1"/>
  <c r="J9" i="1"/>
  <c r="I9" i="1"/>
  <c r="H9" i="1"/>
  <c r="G9" i="1"/>
  <c r="F9" i="1"/>
  <c r="E9" i="1"/>
  <c r="D9" i="1"/>
  <c r="C9" i="1"/>
  <c r="K8" i="1"/>
  <c r="J8" i="1"/>
  <c r="I8" i="1"/>
  <c r="H8" i="1"/>
  <c r="G8" i="1"/>
  <c r="F8" i="1"/>
  <c r="E8" i="1"/>
  <c r="D8" i="1"/>
  <c r="C8" i="1"/>
  <c r="K7" i="1"/>
  <c r="J7" i="1"/>
  <c r="I7" i="1"/>
  <c r="H7" i="1"/>
  <c r="G7" i="1"/>
  <c r="F7" i="1"/>
  <c r="E7" i="1"/>
  <c r="D7" i="1"/>
  <c r="C7" i="1"/>
  <c r="K6" i="1"/>
  <c r="J6" i="1"/>
  <c r="I6" i="1"/>
  <c r="H6" i="1"/>
  <c r="G6" i="1"/>
  <c r="F6" i="1"/>
  <c r="E6" i="1"/>
  <c r="D6" i="1"/>
  <c r="C6" i="1"/>
  <c r="L11" i="1" l="1"/>
  <c r="M50" i="2"/>
  <c r="T50" i="2"/>
  <c r="M20" i="2"/>
  <c r="T20" i="2"/>
  <c r="T57" i="2"/>
  <c r="L12" i="1" s="1"/>
  <c r="M57" i="2"/>
  <c r="T56" i="2"/>
  <c r="M56" i="2"/>
  <c r="T55" i="2"/>
  <c r="M55" i="2"/>
  <c r="T54" i="2"/>
  <c r="M54" i="2"/>
  <c r="T53" i="2"/>
  <c r="M53" i="2"/>
  <c r="T52" i="2"/>
  <c r="M52" i="2"/>
  <c r="T51" i="2"/>
  <c r="M51" i="2"/>
  <c r="M41" i="2"/>
  <c r="T41" i="2"/>
  <c r="L10" i="1" s="1"/>
  <c r="M40" i="2"/>
  <c r="T40" i="2"/>
  <c r="T39" i="2"/>
  <c r="M39" i="2"/>
  <c r="M38" i="2"/>
  <c r="T38" i="2"/>
  <c r="M37" i="2"/>
  <c r="T37" i="2"/>
  <c r="M36" i="2"/>
  <c r="T36" i="2"/>
  <c r="T35" i="2"/>
  <c r="M35" i="2"/>
  <c r="M34" i="2"/>
  <c r="T34" i="2"/>
  <c r="M33" i="2"/>
  <c r="T33" i="2"/>
  <c r="L9" i="1" s="1"/>
  <c r="T32" i="2"/>
  <c r="M32" i="2"/>
  <c r="M31" i="2"/>
  <c r="T31" i="2"/>
  <c r="M30" i="2"/>
  <c r="T30" i="2"/>
  <c r="T29" i="2"/>
  <c r="M29" i="2"/>
  <c r="T28" i="2"/>
  <c r="M28" i="2"/>
  <c r="T27" i="2"/>
  <c r="M27" i="2"/>
  <c r="T26" i="2"/>
  <c r="M26" i="2"/>
  <c r="M25" i="2"/>
  <c r="T25" i="2"/>
  <c r="L8" i="1" s="1"/>
  <c r="T24" i="2"/>
  <c r="M24" i="2"/>
  <c r="M23" i="2"/>
  <c r="T23" i="2"/>
  <c r="T22" i="2"/>
  <c r="M22" i="2"/>
  <c r="T21" i="2"/>
  <c r="M21" i="2"/>
  <c r="T19" i="2"/>
  <c r="M19" i="2"/>
  <c r="T18" i="2"/>
  <c r="M18" i="2"/>
  <c r="T17" i="2"/>
  <c r="L7" i="1" s="1"/>
  <c r="M17" i="2"/>
  <c r="T16" i="2"/>
  <c r="M16" i="2"/>
  <c r="T15" i="2"/>
  <c r="M15" i="2"/>
  <c r="T14" i="2"/>
  <c r="M14" i="2"/>
  <c r="T13" i="2"/>
  <c r="M13" i="2"/>
  <c r="T12" i="2"/>
  <c r="M12" i="2"/>
  <c r="T11" i="2"/>
  <c r="M11" i="2"/>
  <c r="T10" i="2"/>
  <c r="M10" i="2"/>
  <c r="T9" i="2"/>
  <c r="L6" i="1" s="1"/>
  <c r="M9" i="2"/>
  <c r="T8" i="2"/>
  <c r="M8" i="2"/>
  <c r="T7" i="2"/>
  <c r="M7" i="2"/>
  <c r="T6" i="2"/>
  <c r="M6" i="2"/>
  <c r="T5" i="2"/>
  <c r="M5" i="2"/>
  <c r="T4" i="2"/>
  <c r="M4" i="2"/>
  <c r="M3" i="2"/>
  <c r="T3" i="2"/>
  <c r="T2" i="2"/>
  <c r="M2" i="2"/>
  <c r="F20" i="1"/>
  <c r="J20" i="1"/>
  <c r="E21" i="1"/>
  <c r="G21" i="1"/>
  <c r="I21" i="1"/>
  <c r="D22" i="1"/>
  <c r="F22" i="1"/>
  <c r="I22" i="1"/>
  <c r="C23" i="1"/>
  <c r="E23" i="1"/>
  <c r="G23" i="1"/>
  <c r="H20" i="1"/>
  <c r="I23" i="1"/>
  <c r="J19" i="1"/>
  <c r="J23" i="1"/>
  <c r="H23" i="1"/>
  <c r="F23" i="1"/>
  <c r="D23" i="1"/>
  <c r="J22" i="1"/>
  <c r="H22" i="1"/>
  <c r="G22" i="1"/>
  <c r="E22" i="1"/>
  <c r="C22" i="1"/>
  <c r="J21" i="1"/>
  <c r="H21" i="1"/>
  <c r="F21" i="1"/>
  <c r="D21" i="1"/>
  <c r="C21" i="1"/>
  <c r="I20" i="1"/>
  <c r="G20" i="1"/>
  <c r="E20" i="1"/>
  <c r="C20" i="1"/>
  <c r="I1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<sst xmlns="http://schemas.openxmlformats.org/spreadsheetml/2006/main" count="487" uniqueCount="84">
  <si>
    <t>Despesa total com pessoal - São Paulo (SP)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</si>
  <si>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</si>
  <si>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</si>
  <si>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</si>
  <si>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</si>
  <si>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</si>
  <si>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</si>
  <si>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</si>
  <si>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</si>
  <si>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</si>
  <si>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</si>
  <si>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</si>
  <si>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</si>
  <si>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</si>
  <si>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</si>
  <si>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</si>
  <si>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</si>
  <si>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Assembleia Legislativa</t>
  </si>
  <si>
    <t>Poder Legislativo</t>
  </si>
  <si>
    <t>Tribunal de Justiça</t>
  </si>
  <si>
    <t>Poder Judiciário</t>
  </si>
  <si>
    <t>Tribunal de Justiça Militar de São Paulo</t>
  </si>
  <si>
    <t>Tribunal de Contas</t>
  </si>
  <si>
    <t>Defensoria Pública</t>
  </si>
  <si>
    <t>Ministério Público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</si>
  <si>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</si>
  <si>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</si>
  <si>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</si>
  <si>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</si>
  <si>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</si>
  <si>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</si>
  <si>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</si>
  <si>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</si>
  <si>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</si>
  <si>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</si>
  <si>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</si>
  <si>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</si>
  <si>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</si>
  <si>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</si>
  <si>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</si>
  <si>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</si>
  <si>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</si>
  <si>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</si>
  <si>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</si>
  <si>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</si>
  <si>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</si>
  <si>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</si>
  <si>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</si>
  <si>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Estado de São Paulo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</si>
  <si>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</si>
  <si>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</si>
  <si>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</si>
  <si>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</si>
  <si>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</si>
  <si>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</si>
  <si>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</si>
  <si>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</si>
  <si>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</si>
  <si>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</si>
  <si>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</si>
  <si>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</si>
  <si>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Assembleia Legislativa do Estado de São Paulo</t>
  </si>
  <si>
    <t>Tribunal de Justiça do Estado de São Paulo</t>
  </si>
  <si>
    <t>Tribunal de Contas do Estado de São Paulo</t>
  </si>
  <si>
    <t>Defensoria Pública do Estado de São Paulo</t>
  </si>
  <si>
    <t>Calculado (despesa líquida / RCL Ajustada do Executivo)</t>
  </si>
  <si>
    <t>Ministério Público do Estado de São Paulo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</si>
  <si>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</si>
  <si>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</si>
  <si>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</si>
  <si>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</si>
  <si>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São Paulo (SP).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</si>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</sst>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IFERROR(IF(INDEX(Dados!$K$2:$K$57,MATCH($A6&amp;"|"&amp;C$5,Dados!$A$2:$A$57,0))="","",INDEX(Dados!$K$2:$K$57,MATCH($A6&amp;"|"&amp;C$5,Dados!$A$2:$A$57,0))),"")</f>
        <v>0.42794951112726037</v>
      </c>
      <c r="D6" s="7">
        <f>IFERROR(IF(INDEX(Dados!$K$2:$K$57,MATCH($A6&amp;"|"&amp;D$5,Dados!$A$2:$A$57,0))="","",INDEX(Dados!$K$2:$K$57,MATCH($A6&amp;"|"&amp;D$5,Dados!$A$2:$A$57,0))),"")</f>
        <v>0.42707062721218847</v>
      </c>
      <c r="E6" s="7">
        <f>IFERROR(IF(INDEX(Dados!$K$2:$K$57,MATCH($A6&amp;"|"&amp;E$5,Dados!$A$2:$A$57,0))="","",INDEX(Dados!$K$2:$K$57,MATCH($A6&amp;"|"&amp;E$5,Dados!$A$2:$A$57,0))),"")</f>
        <v>0.42190637018661803</v>
      </c>
      <c r="F6" s="7">
        <f>IFERROR(IF(INDEX(Dados!$K$2:$K$57,MATCH($A6&amp;"|"&amp;F$5,Dados!$A$2:$A$57,0))="","",INDEX(Dados!$K$2:$K$57,MATCH($A6&amp;"|"&amp;F$5,Dados!$A$2:$A$57,0))),"")</f>
        <v>0.4180607044491112</v>
      </c>
      <c r="G6" s="7">
        <f>IFERROR(IF(INDEX(Dados!$K$2:$K$57,MATCH($A6&amp;"|"&amp;G$5,Dados!$A$2:$A$57,0))="","",INDEX(Dados!$K$2:$K$57,MATCH($A6&amp;"|"&amp;G$5,Dados!$A$2:$A$57,0))),"")</f>
        <v>0.42010176264972909</v>
      </c>
      <c r="H6" s="7">
        <f>IFERROR(IF(INDEX(Dados!$K$2:$K$57,MATCH($A6&amp;"|"&amp;H$5,Dados!$A$2:$A$57,0))="","",INDEX(Dados!$K$2:$K$57,MATCH($A6&amp;"|"&amp;H$5,Dados!$A$2:$A$57,0))),"")</f>
        <v>0.41287837604304489</v>
      </c>
      <c r="I6" s="7">
        <f>IFERROR(IF(INDEX(Dados!$K$2:$K$57,MATCH($A6&amp;"|"&amp;I$5,Dados!$A$2:$A$57,0))="","",INDEX(Dados!$K$2:$K$57,MATCH($A6&amp;"|"&amp;I$5,Dados!$A$2:$A$57,0))),"")</f>
        <v>0.42545589519257854</v>
      </c>
      <c r="J6" s="7">
        <f>IFERROR(IF(INDEX(Dados!$K$2:$K$57,MATCH($A6&amp;"|"&amp;J$5,Dados!$A$2:$A$57,0))="","",INDEX(Dados!$K$2:$K$57,MATCH($A6&amp;"|"&amp;J$5,Dados!$A$2:$A$57,0))),"")</f>
        <v>0.42276306817586295</v>
      </c>
      <c r="K6" s="7">
        <f>IFERROR(IF(INDEX(Dados!$N$2:$N$57,MATCH($A6&amp;"|"&amp;J$5,Dados!$A$2:$A$57,0))=0,"—",INDEX(Dados!$N$2:$N$57,MATCH($A6&amp;"|"&amp;J$5,Dados!$A$2:$A$57,0))),"—")</f>
        <v>0.49</v>
      </c>
      <c r="L6" s="6" t="str">
        <f>IFERROR(IF(INDEX(Dados!$T$2:$T$57,MATCH($A6&amp;"|"&amp;J$5,Dados!$A$2:$A$57,0))="","—",INDEX(Dados!$T$2:$T$57,MATCH($A6&amp;"|"&amp;J$5,Dados!$A$2:$A$57,0))),"—")</f>
        <v>Abaixo do limite de alerta</v>
      </c>
    </row>
    <row r="7" spans="1:12" x14ac:dyDescent="0.25">
      <c r="A7" s="8" t="s">
        <v>17</v>
      </c>
      <c r="B7" s="9" t="s">
        <v>18</v>
      </c>
      <c r="C7" s="10">
        <f>IFERROR(IF(INDEX(Dados!$K$2:$K$57,MATCH($A7&amp;"|"&amp;C$5,Dados!$A$2:$A$57,0))="","",INDEX(Dados!$K$2:$K$57,MATCH($A7&amp;"|"&amp;C$5,Dados!$A$2:$A$57,0))),"")</f>
        <v>4.5441112569350062E-3</v>
      </c>
      <c r="D7" s="10">
        <f>IFERROR(IF(INDEX(Dados!$K$2:$K$57,MATCH($A7&amp;"|"&amp;D$5,Dados!$A$2:$A$57,0))="","",INDEX(Dados!$K$2:$K$57,MATCH($A7&amp;"|"&amp;D$5,Dados!$A$2:$A$57,0))),"")</f>
        <v>4.1303079856775393E-3</v>
      </c>
      <c r="E7" s="10">
        <f>IFERROR(IF(INDEX(Dados!$K$2:$K$57,MATCH($A7&amp;"|"&amp;E$5,Dados!$A$2:$A$57,0))="","",INDEX(Dados!$K$2:$K$57,MATCH($A7&amp;"|"&amp;E$5,Dados!$A$2:$A$57,0))),"")</f>
        <v>3.5763389233151137E-3</v>
      </c>
      <c r="F7" s="10">
        <f>IFERROR(IF(INDEX(Dados!$K$2:$K$57,MATCH($A7&amp;"|"&amp;F$5,Dados!$A$2:$A$57,0))="","",INDEX(Dados!$K$2:$K$57,MATCH($A7&amp;"|"&amp;F$5,Dados!$A$2:$A$57,0))),"")</f>
        <v>3.9275695387430386E-3</v>
      </c>
      <c r="G7" s="10">
        <f>IFERROR(IF(INDEX(Dados!$K$2:$K$57,MATCH($A7&amp;"|"&amp;G$5,Dados!$A$2:$A$57,0))="","",INDEX(Dados!$K$2:$K$57,MATCH($A7&amp;"|"&amp;G$5,Dados!$A$2:$A$57,0))),"")</f>
        <v>4.3073806093312994E-3</v>
      </c>
      <c r="H7" s="10">
        <f>IFERROR(IF(INDEX(Dados!$K$2:$K$57,MATCH($A7&amp;"|"&amp;H$5,Dados!$A$2:$A$57,0))="","",INDEX(Dados!$K$2:$K$57,MATCH($A7&amp;"|"&amp;H$5,Dados!$A$2:$A$57,0))),"")</f>
        <v>4.7052278982496597E-3</v>
      </c>
      <c r="I7" s="10">
        <f>IFERROR(IF(INDEX(Dados!$K$2:$K$57,MATCH($A7&amp;"|"&amp;I$5,Dados!$A$2:$A$57,0))="","",INDEX(Dados!$K$2:$K$57,MATCH($A7&amp;"|"&amp;I$5,Dados!$A$2:$A$57,0))),"")</f>
        <v>4.7246711007937602E-3</v>
      </c>
      <c r="J7" s="10">
        <f>IFERROR(IF(INDEX(Dados!$K$2:$K$57,MATCH($A7&amp;"|"&amp;J$5,Dados!$A$2:$A$57,0))="","",INDEX(Dados!$K$2:$K$57,MATCH($A7&amp;"|"&amp;J$5,Dados!$A$2:$A$57,0))),"")</f>
        <v>4.6353688981664205E-3</v>
      </c>
      <c r="K7" s="10">
        <f>IFERROR(IF(INDEX(Dados!$N$2:$N$57,MATCH($A7&amp;"|"&amp;J$5,Dados!$A$2:$A$57,0))=0,"—",INDEX(Dados!$N$2:$N$57,MATCH($A7&amp;"|"&amp;J$5,Dados!$A$2:$A$57,0))),"—")</f>
        <v>1.7500000000000002E-2</v>
      </c>
      <c r="L7" s="9" t="str">
        <f>IFERROR(IF(INDEX(Dados!$T$2:$T$57,MATCH($A7&amp;"|"&amp;J$5,Dados!$A$2:$A$57,0))="","—",INDEX(Dados!$T$2:$T$57,MATCH($A7&amp;"|"&amp;J$5,Dados!$A$2:$A$57,0))),"—")</f>
        <v>Abaixo do limite de alerta</v>
      </c>
    </row>
    <row r="8" spans="1:12" x14ac:dyDescent="0.25">
      <c r="A8" s="8" t="s">
        <v>19</v>
      </c>
      <c r="B8" s="9" t="s">
        <v>20</v>
      </c>
      <c r="C8" s="10">
        <f>IFERROR(IF(INDEX(Dados!$K$2:$K$57,MATCH($A8&amp;"|"&amp;C$5,Dados!$A$2:$A$57,0))="","",INDEX(Dados!$K$2:$K$57,MATCH($A8&amp;"|"&amp;C$5,Dados!$A$2:$A$57,0))),"")</f>
        <v>5.1256228697891731E-2</v>
      </c>
      <c r="D8" s="10">
        <f>IFERROR(IF(INDEX(Dados!$K$2:$K$57,MATCH($A8&amp;"|"&amp;D$5,Dados!$A$2:$A$57,0))="","",INDEX(Dados!$K$2:$K$57,MATCH($A8&amp;"|"&amp;D$5,Dados!$A$2:$A$57,0))),"")</f>
        <v>5.0169663468907985E-2</v>
      </c>
      <c r="E8" s="10">
        <f>IFERROR(IF(INDEX(Dados!$K$2:$K$57,MATCH($A8&amp;"|"&amp;E$5,Dados!$A$2:$A$57,0))="","",INDEX(Dados!$K$2:$K$57,MATCH($A8&amp;"|"&amp;E$5,Dados!$A$2:$A$57,0))),"")</f>
        <v>4.945800993905991E-2</v>
      </c>
      <c r="F8" s="10">
        <f>IFERROR(IF(INDEX(Dados!$K$2:$K$57,MATCH($A8&amp;"|"&amp;F$5,Dados!$A$2:$A$57,0))="","",INDEX(Dados!$K$2:$K$57,MATCH($A8&amp;"|"&amp;F$5,Dados!$A$2:$A$57,0))),"")</f>
        <v>4.9362339321932368E-2</v>
      </c>
      <c r="G8" s="10">
        <f>IFERROR(IF(INDEX(Dados!$K$2:$K$57,MATCH($A8&amp;"|"&amp;G$5,Dados!$A$2:$A$57,0))="","",INDEX(Dados!$K$2:$K$57,MATCH($A8&amp;"|"&amp;G$5,Dados!$A$2:$A$57,0))),"")</f>
        <v>5.0618545354478399E-2</v>
      </c>
      <c r="H8" s="10">
        <f>IFERROR(IF(INDEX(Dados!$K$2:$K$57,MATCH($A8&amp;"|"&amp;H$5,Dados!$A$2:$A$57,0))="","",INDEX(Dados!$K$2:$K$57,MATCH($A8&amp;"|"&amp;H$5,Dados!$A$2:$A$57,0))),"")</f>
        <v>5.1548876378171855E-2</v>
      </c>
      <c r="I8" s="10">
        <f>IFERROR(IF(INDEX(Dados!$K$2:$K$57,MATCH($A8&amp;"|"&amp;I$5,Dados!$A$2:$A$57,0))="","",INDEX(Dados!$K$2:$K$57,MATCH($A8&amp;"|"&amp;I$5,Dados!$A$2:$A$57,0))),"")</f>
        <v>5.3375402653687946E-2</v>
      </c>
      <c r="J8" s="10">
        <f>IFERROR(IF(INDEX(Dados!$K$2:$K$57,MATCH($A8&amp;"|"&amp;J$5,Dados!$A$2:$A$57,0))="","",INDEX(Dados!$K$2:$K$57,MATCH($A8&amp;"|"&amp;J$5,Dados!$A$2:$A$57,0))),"")</f>
        <v>5.2930242852496333E-2</v>
      </c>
      <c r="K8" s="10">
        <f>IFERROR(IF(INDEX(Dados!$N$2:$N$57,MATCH($A8&amp;"|"&amp;J$5,Dados!$A$2:$A$57,0))=0,"—",INDEX(Dados!$N$2:$N$57,MATCH($A8&amp;"|"&amp;J$5,Dados!$A$2:$A$57,0))),"—")</f>
        <v>5.9499999999999997E-2</v>
      </c>
      <c r="L8" s="9" t="str">
        <f>IFERROR(IF(INDEX(Dados!$T$2:$T$57,MATCH($A8&amp;"|"&amp;J$5,Dados!$A$2:$A$57,0))="","—",INDEX(Dados!$T$2:$T$57,MATCH($A8&amp;"|"&amp;J$5,Dados!$A$2:$A$57,0))),"—")</f>
        <v>Abaixo do limite de alerta</v>
      </c>
    </row>
    <row r="9" spans="1:12" x14ac:dyDescent="0.25">
      <c r="A9" s="8" t="s">
        <v>21</v>
      </c>
      <c r="B9" s="9" t="s">
        <v>20</v>
      </c>
      <c r="C9" s="10">
        <f>IFERROR(IF(INDEX(Dados!$K$2:$K$57,MATCH($A9&amp;"|"&amp;C$5,Dados!$A$2:$A$57,0))="","",INDEX(Dados!$K$2:$K$57,MATCH($A9&amp;"|"&amp;C$5,Dados!$A$2:$A$57,0))),"")</f>
        <v>3.098557699931163E-4</v>
      </c>
      <c r="D9" s="10">
        <f>IFERROR(IF(INDEX(Dados!$K$2:$K$57,MATCH($A9&amp;"|"&amp;D$5,Dados!$A$2:$A$57,0))="","",INDEX(Dados!$K$2:$K$57,MATCH($A9&amp;"|"&amp;D$5,Dados!$A$2:$A$57,0))),"")</f>
        <v>3.1322885927451068E-4</v>
      </c>
      <c r="E9" s="10">
        <f>IFERROR(IF(INDEX(Dados!$K$2:$K$57,MATCH($A9&amp;"|"&amp;E$5,Dados!$A$2:$A$57,0))="","",INDEX(Dados!$K$2:$K$57,MATCH($A9&amp;"|"&amp;E$5,Dados!$A$2:$A$57,0))),"")</f>
        <v>3.1786172608721917E-4</v>
      </c>
      <c r="F9" s="10">
        <f>IFERROR(IF(INDEX(Dados!$K$2:$K$57,MATCH($A9&amp;"|"&amp;F$5,Dados!$A$2:$A$57,0))="","",INDEX(Dados!$K$2:$K$57,MATCH($A9&amp;"|"&amp;F$5,Dados!$A$2:$A$57,0))),"")</f>
        <v>3.1878438632094433E-4</v>
      </c>
      <c r="G9" s="10">
        <f>IFERROR(IF(INDEX(Dados!$K$2:$K$57,MATCH($A9&amp;"|"&amp;G$5,Dados!$A$2:$A$57,0))="","",INDEX(Dados!$K$2:$K$57,MATCH($A9&amp;"|"&amp;G$5,Dados!$A$2:$A$57,0))),"")</f>
        <v>3.3131828363720567E-4</v>
      </c>
      <c r="H9" s="10">
        <f>IFERROR(IF(INDEX(Dados!$K$2:$K$57,MATCH($A9&amp;"|"&amp;H$5,Dados!$A$2:$A$57,0))="","",INDEX(Dados!$K$2:$K$57,MATCH($A9&amp;"|"&amp;H$5,Dados!$A$2:$A$57,0))),"")</f>
        <v>3.5424615841788982E-4</v>
      </c>
      <c r="I9" s="10">
        <f>IFERROR(IF(INDEX(Dados!$K$2:$K$57,MATCH($A9&amp;"|"&amp;I$5,Dados!$A$2:$A$57,0))="","",INDEX(Dados!$K$2:$K$57,MATCH($A9&amp;"|"&amp;I$5,Dados!$A$2:$A$57,0))),"")</f>
        <v>3.6094223275591773E-4</v>
      </c>
      <c r="J9" s="10">
        <f>IFERROR(IF(INDEX(Dados!$K$2:$K$57,MATCH($A9&amp;"|"&amp;J$5,Dados!$A$2:$A$57,0))="","",INDEX(Dados!$K$2:$K$57,MATCH($A9&amp;"|"&amp;J$5,Dados!$A$2:$A$57,0))),"")</f>
        <v>3.5852322680150582E-4</v>
      </c>
      <c r="K9" s="10">
        <f>IFERROR(IF(INDEX(Dados!$N$2:$N$57,MATCH($A9&amp;"|"&amp;J$5,Dados!$A$2:$A$57,0))=0,"—",INDEX(Dados!$N$2:$N$57,MATCH($A9&amp;"|"&amp;J$5,Dados!$A$2:$A$57,0))),"—")</f>
        <v>5.0000000000000001E-4</v>
      </c>
      <c r="L9" s="9" t="str">
        <f>IFERROR(IF(INDEX(Dados!$T$2:$T$57,MATCH($A9&amp;"|"&amp;J$5,Dados!$A$2:$A$57,0))="","—",INDEX(Dados!$T$2:$T$57,MATCH($A9&amp;"|"&amp;J$5,Dados!$A$2:$A$57,0))),"—")</f>
        <v>Abaixo do limite de alerta</v>
      </c>
    </row>
    <row r="10" spans="1:12" x14ac:dyDescent="0.25">
      <c r="A10" s="8" t="s">
        <v>22</v>
      </c>
      <c r="B10" s="9" t="s">
        <v>22</v>
      </c>
      <c r="C10" s="10">
        <f>IFERROR(IF(INDEX(Dados!$K$2:$K$57,MATCH($A10&amp;"|"&amp;C$5,Dados!$A$2:$A$57,0))="","",INDEX(Dados!$K$2:$K$57,MATCH($A10&amp;"|"&amp;C$5,Dados!$A$2:$A$57,0))),"")</f>
        <v>4.3721272887603455E-3</v>
      </c>
      <c r="D10" s="10">
        <f>IFERROR(IF(INDEX(Dados!$K$2:$K$57,MATCH($A10&amp;"|"&amp;D$5,Dados!$A$2:$A$57,0))="","",INDEX(Dados!$K$2:$K$57,MATCH($A10&amp;"|"&amp;D$5,Dados!$A$2:$A$57,0))),"")</f>
        <v>4.0564809517582203E-3</v>
      </c>
      <c r="E10" s="10">
        <f>IFERROR(IF(INDEX(Dados!$K$2:$K$57,MATCH($A10&amp;"|"&amp;E$5,Dados!$A$2:$A$57,0))="","",INDEX(Dados!$K$2:$K$57,MATCH($A10&amp;"|"&amp;E$5,Dados!$A$2:$A$57,0))),"")</f>
        <v>3.811187232451906E-3</v>
      </c>
      <c r="F10" s="10">
        <f>IFERROR(IF(INDEX(Dados!$K$2:$K$57,MATCH($A10&amp;"|"&amp;F$5,Dados!$A$2:$A$57,0))="","",INDEX(Dados!$K$2:$K$57,MATCH($A10&amp;"|"&amp;F$5,Dados!$A$2:$A$57,0))),"")</f>
        <v>4.8495021578639644E-3</v>
      </c>
      <c r="G10" s="10">
        <f>IFERROR(IF(INDEX(Dados!$K$2:$K$57,MATCH($A10&amp;"|"&amp;G$5,Dados!$A$2:$A$57,0))="","",INDEX(Dados!$K$2:$K$57,MATCH($A10&amp;"|"&amp;G$5,Dados!$A$2:$A$57,0))),"")</f>
        <v>4.986416125739984E-3</v>
      </c>
      <c r="H10" s="10">
        <f>IFERROR(IF(INDEX(Dados!$K$2:$K$57,MATCH($A10&amp;"|"&amp;H$5,Dados!$A$2:$A$57,0))="","",INDEX(Dados!$K$2:$K$57,MATCH($A10&amp;"|"&amp;H$5,Dados!$A$2:$A$57,0))),"")</f>
        <v>5.1212016067174139E-3</v>
      </c>
      <c r="I10" s="10">
        <f>IFERROR(IF(INDEX(Dados!$K$2:$K$57,MATCH($A10&amp;"|"&amp;I$5,Dados!$A$2:$A$57,0))="","",INDEX(Dados!$K$2:$K$57,MATCH($A10&amp;"|"&amp;I$5,Dados!$A$2:$A$57,0))),"")</f>
        <v>5.1737784164046481E-3</v>
      </c>
      <c r="J10" s="10">
        <f>IFERROR(IF(INDEX(Dados!$K$2:$K$57,MATCH($A10&amp;"|"&amp;J$5,Dados!$A$2:$A$57,0))="","",INDEX(Dados!$K$2:$K$57,MATCH($A10&amp;"|"&amp;J$5,Dados!$A$2:$A$57,0))),"")</f>
        <v>5.1026990115004894E-3</v>
      </c>
      <c r="K10" s="10">
        <f>IFERROR(IF(INDEX(Dados!$N$2:$N$57,MATCH($A10&amp;"|"&amp;J$5,Dados!$A$2:$A$57,0))=0,"—",INDEX(Dados!$N$2:$N$57,MATCH($A10&amp;"|"&amp;J$5,Dados!$A$2:$A$57,0))),"—")</f>
        <v>1.2500000000000001E-2</v>
      </c>
      <c r="L10" s="9" t="str">
        <f>IFERROR(IF(INDEX(Dados!$T$2:$T$57,MATCH($A10&amp;"|"&amp;J$5,Dados!$A$2:$A$57,0))="","—",INDEX(Dados!$T$2:$T$57,MATCH($A10&amp;"|"&amp;J$5,Dados!$A$2:$A$57,0))),"—")</f>
        <v>Abaixo do limite de alerta</v>
      </c>
    </row>
    <row r="11" spans="1:12" x14ac:dyDescent="0.25">
      <c r="A11" s="8" t="s">
        <v>23</v>
      </c>
      <c r="B11" s="9" t="s">
        <v>23</v>
      </c>
      <c r="C11" s="10">
        <f>IFERROR(IF(INDEX(Dados!$K$2:$K$57,MATCH($A11&amp;"|"&amp;C$5,Dados!$A$2:$A$57,0))="","",INDEX(Dados!$K$2:$K$57,MATCH($A11&amp;"|"&amp;C$5,Dados!$A$2:$A$57,0))),"")</f>
        <v>3.0423077588200963E-3</v>
      </c>
      <c r="D11" s="10">
        <f>IFERROR(IF(INDEX(Dados!$K$2:$K$57,MATCH($A11&amp;"|"&amp;D$5,Dados!$A$2:$A$57,0))="","",INDEX(Dados!$K$2:$K$57,MATCH($A11&amp;"|"&amp;D$5,Dados!$A$2:$A$57,0))),"")</f>
        <v>3.089963135743386E-3</v>
      </c>
      <c r="E11" s="10">
        <f>IFERROR(IF(INDEX(Dados!$K$2:$K$57,MATCH($A11&amp;"|"&amp;E$5,Dados!$A$2:$A$57,0))="","",INDEX(Dados!$K$2:$K$57,MATCH($A11&amp;"|"&amp;E$5,Dados!$A$2:$A$57,0))),"")</f>
        <v>3.2350884715264712E-3</v>
      </c>
      <c r="F11" s="10">
        <f>IFERROR(IF(INDEX(Dados!$K$2:$K$57,MATCH($A11&amp;"|"&amp;F$5,Dados!$A$2:$A$57,0))="","",INDEX(Dados!$K$2:$K$57,MATCH($A11&amp;"|"&amp;F$5,Dados!$A$2:$A$57,0))),"")</f>
        <v>3.3708998492690879E-3</v>
      </c>
      <c r="G11" s="10">
        <f>IFERROR(IF(INDEX(Dados!$K$2:$K$57,MATCH($A11&amp;"|"&amp;G$5,Dados!$A$2:$A$57,0))="","",INDEX(Dados!$K$2:$K$57,MATCH($A11&amp;"|"&amp;G$5,Dados!$A$2:$A$57,0))),"")</f>
        <v>3.6340282026883475E-3</v>
      </c>
      <c r="H11" s="10">
        <f>IFERROR(IF(INDEX(Dados!$K$2:$K$57,MATCH($A11&amp;"|"&amp;H$5,Dados!$A$2:$A$57,0))="","",INDEX(Dados!$K$2:$K$57,MATCH($A11&amp;"|"&amp;H$5,Dados!$A$2:$A$57,0))),"")</f>
        <v>4.0902933288177405E-3</v>
      </c>
      <c r="I11" s="10">
        <f>IFERROR(IF(INDEX(Dados!$K$2:$K$57,MATCH($A11&amp;"|"&amp;I$5,Dados!$A$2:$A$57,0))="","",INDEX(Dados!$K$2:$K$57,MATCH($A11&amp;"|"&amp;I$5,Dados!$A$2:$A$57,0))),"")</f>
        <v>4.5784954774180939E-3</v>
      </c>
      <c r="J11" s="10">
        <f>IFERROR(IF(INDEX(Dados!$K$2:$K$57,MATCH($A11&amp;"|"&amp;J$5,Dados!$A$2:$A$57,0))="","",INDEX(Dados!$K$2:$K$57,MATCH($A11&amp;"|"&amp;J$5,Dados!$A$2:$A$57,0))),"")</f>
        <v>4.643878774900672E-3</v>
      </c>
      <c r="K11" s="10" t="str">
        <f>IFERROR(IF(INDEX(Dados!$N$2:$N$57,MATCH($A11&amp;"|"&amp;J$5,Dados!$A$2:$A$57,0))=0,"—",INDEX(Dados!$N$2:$N$57,MATCH($A11&amp;"|"&amp;J$5,Dados!$A$2:$A$57,0))),"—")</f>
        <v>—</v>
      </c>
      <c r="L11" s="9" t="str">
        <f>IFERROR(IF(INDEX(Dados!$T$2:$T$57,MATCH($A11&amp;"|"&amp;J$5,Dados!$A$2:$A$57,0))="","—",INDEX(Dados!$T$2:$T$57,MATCH($A11&amp;"|"&amp;J$5,Dados!$A$2:$A$57,0))),"—")</f>
        <v>Sem limite próprio na LRF</v>
      </c>
    </row>
    <row r="12" spans="1:12" x14ac:dyDescent="0.25">
      <c r="A12" s="8" t="s">
        <v>24</v>
      </c>
      <c r="B12" s="9" t="s">
        <v>24</v>
      </c>
      <c r="C12" s="10">
        <f>IFERROR(IF(INDEX(Dados!$K$2:$K$57,MATCH($A12&amp;"|"&amp;C$5,Dados!$A$2:$A$57,0))="","",INDEX(Dados!$K$2:$K$57,MATCH($A12&amp;"|"&amp;C$5,Dados!$A$2:$A$57,0))),"")</f>
        <v>1.2531513896414936E-2</v>
      </c>
      <c r="D12" s="10">
        <f>IFERROR(IF(INDEX(Dados!$K$2:$K$57,MATCH($A12&amp;"|"&amp;D$5,Dados!$A$2:$A$57,0))="","",INDEX(Dados!$K$2:$K$57,MATCH($A12&amp;"|"&amp;D$5,Dados!$A$2:$A$57,0))),"")</f>
        <v>1.2649630260305331E-2</v>
      </c>
      <c r="E12" s="10">
        <f>IFERROR(IF(INDEX(Dados!$K$2:$K$57,MATCH($A12&amp;"|"&amp;E$5,Dados!$A$2:$A$57,0))="","",INDEX(Dados!$K$2:$K$57,MATCH($A12&amp;"|"&amp;E$5,Dados!$A$2:$A$57,0))),"")</f>
        <v>1.2849776219862859E-2</v>
      </c>
      <c r="F12" s="10">
        <f>IFERROR(IF(INDEX(Dados!$K$2:$K$57,MATCH($A12&amp;"|"&amp;F$5,Dados!$A$2:$A$57,0))="","",INDEX(Dados!$K$2:$K$57,MATCH($A12&amp;"|"&amp;F$5,Dados!$A$2:$A$57,0))),"")</f>
        <v>1.3224926365994949E-2</v>
      </c>
      <c r="G12" s="10">
        <f>IFERROR(IF(INDEX(Dados!$K$2:$K$57,MATCH($A12&amp;"|"&amp;G$5,Dados!$A$2:$A$57,0))="","",INDEX(Dados!$K$2:$K$57,MATCH($A12&amp;"|"&amp;G$5,Dados!$A$2:$A$57,0))),"")</f>
        <v>1.3933515010134323E-2</v>
      </c>
      <c r="H12" s="10">
        <f>IFERROR(IF(INDEX(Dados!$K$2:$K$57,MATCH($A12&amp;"|"&amp;H$5,Dados!$A$2:$A$57,0))="","",INDEX(Dados!$K$2:$K$57,MATCH($A12&amp;"|"&amp;H$5,Dados!$A$2:$A$57,0))),"")</f>
        <v>1.3704754370035821E-2</v>
      </c>
      <c r="I12" s="10">
        <f>IFERROR(IF(INDEX(Dados!$K$2:$K$57,MATCH($A12&amp;"|"&amp;I$5,Dados!$A$2:$A$57,0))="","",INDEX(Dados!$K$2:$K$57,MATCH($A12&amp;"|"&amp;I$5,Dados!$A$2:$A$57,0))),"")</f>
        <v>1.2624436932230552E-2</v>
      </c>
      <c r="J12" s="10">
        <f>IFERROR(IF(INDEX(Dados!$K$2:$K$57,MATCH($A12&amp;"|"&amp;J$5,Dados!$A$2:$A$57,0))="","",INDEX(Dados!$K$2:$K$57,MATCH($A12&amp;"|"&amp;J$5,Dados!$A$2:$A$57,0))),"")</f>
        <v>1.4090027403681928E-2</v>
      </c>
      <c r="K12" s="10">
        <f>IFERROR(IF(INDEX(Dados!$N$2:$N$57,MATCH($A12&amp;"|"&amp;J$5,Dados!$A$2:$A$57,0))=0,"—",INDEX(Dados!$N$2:$N$57,MATCH($A12&amp;"|"&amp;J$5,Dados!$A$2:$A$57,0))),"—")</f>
        <v>0.02</v>
      </c>
      <c r="L12" s="9" t="str">
        <f>IFERROR(IF(INDEX(Dados!$T$2:$T$57,MATCH($A12&amp;"|"&amp;J$5,Dados!$A$2:$A$57,0))="","—",INDEX(Dados!$T$2:$T$57,MATCH($A12&amp;"|"&amp;J$5,Dados!$A$2:$A$57,0))),"—")</f>
        <v>Abaixo do limite de alerta</v>
      </c>
    </row>
    <row r="13" spans="1:12" x14ac:dyDescent="0.25">
      <c r="A13" s="3" t="s">
        <v>25</v>
      </c>
      <c r="B13" s="11" t="s">
        <v>26</v>
      </c>
      <c r="C13" s="12">
        <f>IFERROR(INDEX(Dados!$J$2:$J$57,MATCH("Governo|"&amp;C$5,Dados!$A$2:$A$57,0))/1000000,"")</f>
        <v>234947.65610341</v>
      </c>
      <c r="D13" s="12">
        <f>IFERROR(INDEX(Dados!$J$2:$J$57,MATCH("Governo|"&amp;D$5,Dados!$A$2:$A$57,0))/1000000,"")</f>
        <v>243358.48138819</v>
      </c>
      <c r="E13" s="12">
        <f>IFERROR(INDEX(Dados!$J$2:$J$57,MATCH("Governo|"&amp;E$5,Dados!$A$2:$A$57,0))/1000000,"")</f>
        <v>250793.91048838</v>
      </c>
      <c r="F13" s="12">
        <f>IFERROR(INDEX(Dados!$J$2:$J$57,MATCH("Governo|"&amp;F$5,Dados!$A$2:$A$57,0))/1000000,"")</f>
        <v>256860.68378381</v>
      </c>
      <c r="G13" s="12">
        <f>IFERROR(INDEX(Dados!$J$2:$J$57,MATCH("Governo|"&amp;G$5,Dados!$A$2:$A$57,0))/1000000,"")</f>
        <v>259389.75328057999</v>
      </c>
      <c r="H13" s="12">
        <f>IFERROR(INDEX(Dados!$J$2:$J$57,MATCH("Governo|"&amp;H$5,Dados!$A$2:$A$57,0))/1000000,"")</f>
        <v>265761.36258036998</v>
      </c>
      <c r="I13" s="12">
        <f>IFERROR(INDEX(Dados!$J$2:$J$57,MATCH("Governo|"&amp;I$5,Dados!$A$2:$A$57,0))/1000000,"")</f>
        <v>270315.71726875001</v>
      </c>
      <c r="J13" s="12">
        <f>IFERROR(INDEX(Dados!$J$2:$J$57,MATCH("Governo|"&amp;J$5,Dados!$A$2:$A$57,0))/1000000,"")</f>
        <v>279170.98851008003</v>
      </c>
    </row>
    <row r="15" spans="1:12" x14ac:dyDescent="0.25">
      <c r="A15" s="3" t="s">
        <v>27</v>
      </c>
    </row>
    <row r="16" spans="1:12" ht="44.1" customHeight="1" x14ac:dyDescent="0.25">
      <c r="A16" s="4" t="s">
        <v>3</v>
      </c>
      <c r="B16" s="4" t="s">
        <v>4</v>
      </c>
      <c r="C16" s="4" t="s">
        <v>5</v>
      </c>
      <c r="D16" s="4" t="s">
        <v>6</v>
      </c>
      <c r="E16" s="4" t="s">
        <v>7</v>
      </c>
      <c r="F16" s="4" t="s">
        <v>8</v>
      </c>
      <c r="G16" s="4" t="s">
        <v>9</v>
      </c>
      <c r="H16" s="4" t="s">
        <v>10</v>
      </c>
      <c r="I16" s="4" t="s">
        <v>11</v>
      </c>
      <c r="J16" s="4" t="s">
        <v>12</v>
      </c>
    </row>
    <row r="17" spans="1:10" x14ac:dyDescent="0.25">
      <c r="A17" s="5" t="s">
        <v>15</v>
      </c>
      <c r="B17" s="6" t="s">
        <v>16</v>
      </c>
      <c r="C17" s="13">
        <f>IFERROR(IF(INDEX(Dados!$I$2:$I$57,MATCH($A17&amp;"|"&amp;C$16,Dados!$A$2:$A$57,0))="","",INDEX(Dados!$I$2:$I$57,MATCH($A17&amp;"|"&amp;C$16,Dados!$A$2:$A$57,0))/1000000),"")</f>
        <v>100545.73456995</v>
      </c>
      <c r="D17" s="13">
        <f>IFERROR(IF(INDEX(Dados!$I$2:$I$57,MATCH($A17&amp;"|"&amp;D$16,Dados!$A$2:$A$57,0))="","",INDEX(Dados!$I$2:$I$57,MATCH($A17&amp;"|"&amp;D$16,Dados!$A$2:$A$57,0))/1000000),"")</f>
        <v>103931.25928386</v>
      </c>
      <c r="E17" s="13">
        <f>IFERROR(IF(INDEX(Dados!$I$2:$I$57,MATCH($A17&amp;"|"&amp;E$16,Dados!$A$2:$A$57,0))="","",INDEX(Dados!$I$2:$I$57,MATCH($A17&amp;"|"&amp;E$16,Dados!$A$2:$A$57,0))/1000000),"")</f>
        <v>105811.54843906</v>
      </c>
      <c r="F17" s="13">
        <f>IFERROR(IF(INDEX(Dados!$I$2:$I$57,MATCH($A17&amp;"|"&amp;F$16,Dados!$A$2:$A$57,0))="","",INDEX(Dados!$I$2:$I$57,MATCH($A17&amp;"|"&amp;F$16,Dados!$A$2:$A$57,0))/1000000),"")</f>
        <v>107383.35840794</v>
      </c>
      <c r="G17" s="13">
        <f>IFERROR(IF(INDEX(Dados!$I$2:$I$57,MATCH($A17&amp;"|"&amp;G$16,Dados!$A$2:$A$57,0))="","",INDEX(Dados!$I$2:$I$57,MATCH($A17&amp;"|"&amp;G$16,Dados!$A$2:$A$57,0))/1000000),"")</f>
        <v>108970.09256645</v>
      </c>
      <c r="H17" s="13">
        <f>IFERROR(IF(INDEX(Dados!$I$2:$I$57,MATCH($A17&amp;"|"&amp;H$16,Dados!$A$2:$A$57,0))="","",INDEX(Dados!$I$2:$I$57,MATCH($A17&amp;"|"&amp;H$16,Dados!$A$2:$A$57,0))/1000000),"")</f>
        <v>109727.11979717</v>
      </c>
      <c r="I17" s="13">
        <f>IFERROR(IF(INDEX(Dados!$I$2:$I$57,MATCH($A17&amp;"|"&amp;I$16,Dados!$A$2:$A$57,0))="","",INDEX(Dados!$I$2:$I$57,MATCH($A17&amp;"|"&amp;I$16,Dados!$A$2:$A$57,0))/1000000),"")</f>
        <v>115007.4154752</v>
      </c>
      <c r="J17" s="13">
        <f>IFERROR(IF(INDEX(Dados!$I$2:$I$57,MATCH($A17&amp;"|"&amp;J$16,Dados!$A$2:$A$57,0))="","",INDEX(Dados!$I$2:$I$57,MATCH($A17&amp;"|"&amp;J$16,Dados!$A$2:$A$57,0))/1000000),"")</f>
        <v>118023.18364821</v>
      </c>
    </row>
    <row r="18" spans="1:10" x14ac:dyDescent="0.25">
      <c r="A18" s="8" t="s">
        <v>17</v>
      </c>
      <c r="B18" s="9" t="s">
        <v>18</v>
      </c>
      <c r="C18" s="14">
        <f>IFERROR(IF(INDEX(Dados!$I$2:$I$57,MATCH($A18&amp;"|"&amp;C$16,Dados!$A$2:$A$57,0))="","",INDEX(Dados!$I$2:$I$57,MATCH($A18&amp;"|"&amp;C$16,Dados!$A$2:$A$57,0))/1000000),"")</f>
        <v>1067.62828889</v>
      </c>
      <c r="D18" s="14">
        <f>IFERROR(IF(INDEX(Dados!$I$2:$I$57,MATCH($A18&amp;"|"&amp;D$16,Dados!$A$2:$A$57,0))="","",INDEX(Dados!$I$2:$I$57,MATCH($A18&amp;"|"&amp;D$16,Dados!$A$2:$A$57,0))/1000000),"")</f>
        <v>1005.14547906</v>
      </c>
      <c r="E18" s="14">
        <f>IFERROR(IF(INDEX(Dados!$I$2:$I$57,MATCH($A18&amp;"|"&amp;E$16,Dados!$A$2:$A$57,0))="","",INDEX(Dados!$I$2:$I$57,MATCH($A18&amp;"|"&amp;E$16,Dados!$A$2:$A$57,0))/1000000),"")</f>
        <v>896.92402380999999</v>
      </c>
      <c r="F18" s="14">
        <f>IFERROR(IF(INDEX(Dados!$I$2:$I$57,MATCH($A18&amp;"|"&amp;F$16,Dados!$A$2:$A$57,0))="","",INDEX(Dados!$I$2:$I$57,MATCH($A18&amp;"|"&amp;F$16,Dados!$A$2:$A$57,0))/1000000),"")</f>
        <v>1008.8381973300001</v>
      </c>
      <c r="G18" s="14">
        <f>IFERROR(IF(INDEX(Dados!$I$2:$I$57,MATCH($A18&amp;"|"&amp;G$16,Dados!$A$2:$A$57,0))="","",INDEX(Dados!$I$2:$I$57,MATCH($A18&amp;"|"&amp;G$16,Dados!$A$2:$A$57,0))/1000000),"")</f>
        <v>1117.29039354</v>
      </c>
      <c r="H18" s="14">
        <f>IFERROR(IF(INDEX(Dados!$I$2:$I$57,MATCH($A18&amp;"|"&amp;H$16,Dados!$A$2:$A$57,0))="","",INDEX(Dados!$I$2:$I$57,MATCH($A18&amp;"|"&amp;H$16,Dados!$A$2:$A$57,0))/1000000),"")</f>
        <v>1250.4677774900001</v>
      </c>
      <c r="I18" s="14">
        <f>IFERROR(IF(INDEX(Dados!$I$2:$I$57,MATCH($A18&amp;"|"&amp;I$16,Dados!$A$2:$A$57,0))="","",INDEX(Dados!$I$2:$I$57,MATCH($A18&amp;"|"&amp;I$16,Dados!$A$2:$A$57,0))/1000000),"")</f>
        <v>1277.1528574700001</v>
      </c>
      <c r="J18" s="14">
        <f>IFERROR(IF(INDEX(Dados!$I$2:$I$57,MATCH($A18&amp;"|"&amp;J$16,Dados!$A$2:$A$57,0))="","",INDEX(Dados!$I$2:$I$57,MATCH($A18&amp;"|"&amp;J$16,Dados!$A$2:$A$57,0))/1000000),"")</f>
        <v>1294.0605174100001</v>
      </c>
    </row>
    <row r="19" spans="1:10" x14ac:dyDescent="0.25">
      <c r="A19" s="8" t="s">
        <v>19</v>
      </c>
      <c r="B19" s="9" t="s">
        <v>20</v>
      </c>
      <c r="C19" s="14">
        <f>IFERROR(IF(INDEX(Dados!$I$2:$I$57,MATCH($A19&amp;"|"&amp;C$16,Dados!$A$2:$A$57,0))="","",INDEX(Dados!$I$2:$I$57,MATCH($A19&amp;"|"&amp;C$16,Dados!$A$2:$A$57,0))/1000000),"")</f>
        <v>12042.53079327</v>
      </c>
      <c r="D19" s="14">
        <f>IFERROR(IF(INDEX(Dados!$I$2:$I$57,MATCH($A19&amp;"|"&amp;D$16,Dados!$A$2:$A$57,0))="","",INDEX(Dados!$I$2:$I$57,MATCH($A19&amp;"|"&amp;D$16,Dados!$A$2:$A$57,0))/1000000),"")</f>
        <v>12209.213113549999</v>
      </c>
      <c r="E19" s="14">
        <f>IFERROR(IF(INDEX(Dados!$I$2:$I$57,MATCH($A19&amp;"|"&amp;E$16,Dados!$A$2:$A$57,0))="","",INDEX(Dados!$I$2:$I$57,MATCH($A19&amp;"|"&amp;E$16,Dados!$A$2:$A$57,0))/1000000),"")</f>
        <v>12403.767717590001</v>
      </c>
      <c r="F19" s="14">
        <f>IFERROR(IF(INDEX(Dados!$I$2:$I$57,MATCH($A19&amp;"|"&amp;F$16,Dados!$A$2:$A$57,0))="","",INDEX(Dados!$I$2:$I$57,MATCH($A19&amp;"|"&amp;F$16,Dados!$A$2:$A$57,0))/1000000),"")</f>
        <v>12679.2442314</v>
      </c>
      <c r="G19" s="14">
        <f>IFERROR(IF(INDEX(Dados!$I$2:$I$57,MATCH($A19&amp;"|"&amp;G$16,Dados!$A$2:$A$57,0))="","",INDEX(Dados!$I$2:$I$57,MATCH($A19&amp;"|"&amp;G$16,Dados!$A$2:$A$57,0))/1000000),"")</f>
        <v>13129.93199092</v>
      </c>
      <c r="H19" s="14">
        <f>IFERROR(IF(INDEX(Dados!$I$2:$I$57,MATCH($A19&amp;"|"&amp;H$16,Dados!$A$2:$A$57,0))="","",INDEX(Dados!$I$2:$I$57,MATCH($A19&amp;"|"&amp;H$16,Dados!$A$2:$A$57,0))/1000000),"")</f>
        <v>13699.69962575</v>
      </c>
      <c r="I19" s="14">
        <f>IFERROR(IF(INDEX(Dados!$I$2:$I$57,MATCH($A19&amp;"|"&amp;I$16,Dados!$A$2:$A$57,0))="","",INDEX(Dados!$I$2:$I$57,MATCH($A19&amp;"|"&amp;I$16,Dados!$A$2:$A$57,0))/1000000),"")</f>
        <v>14428.210252840001</v>
      </c>
      <c r="J19" s="14">
        <f>IFERROR(IF(INDEX(Dados!$I$2:$I$57,MATCH($A19&amp;"|"&amp;J$16,Dados!$A$2:$A$57,0))="","",INDEX(Dados!$I$2:$I$57,MATCH($A19&amp;"|"&amp;J$16,Dados!$A$2:$A$57,0))/1000000),"")</f>
        <v>14776.58821921</v>
      </c>
    </row>
    <row r="20" spans="1:10" x14ac:dyDescent="0.25">
      <c r="A20" s="8" t="s">
        <v>21</v>
      </c>
      <c r="B20" s="9" t="s">
        <v>20</v>
      </c>
      <c r="C20" s="14">
        <f>IFERROR(IF(INDEX(Dados!$I$2:$I$57,MATCH($A20&amp;"|"&amp;C$16,Dados!$A$2:$A$57,0))="","",INDEX(Dados!$I$2:$I$57,MATCH($A20&amp;"|"&amp;C$16,Dados!$A$2:$A$57,0))/1000000),"")</f>
        <v>72.799886889999996</v>
      </c>
      <c r="D20" s="14">
        <f>IFERROR(IF(INDEX(Dados!$I$2:$I$57,MATCH($A20&amp;"|"&amp;D$16,Dados!$A$2:$A$57,0))="","",INDEX(Dados!$I$2:$I$57,MATCH($A20&amp;"|"&amp;D$16,Dados!$A$2:$A$57,0))/1000000),"")</f>
        <v>76.226899519999989</v>
      </c>
      <c r="E20" s="14">
        <f>IFERROR(IF(INDEX(Dados!$I$2:$I$57,MATCH($A20&amp;"|"&amp;E$16,Dados!$A$2:$A$57,0))="","",INDEX(Dados!$I$2:$I$57,MATCH($A20&amp;"|"&amp;E$16,Dados!$A$2:$A$57,0))/1000000),"")</f>
        <v>79.717785280000001</v>
      </c>
      <c r="F20" s="14">
        <f>IFERROR(IF(INDEX(Dados!$I$2:$I$57,MATCH($A20&amp;"|"&amp;F$16,Dados!$A$2:$A$57,0))="","",INDEX(Dados!$I$2:$I$57,MATCH($A20&amp;"|"&amp;F$16,Dados!$A$2:$A$57,0))/1000000),"")</f>
        <v>81.883175449999996</v>
      </c>
      <c r="G20" s="14">
        <f>IFERROR(IF(INDEX(Dados!$I$2:$I$57,MATCH($A20&amp;"|"&amp;G$16,Dados!$A$2:$A$57,0))="","",INDEX(Dados!$I$2:$I$57,MATCH($A20&amp;"|"&amp;G$16,Dados!$A$2:$A$57,0))/1000000),"")</f>
        <v>85.940567849999994</v>
      </c>
      <c r="H20" s="14">
        <f>IFERROR(IF(INDEX(Dados!$I$2:$I$57,MATCH($A20&amp;"|"&amp;H$16,Dados!$A$2:$A$57,0))="","",INDEX(Dados!$I$2:$I$57,MATCH($A20&amp;"|"&amp;H$16,Dados!$A$2:$A$57,0))/1000000),"")</f>
        <v>94.144941750000001</v>
      </c>
      <c r="I20" s="14">
        <f>IFERROR(IF(INDEX(Dados!$I$2:$I$57,MATCH($A20&amp;"|"&amp;I$16,Dados!$A$2:$A$57,0))="","",INDEX(Dados!$I$2:$I$57,MATCH($A20&amp;"|"&amp;I$16,Dados!$A$2:$A$57,0))/1000000),"")</f>
        <v>97.568358540000006</v>
      </c>
      <c r="J20" s="14">
        <f>IFERROR(IF(INDEX(Dados!$I$2:$I$57,MATCH($A20&amp;"|"&amp;J$16,Dados!$A$2:$A$57,0))="","",INDEX(Dados!$I$2:$I$57,MATCH($A20&amp;"|"&amp;J$16,Dados!$A$2:$A$57,0))/1000000),"")</f>
        <v>100.08928363</v>
      </c>
    </row>
    <row r="21" spans="1:10" x14ac:dyDescent="0.25">
      <c r="A21" s="8" t="s">
        <v>22</v>
      </c>
      <c r="B21" s="9" t="s">
        <v>22</v>
      </c>
      <c r="C21" s="14">
        <f>IFERROR(IF(INDEX(Dados!$I$2:$I$57,MATCH($A21&amp;"|"&amp;C$16,Dados!$A$2:$A$57,0))="","",INDEX(Dados!$I$2:$I$57,MATCH($A21&amp;"|"&amp;C$16,Dados!$A$2:$A$57,0))/1000000),"")</f>
        <v>1027.2210586799999</v>
      </c>
      <c r="D21" s="14">
        <f>IFERROR(IF(INDEX(Dados!$I$2:$I$57,MATCH($A21&amp;"|"&amp;D$16,Dados!$A$2:$A$57,0))="","",INDEX(Dados!$I$2:$I$57,MATCH($A21&amp;"|"&amp;D$16,Dados!$A$2:$A$57,0))/1000000),"")</f>
        <v>987.17904420000002</v>
      </c>
      <c r="E21" s="14">
        <f>IFERROR(IF(INDEX(Dados!$I$2:$I$57,MATCH($A21&amp;"|"&amp;E$16,Dados!$A$2:$A$57,0))="","",INDEX(Dados!$I$2:$I$57,MATCH($A21&amp;"|"&amp;E$16,Dados!$A$2:$A$57,0))/1000000),"")</f>
        <v>955.82254963000003</v>
      </c>
      <c r="F21" s="14">
        <f>IFERROR(IF(INDEX(Dados!$I$2:$I$57,MATCH($A21&amp;"|"&amp;F$16,Dados!$A$2:$A$57,0))="","",INDEX(Dados!$I$2:$I$57,MATCH($A21&amp;"|"&amp;F$16,Dados!$A$2:$A$57,0))/1000000),"")</f>
        <v>1245.64644028</v>
      </c>
      <c r="G21" s="14">
        <f>IFERROR(IF(INDEX(Dados!$I$2:$I$57,MATCH($A21&amp;"|"&amp;G$16,Dados!$A$2:$A$57,0))="","",INDEX(Dados!$I$2:$I$57,MATCH($A21&amp;"|"&amp;G$16,Dados!$A$2:$A$57,0))/1000000),"")</f>
        <v>1293.4252486099999</v>
      </c>
      <c r="H21" s="14">
        <f>IFERROR(IF(INDEX(Dados!$I$2:$I$57,MATCH($A21&amp;"|"&amp;H$16,Dados!$A$2:$A$57,0))="","",INDEX(Dados!$I$2:$I$57,MATCH($A21&amp;"|"&amp;H$16,Dados!$A$2:$A$57,0))/1000000),"")</f>
        <v>1361.0175170499999</v>
      </c>
      <c r="I21" s="14">
        <f>IFERROR(IF(INDEX(Dados!$I$2:$I$57,MATCH($A21&amp;"|"&amp;I$16,Dados!$A$2:$A$57,0))="","",INDEX(Dados!$I$2:$I$57,MATCH($A21&amp;"|"&amp;I$16,Dados!$A$2:$A$57,0))/1000000),"")</f>
        <v>1398.5536236199998</v>
      </c>
      <c r="J21" s="14">
        <f>IFERROR(IF(INDEX(Dados!$I$2:$I$57,MATCH($A21&amp;"|"&amp;J$16,Dados!$A$2:$A$57,0))="","",INDEX(Dados!$I$2:$I$57,MATCH($A21&amp;"|"&amp;J$16,Dados!$A$2:$A$57,0))/1000000),"")</f>
        <v>1424.52552711</v>
      </c>
    </row>
    <row r="22" spans="1:10" x14ac:dyDescent="0.25">
      <c r="A22" s="8" t="s">
        <v>23</v>
      </c>
      <c r="B22" s="9" t="s">
        <v>23</v>
      </c>
      <c r="C22" s="14">
        <f>IFERROR(IF(INDEX(Dados!$I$2:$I$57,MATCH($A22&amp;"|"&amp;C$16,Dados!$A$2:$A$57,0))="","",INDEX(Dados!$I$2:$I$57,MATCH($A22&amp;"|"&amp;C$16,Dados!$A$2:$A$57,0))/1000000),"")</f>
        <v>714.78307708</v>
      </c>
      <c r="D22" s="14">
        <f>IFERROR(IF(INDEX(Dados!$I$2:$I$57,MATCH($A22&amp;"|"&amp;D$16,Dados!$A$2:$A$57,0))="","",INDEX(Dados!$I$2:$I$57,MATCH($A22&amp;"|"&amp;D$16,Dados!$A$2:$A$57,0))/1000000),"")</f>
        <v>751.96873626000001</v>
      </c>
      <c r="E22" s="14">
        <f>IFERROR(IF(INDEX(Dados!$I$2:$I$57,MATCH($A22&amp;"|"&amp;E$16,Dados!$A$2:$A$57,0))="","",INDEX(Dados!$I$2:$I$57,MATCH($A22&amp;"|"&amp;E$16,Dados!$A$2:$A$57,0))/1000000),"")</f>
        <v>811.34048854999992</v>
      </c>
      <c r="F22" s="14">
        <f>IFERROR(IF(INDEX(Dados!$I$2:$I$57,MATCH($A22&amp;"|"&amp;F$16,Dados!$A$2:$A$57,0))="","",INDEX(Dados!$I$2:$I$57,MATCH($A22&amp;"|"&amp;F$16,Dados!$A$2:$A$57,0))/1000000),"")</f>
        <v>865.85164024999995</v>
      </c>
      <c r="G22" s="14">
        <f>IFERROR(IF(INDEX(Dados!$I$2:$I$57,MATCH($A22&amp;"|"&amp;G$16,Dados!$A$2:$A$57,0))="","",INDEX(Dados!$I$2:$I$57,MATCH($A22&amp;"|"&amp;G$16,Dados!$A$2:$A$57,0))/1000000),"")</f>
        <v>942.62967890999994</v>
      </c>
      <c r="H22" s="14">
        <f>IFERROR(IF(INDEX(Dados!$I$2:$I$57,MATCH($A22&amp;"|"&amp;H$16,Dados!$A$2:$A$57,0))="","",INDEX(Dados!$I$2:$I$57,MATCH($A22&amp;"|"&amp;H$16,Dados!$A$2:$A$57,0))/1000000),"")</f>
        <v>1087.04192842</v>
      </c>
      <c r="I22" s="14">
        <f>IFERROR(IF(INDEX(Dados!$I$2:$I$57,MATCH($A22&amp;"|"&amp;I$16,Dados!$A$2:$A$57,0))="","",INDEX(Dados!$I$2:$I$57,MATCH($A22&amp;"|"&amp;I$16,Dados!$A$2:$A$57,0))/1000000),"")</f>
        <v>1237.6392889900001</v>
      </c>
      <c r="J22" s="14">
        <f>IFERROR(IF(INDEX(Dados!$I$2:$I$57,MATCH($A22&amp;"|"&amp;J$16,Dados!$A$2:$A$57,0))="","",INDEX(Dados!$I$2:$I$57,MATCH($A22&amp;"|"&amp;J$16,Dados!$A$2:$A$57,0))/1000000),"")</f>
        <v>1296.43622811</v>
      </c>
    </row>
    <row r="23" spans="1:10" x14ac:dyDescent="0.25">
      <c r="A23" s="8" t="s">
        <v>24</v>
      </c>
      <c r="B23" s="9" t="s">
        <v>24</v>
      </c>
      <c r="C23" s="14">
        <f>IFERROR(IF(INDEX(Dados!$I$2:$I$57,MATCH($A23&amp;"|"&amp;C$16,Dados!$A$2:$A$57,0))="","",INDEX(Dados!$I$2:$I$57,MATCH($A23&amp;"|"&amp;C$16,Dados!$A$2:$A$57,0))/1000000),"")</f>
        <v>2944.2498173899999</v>
      </c>
      <c r="D23" s="14">
        <f>IFERROR(IF(INDEX(Dados!$I$2:$I$57,MATCH($A23&amp;"|"&amp;D$16,Dados!$A$2:$A$57,0))="","",INDEX(Dados!$I$2:$I$57,MATCH($A23&amp;"|"&amp;D$16,Dados!$A$2:$A$57,0))/1000000),"")</f>
        <v>3078.3948102700001</v>
      </c>
      <c r="E23" s="14">
        <f>IFERROR(IF(INDEX(Dados!$I$2:$I$57,MATCH($A23&amp;"|"&amp;E$16,Dados!$A$2:$A$57,0))="","",INDEX(Dados!$I$2:$I$57,MATCH($A23&amp;"|"&amp;E$16,Dados!$A$2:$A$57,0))/1000000),"")</f>
        <v>3222.6456270799999</v>
      </c>
      <c r="F23" s="14">
        <f>IFERROR(IF(INDEX(Dados!$I$2:$I$57,MATCH($A23&amp;"|"&amp;F$16,Dados!$A$2:$A$57,0))="","",INDEX(Dados!$I$2:$I$57,MATCH($A23&amp;"|"&amp;F$16,Dados!$A$2:$A$57,0))/1000000),"")</f>
        <v>3396.9636293600001</v>
      </c>
      <c r="G23" s="14">
        <f>IFERROR(IF(INDEX(Dados!$I$2:$I$57,MATCH($A23&amp;"|"&amp;G$16,Dados!$A$2:$A$57,0))="","",INDEX(Dados!$I$2:$I$57,MATCH($A23&amp;"|"&amp;G$16,Dados!$A$2:$A$57,0))/1000000),"")</f>
        <v>3614.2110208099998</v>
      </c>
      <c r="H23" s="14">
        <f>IFERROR(IF(INDEX(Dados!$I$2:$I$57,MATCH($A23&amp;"|"&amp;H$16,Dados!$A$2:$A$57,0))="","",INDEX(Dados!$I$2:$I$57,MATCH($A23&amp;"|"&amp;H$16,Dados!$A$2:$A$57,0))/1000000),"")</f>
        <v>3642.1941952100001</v>
      </c>
      <c r="I23" s="14">
        <f>IFERROR(IF(INDEX(Dados!$I$2:$I$57,MATCH($A23&amp;"|"&amp;I$16,Dados!$A$2:$A$57,0))="","",INDEX(Dados!$I$2:$I$57,MATCH($A23&amp;"|"&amp;I$16,Dados!$A$2:$A$57,0))/1000000),"")</f>
        <v>3412.5837244499999</v>
      </c>
      <c r="J23" s="14">
        <f>IFERROR(IF(INDEX(Dados!$I$2:$I$57,MATCH($A23&amp;"|"&amp;J$16,Dados!$A$2:$A$57,0))="","",INDEX(Dados!$I$2:$I$57,MATCH($A23&amp;"|"&amp;J$16,Dados!$A$2:$A$57,0))/1000000),"")</f>
        <v>3933.5268784200002</v>
      </c>
    </row>
    <row r="25" spans="1:10" x14ac:dyDescent="0.25">
      <c r="A25" s="2" t="s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5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29</v>
      </c>
      <c r="B1" s="4" t="s">
        <v>3</v>
      </c>
      <c r="C1" s="4" t="s">
        <v>4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4" t="s">
        <v>36</v>
      </c>
      <c r="K1" s="4" t="s">
        <v>37</v>
      </c>
      <c r="L1" s="4" t="s">
        <v>38</v>
      </c>
      <c r="M1" s="4" t="s">
        <v>39</v>
      </c>
      <c r="N1" s="4" t="s">
        <v>40</v>
      </c>
      <c r="O1" s="4" t="s">
        <v>41</v>
      </c>
      <c r="P1" s="4" t="s">
        <v>42</v>
      </c>
      <c r="Q1" s="4" t="s">
        <v>43</v>
      </c>
      <c r="R1" s="4" t="s">
        <v>44</v>
      </c>
      <c r="S1" s="4" t="s">
        <v>45</v>
      </c>
      <c r="T1" s="4" t="s">
        <v>46</v>
      </c>
      <c r="U1" s="4" t="s">
        <v>47</v>
      </c>
    </row>
    <row r="2" spans="1:21" x14ac:dyDescent="0.25">
      <c r="A2" s="9" t="str">
        <f t="shared" ref="A2:A33" si="0">B2&amp;"|"&amp;G2</f>
        <v>Governo|1º quad. 2024</v>
      </c>
      <c r="B2" s="9" t="s">
        <v>15</v>
      </c>
      <c r="C2" s="9" t="s">
        <v>16</v>
      </c>
      <c r="D2" s="9" t="s">
        <v>48</v>
      </c>
      <c r="E2" s="9" t="s">
        <v>49</v>
      </c>
      <c r="F2" s="9">
        <v>1</v>
      </c>
      <c r="G2" s="9" t="s">
        <v>5</v>
      </c>
      <c r="H2" s="9" t="s">
        <v>50</v>
      </c>
      <c r="I2" s="15">
        <v>100545734569.95</v>
      </c>
      <c r="J2" s="15">
        <v>234947656103.41</v>
      </c>
      <c r="K2" s="10">
        <f t="shared" ref="K2:K33" si="1">IF(OR(I2="",J2="",J2=0),"",I2/J2)</f>
        <v>0.42794951112726037</v>
      </c>
      <c r="L2" s="16">
        <v>0.4279</v>
      </c>
      <c r="M2" s="9" t="str">
        <f t="shared" ref="M2:M33" si="2">IF(L2="","Não declarado",IF(K2="","Sem dado",IF(ABS(K2-L2)&lt;=0.00005,"Sim","Não")))</f>
        <v>Sim</v>
      </c>
      <c r="N2" s="16">
        <v>0.49</v>
      </c>
      <c r="O2" s="16">
        <v>0.46550000000000002</v>
      </c>
      <c r="P2" s="16">
        <v>0.441</v>
      </c>
      <c r="Q2" s="15">
        <v>115124351490.67</v>
      </c>
      <c r="R2" s="15">
        <v>109368133916.14</v>
      </c>
      <c r="S2" s="15">
        <v>103611916341.60001</v>
      </c>
      <c r="T2" s="9" t="str">
        <f t="shared" ref="T2:T33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Abaixo do limite de alerta</v>
      </c>
      <c r="U2" s="9" t="s">
        <v>51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48</v>
      </c>
      <c r="E3" s="9" t="s">
        <v>49</v>
      </c>
      <c r="F3" s="9">
        <v>2</v>
      </c>
      <c r="G3" s="9" t="s">
        <v>6</v>
      </c>
      <c r="H3" s="9" t="s">
        <v>52</v>
      </c>
      <c r="I3" s="15">
        <v>103931259283.86</v>
      </c>
      <c r="J3" s="15">
        <v>243358481388.19</v>
      </c>
      <c r="K3" s="10">
        <f t="shared" si="1"/>
        <v>0.42707062721218847</v>
      </c>
      <c r="L3" s="16">
        <v>0.42709999999999998</v>
      </c>
      <c r="M3" s="9" t="str">
        <f t="shared" si="2"/>
        <v>Sim</v>
      </c>
      <c r="N3" s="16">
        <v>0.49</v>
      </c>
      <c r="O3" s="16">
        <v>0.46550000000000002</v>
      </c>
      <c r="P3" s="16">
        <v>0.441</v>
      </c>
      <c r="Q3" s="15">
        <v>119245655880.21001</v>
      </c>
      <c r="R3" s="15">
        <v>113283373086.2</v>
      </c>
      <c r="S3" s="15">
        <v>107321090292.19</v>
      </c>
      <c r="T3" s="9" t="str">
        <f t="shared" si="3"/>
        <v>Abaixo do limite de alerta</v>
      </c>
      <c r="U3" s="9" t="s">
        <v>51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48</v>
      </c>
      <c r="E4" s="9" t="s">
        <v>49</v>
      </c>
      <c r="F4" s="9">
        <v>3</v>
      </c>
      <c r="G4" s="9" t="s">
        <v>7</v>
      </c>
      <c r="H4" s="9" t="s">
        <v>53</v>
      </c>
      <c r="I4" s="15">
        <v>105811548439.06</v>
      </c>
      <c r="J4" s="15">
        <v>250793910488.38</v>
      </c>
      <c r="K4" s="10">
        <f t="shared" si="1"/>
        <v>0.42190637018661803</v>
      </c>
      <c r="L4" s="16">
        <v>0.4219</v>
      </c>
      <c r="M4" s="9" t="str">
        <f t="shared" si="2"/>
        <v>Sim</v>
      </c>
      <c r="N4" s="16">
        <v>0.49</v>
      </c>
      <c r="O4" s="16">
        <v>0.46550000000000002</v>
      </c>
      <c r="P4" s="16">
        <v>0.441</v>
      </c>
      <c r="Q4" s="15">
        <v>122889016139.31</v>
      </c>
      <c r="R4" s="15">
        <v>116744565332.34</v>
      </c>
      <c r="S4" s="15">
        <v>110600114525.38</v>
      </c>
      <c r="T4" s="9" t="str">
        <f t="shared" si="3"/>
        <v>Abaixo do limite de alerta</v>
      </c>
      <c r="U4" s="9" t="s">
        <v>51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48</v>
      </c>
      <c r="E5" s="9" t="s">
        <v>54</v>
      </c>
      <c r="F5" s="9">
        <v>1</v>
      </c>
      <c r="G5" s="9" t="s">
        <v>8</v>
      </c>
      <c r="H5" s="9" t="s">
        <v>55</v>
      </c>
      <c r="I5" s="15">
        <v>107383358407.94</v>
      </c>
      <c r="J5" s="15">
        <v>256860683783.81</v>
      </c>
      <c r="K5" s="10">
        <f t="shared" si="1"/>
        <v>0.4180607044491112</v>
      </c>
      <c r="L5" s="16">
        <v>0.41810000000000003</v>
      </c>
      <c r="M5" s="9" t="str">
        <f t="shared" si="2"/>
        <v>Sim</v>
      </c>
      <c r="N5" s="16">
        <v>0.49</v>
      </c>
      <c r="O5" s="16">
        <v>0.46550000000000002</v>
      </c>
      <c r="P5" s="16">
        <v>0.441</v>
      </c>
      <c r="Q5" s="15">
        <v>125861735054.07001</v>
      </c>
      <c r="R5" s="15">
        <v>119568648301.37</v>
      </c>
      <c r="S5" s="15">
        <v>113275561548.66</v>
      </c>
      <c r="T5" s="9" t="str">
        <f t="shared" si="3"/>
        <v>Abaixo do limite de alerta</v>
      </c>
      <c r="U5" s="9" t="s">
        <v>51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48</v>
      </c>
      <c r="E6" s="9" t="s">
        <v>54</v>
      </c>
      <c r="F6" s="9">
        <v>2</v>
      </c>
      <c r="G6" s="9" t="s">
        <v>9</v>
      </c>
      <c r="H6" s="9" t="s">
        <v>56</v>
      </c>
      <c r="I6" s="15">
        <v>108970092566.45</v>
      </c>
      <c r="J6" s="15">
        <v>259389753280.57999</v>
      </c>
      <c r="K6" s="10">
        <f t="shared" si="1"/>
        <v>0.42010176264972909</v>
      </c>
      <c r="L6" s="16">
        <v>0.42009999999999997</v>
      </c>
      <c r="M6" s="9" t="str">
        <f t="shared" si="2"/>
        <v>Sim</v>
      </c>
      <c r="N6" s="16">
        <v>0.49</v>
      </c>
      <c r="O6" s="16">
        <v>0.46550000000000002</v>
      </c>
      <c r="P6" s="16">
        <v>0.441</v>
      </c>
      <c r="Q6" s="15">
        <v>127100979107.48</v>
      </c>
      <c r="R6" s="15">
        <v>120745930152.11</v>
      </c>
      <c r="S6" s="15">
        <v>114390881196.73</v>
      </c>
      <c r="T6" s="9" t="str">
        <f t="shared" si="3"/>
        <v>Abaixo do limite de alerta</v>
      </c>
      <c r="U6" s="9" t="s">
        <v>51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48</v>
      </c>
      <c r="E7" s="9" t="s">
        <v>54</v>
      </c>
      <c r="F7" s="9">
        <v>3</v>
      </c>
      <c r="G7" s="9" t="s">
        <v>10</v>
      </c>
      <c r="H7" s="9" t="s">
        <v>57</v>
      </c>
      <c r="I7" s="15">
        <v>109727119797.17</v>
      </c>
      <c r="J7" s="15">
        <v>265761362580.37</v>
      </c>
      <c r="K7" s="10">
        <f t="shared" si="1"/>
        <v>0.41287837604304489</v>
      </c>
      <c r="L7" s="16">
        <v>0.41289999999999999</v>
      </c>
      <c r="M7" s="9" t="str">
        <f t="shared" si="2"/>
        <v>Sim</v>
      </c>
      <c r="N7" s="16">
        <v>0.49</v>
      </c>
      <c r="O7" s="16">
        <v>0.46550000000000002</v>
      </c>
      <c r="P7" s="16">
        <v>0.441</v>
      </c>
      <c r="Q7" s="15">
        <v>130223067664.38</v>
      </c>
      <c r="R7" s="15">
        <v>123711914281.16</v>
      </c>
      <c r="S7" s="15">
        <v>117200760897.94</v>
      </c>
      <c r="T7" s="9" t="str">
        <f t="shared" si="3"/>
        <v>Abaixo do limite de alerta</v>
      </c>
      <c r="U7" s="9" t="s">
        <v>51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48</v>
      </c>
      <c r="E8" s="9" t="s">
        <v>58</v>
      </c>
      <c r="F8" s="9">
        <v>1</v>
      </c>
      <c r="G8" s="9" t="s">
        <v>11</v>
      </c>
      <c r="H8" s="9" t="s">
        <v>59</v>
      </c>
      <c r="I8" s="15">
        <v>115007415475.2</v>
      </c>
      <c r="J8" s="15">
        <v>270315717268.75</v>
      </c>
      <c r="K8" s="10">
        <f t="shared" si="1"/>
        <v>0.42545589519257854</v>
      </c>
      <c r="L8" s="16">
        <v>0.42549999999999999</v>
      </c>
      <c r="M8" s="9" t="str">
        <f t="shared" si="2"/>
        <v>Sim</v>
      </c>
      <c r="N8" s="16">
        <v>0.49</v>
      </c>
      <c r="O8" s="16">
        <v>0.46550000000000002</v>
      </c>
      <c r="P8" s="16">
        <v>0.441</v>
      </c>
      <c r="Q8" s="15">
        <v>132454701461.69</v>
      </c>
      <c r="R8" s="15">
        <v>125831966388.61</v>
      </c>
      <c r="S8" s="15">
        <v>119209231315.52</v>
      </c>
      <c r="T8" s="9" t="str">
        <f t="shared" si="3"/>
        <v>Abaixo do limite de alerta</v>
      </c>
      <c r="U8" s="9" t="s">
        <v>51</v>
      </c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48</v>
      </c>
      <c r="E9" s="9" t="s">
        <v>58</v>
      </c>
      <c r="F9" s="9">
        <v>2</v>
      </c>
      <c r="G9" s="9" t="s">
        <v>12</v>
      </c>
      <c r="H9" s="9" t="s">
        <v>60</v>
      </c>
      <c r="I9" s="15">
        <v>118023183648.21001</v>
      </c>
      <c r="J9" s="15">
        <v>279170988510.08002</v>
      </c>
      <c r="K9" s="10">
        <f t="shared" si="1"/>
        <v>0.42276306817586295</v>
      </c>
      <c r="L9" s="16">
        <v>0.42280000000000001</v>
      </c>
      <c r="M9" s="9" t="str">
        <f t="shared" si="2"/>
        <v>Sim</v>
      </c>
      <c r="N9" s="16">
        <v>0.49</v>
      </c>
      <c r="O9" s="16">
        <v>0.46550000000000002</v>
      </c>
      <c r="P9" s="16">
        <v>0.441</v>
      </c>
      <c r="Q9" s="15">
        <v>136793784369.94</v>
      </c>
      <c r="R9" s="15">
        <v>129954095151.44</v>
      </c>
      <c r="S9" s="15">
        <v>123114405932.95</v>
      </c>
      <c r="T9" s="9" t="str">
        <f t="shared" si="3"/>
        <v>Abaixo do limite de alerta</v>
      </c>
      <c r="U9" s="9" t="s">
        <v>51</v>
      </c>
    </row>
    <row r="10" spans="1:21" x14ac:dyDescent="0.25">
      <c r="A10" s="9" t="str">
        <f t="shared" si="0"/>
        <v>Assembleia Legislativa|1º quad. 2024</v>
      </c>
      <c r="B10" s="9" t="s">
        <v>17</v>
      </c>
      <c r="C10" s="9" t="s">
        <v>18</v>
      </c>
      <c r="D10" s="9" t="s">
        <v>61</v>
      </c>
      <c r="E10" s="9" t="s">
        <v>49</v>
      </c>
      <c r="F10" s="9">
        <v>1</v>
      </c>
      <c r="G10" s="9" t="s">
        <v>5</v>
      </c>
      <c r="H10" s="9" t="s">
        <v>50</v>
      </c>
      <c r="I10" s="15">
        <v>1067628288.89</v>
      </c>
      <c r="J10" s="15">
        <v>234947656103.41</v>
      </c>
      <c r="K10" s="10">
        <f t="shared" si="1"/>
        <v>4.5441112569350062E-3</v>
      </c>
      <c r="L10" s="16">
        <v>4.5000000000000014E-3</v>
      </c>
      <c r="M10" s="9" t="str">
        <f t="shared" si="2"/>
        <v>Sim</v>
      </c>
      <c r="N10" s="16">
        <v>1.7500000000000002E-2</v>
      </c>
      <c r="O10" s="16">
        <v>1.66E-2</v>
      </c>
      <c r="P10" s="16">
        <v>1.5800000000000002E-2</v>
      </c>
      <c r="Q10" s="15">
        <v>4111583981.8099999</v>
      </c>
      <c r="R10" s="15">
        <v>3906004782.7199998</v>
      </c>
      <c r="S10" s="15">
        <v>3700425583.6300001</v>
      </c>
      <c r="T10" s="9" t="str">
        <f t="shared" si="3"/>
        <v>Abaixo do limite de alerta</v>
      </c>
      <c r="U10" s="9" t="s">
        <v>51</v>
      </c>
    </row>
    <row r="11" spans="1:21" x14ac:dyDescent="0.25">
      <c r="A11" s="9" t="str">
        <f t="shared" si="0"/>
        <v>Assembleia Legislativa|2º quad. 2024</v>
      </c>
      <c r="B11" s="9" t="s">
        <v>17</v>
      </c>
      <c r="C11" s="9" t="s">
        <v>18</v>
      </c>
      <c r="D11" s="9" t="s">
        <v>61</v>
      </c>
      <c r="E11" s="9" t="s">
        <v>49</v>
      </c>
      <c r="F11" s="9">
        <v>2</v>
      </c>
      <c r="G11" s="9" t="s">
        <v>6</v>
      </c>
      <c r="H11" s="9" t="s">
        <v>52</v>
      </c>
      <c r="I11" s="15">
        <v>1005145479.0599999</v>
      </c>
      <c r="J11" s="15">
        <v>243358481388.19</v>
      </c>
      <c r="K11" s="10">
        <f t="shared" si="1"/>
        <v>4.1303079856775393E-3</v>
      </c>
      <c r="L11" s="16">
        <v>4.0999999999999986E-3</v>
      </c>
      <c r="M11" s="9" t="str">
        <f t="shared" si="2"/>
        <v>Sim</v>
      </c>
      <c r="N11" s="16">
        <v>1.7500000000000002E-2</v>
      </c>
      <c r="O11" s="16">
        <v>1.66E-2</v>
      </c>
      <c r="P11" s="16">
        <v>1.5800000000000002E-2</v>
      </c>
      <c r="Q11" s="15">
        <v>4258773424.29</v>
      </c>
      <c r="R11" s="15">
        <v>4045834753.0799999</v>
      </c>
      <c r="S11" s="15">
        <v>3832896081.8600001</v>
      </c>
      <c r="T11" s="9" t="str">
        <f t="shared" si="3"/>
        <v>Abaixo do limite de alerta</v>
      </c>
      <c r="U11" s="9" t="s">
        <v>51</v>
      </c>
    </row>
    <row r="12" spans="1:21" x14ac:dyDescent="0.25">
      <c r="A12" s="9" t="str">
        <f t="shared" si="0"/>
        <v>Assembleia Legislativa|3º quad. 2024</v>
      </c>
      <c r="B12" s="9" t="s">
        <v>17</v>
      </c>
      <c r="C12" s="9" t="s">
        <v>18</v>
      </c>
      <c r="D12" s="9" t="s">
        <v>61</v>
      </c>
      <c r="E12" s="9" t="s">
        <v>49</v>
      </c>
      <c r="F12" s="9">
        <v>3</v>
      </c>
      <c r="G12" s="9" t="s">
        <v>7</v>
      </c>
      <c r="H12" s="9" t="s">
        <v>53</v>
      </c>
      <c r="I12" s="15">
        <v>896924023.80999994</v>
      </c>
      <c r="J12" s="15">
        <v>250793910488.38</v>
      </c>
      <c r="K12" s="10">
        <f t="shared" si="1"/>
        <v>3.5763389233151137E-3</v>
      </c>
      <c r="L12" s="16">
        <v>3.5999999999999999E-3</v>
      </c>
      <c r="M12" s="9" t="str">
        <f t="shared" si="2"/>
        <v>Sim</v>
      </c>
      <c r="N12" s="16">
        <v>1.7500000000000002E-2</v>
      </c>
      <c r="O12" s="16">
        <v>1.66E-2</v>
      </c>
      <c r="P12" s="16">
        <v>1.5800000000000002E-2</v>
      </c>
      <c r="Q12" s="15">
        <v>4388893433.5500002</v>
      </c>
      <c r="R12" s="15">
        <v>4169448761.8699999</v>
      </c>
      <c r="S12" s="15">
        <v>3950004090.1999998</v>
      </c>
      <c r="T12" s="9" t="str">
        <f t="shared" si="3"/>
        <v>Abaixo do limite de alerta</v>
      </c>
      <c r="U12" s="9" t="s">
        <v>51</v>
      </c>
    </row>
    <row r="13" spans="1:21" x14ac:dyDescent="0.25">
      <c r="A13" s="9" t="str">
        <f t="shared" si="0"/>
        <v>Assembleia Legislativa|1º quad. 2025</v>
      </c>
      <c r="B13" s="9" t="s">
        <v>17</v>
      </c>
      <c r="C13" s="9" t="s">
        <v>18</v>
      </c>
      <c r="D13" s="9" t="s">
        <v>61</v>
      </c>
      <c r="E13" s="9" t="s">
        <v>54</v>
      </c>
      <c r="F13" s="9">
        <v>1</v>
      </c>
      <c r="G13" s="9" t="s">
        <v>8</v>
      </c>
      <c r="H13" s="9" t="s">
        <v>55</v>
      </c>
      <c r="I13" s="15">
        <v>1008838197.33</v>
      </c>
      <c r="J13" s="15">
        <v>256860683783.81</v>
      </c>
      <c r="K13" s="10">
        <f t="shared" si="1"/>
        <v>3.9275695387430386E-3</v>
      </c>
      <c r="L13" s="16">
        <v>3.8999999999999998E-3</v>
      </c>
      <c r="M13" s="9" t="str">
        <f t="shared" si="2"/>
        <v>Sim</v>
      </c>
      <c r="N13" s="16">
        <v>1.7500000000000002E-2</v>
      </c>
      <c r="O13" s="16">
        <v>1.66E-2</v>
      </c>
      <c r="P13" s="16">
        <v>1.5800000000000002E-2</v>
      </c>
      <c r="Q13" s="15">
        <v>4495061966.2200003</v>
      </c>
      <c r="R13" s="15">
        <v>4270308867.9099998</v>
      </c>
      <c r="S13" s="15">
        <v>4045555769.5999999</v>
      </c>
      <c r="T13" s="9" t="str">
        <f t="shared" si="3"/>
        <v>Abaixo do limite de alerta</v>
      </c>
      <c r="U13" s="9" t="s">
        <v>51</v>
      </c>
    </row>
    <row r="14" spans="1:21" x14ac:dyDescent="0.25">
      <c r="A14" s="9" t="str">
        <f t="shared" si="0"/>
        <v>Assembleia Legislativa|2º quad. 2025</v>
      </c>
      <c r="B14" s="9" t="s">
        <v>17</v>
      </c>
      <c r="C14" s="9" t="s">
        <v>18</v>
      </c>
      <c r="D14" s="9" t="s">
        <v>61</v>
      </c>
      <c r="E14" s="9" t="s">
        <v>54</v>
      </c>
      <c r="F14" s="9">
        <v>2</v>
      </c>
      <c r="G14" s="9" t="s">
        <v>9</v>
      </c>
      <c r="H14" s="9" t="s">
        <v>56</v>
      </c>
      <c r="I14" s="15">
        <v>1117290393.54</v>
      </c>
      <c r="J14" s="15">
        <v>259389753280.57999</v>
      </c>
      <c r="K14" s="10">
        <f t="shared" si="1"/>
        <v>4.3073806093312994E-3</v>
      </c>
      <c r="L14" s="16">
        <v>4.3E-3</v>
      </c>
      <c r="M14" s="9" t="str">
        <f t="shared" si="2"/>
        <v>Sim</v>
      </c>
      <c r="N14" s="16">
        <v>1.7500000000000002E-2</v>
      </c>
      <c r="O14" s="16">
        <v>1.66E-2</v>
      </c>
      <c r="P14" s="16">
        <v>1.5800000000000002E-2</v>
      </c>
      <c r="Q14" s="15">
        <v>4539320682.4099998</v>
      </c>
      <c r="R14" s="15">
        <v>4312354648.29</v>
      </c>
      <c r="S14" s="15">
        <v>4085388614.1700001</v>
      </c>
      <c r="T14" s="9" t="str">
        <f t="shared" si="3"/>
        <v>Abaixo do limite de alerta</v>
      </c>
      <c r="U14" s="9" t="s">
        <v>51</v>
      </c>
    </row>
    <row r="15" spans="1:21" x14ac:dyDescent="0.25">
      <c r="A15" s="9" t="str">
        <f t="shared" si="0"/>
        <v>Assembleia Legislativa|3º quad. 2025</v>
      </c>
      <c r="B15" s="9" t="s">
        <v>17</v>
      </c>
      <c r="C15" s="9" t="s">
        <v>18</v>
      </c>
      <c r="D15" s="9" t="s">
        <v>61</v>
      </c>
      <c r="E15" s="9" t="s">
        <v>54</v>
      </c>
      <c r="F15" s="9">
        <v>3</v>
      </c>
      <c r="G15" s="9" t="s">
        <v>10</v>
      </c>
      <c r="H15" s="9" t="s">
        <v>57</v>
      </c>
      <c r="I15" s="15">
        <v>1250467777.49</v>
      </c>
      <c r="J15" s="15">
        <v>265761362580.37</v>
      </c>
      <c r="K15" s="10">
        <f t="shared" si="1"/>
        <v>4.7052278982496597E-3</v>
      </c>
      <c r="L15" s="16">
        <v>4.6999999999999993E-3</v>
      </c>
      <c r="M15" s="9" t="str">
        <f t="shared" si="2"/>
        <v>Sim</v>
      </c>
      <c r="N15" s="16">
        <v>1.7500000000000002E-2</v>
      </c>
      <c r="O15" s="16">
        <v>1.66E-2</v>
      </c>
      <c r="P15" s="16">
        <v>1.5800000000000002E-2</v>
      </c>
      <c r="Q15" s="15">
        <v>4650823845.1599998</v>
      </c>
      <c r="R15" s="15">
        <v>4418282652.8999996</v>
      </c>
      <c r="S15" s="15">
        <v>4185741460.6399999</v>
      </c>
      <c r="T15" s="9" t="str">
        <f t="shared" si="3"/>
        <v>Abaixo do limite de alerta</v>
      </c>
      <c r="U15" s="9" t="s">
        <v>51</v>
      </c>
    </row>
    <row r="16" spans="1:21" x14ac:dyDescent="0.25">
      <c r="A16" s="9" t="str">
        <f t="shared" si="0"/>
        <v>Assembleia Legislativa|1º quad. 2026</v>
      </c>
      <c r="B16" s="9" t="s">
        <v>17</v>
      </c>
      <c r="C16" s="9" t="s">
        <v>18</v>
      </c>
      <c r="D16" s="9" t="s">
        <v>61</v>
      </c>
      <c r="E16" s="9" t="s">
        <v>58</v>
      </c>
      <c r="F16" s="9">
        <v>1</v>
      </c>
      <c r="G16" s="9" t="s">
        <v>11</v>
      </c>
      <c r="H16" s="9" t="s">
        <v>59</v>
      </c>
      <c r="I16" s="15">
        <v>1277152857.47</v>
      </c>
      <c r="J16" s="15">
        <v>270315717268.75</v>
      </c>
      <c r="K16" s="10">
        <f t="shared" si="1"/>
        <v>4.7246711007937602E-3</v>
      </c>
      <c r="L16" s="16">
        <v>4.6999999999999993E-3</v>
      </c>
      <c r="M16" s="9" t="str">
        <f t="shared" si="2"/>
        <v>Sim</v>
      </c>
      <c r="N16" s="16">
        <v>1.7500000000000002E-2</v>
      </c>
      <c r="O16" s="16">
        <v>1.66E-2</v>
      </c>
      <c r="P16" s="16">
        <v>1.5800000000000002E-2</v>
      </c>
      <c r="Q16" s="15">
        <v>4730525052.1999998</v>
      </c>
      <c r="R16" s="15">
        <v>4493998799.5900002</v>
      </c>
      <c r="S16" s="15">
        <v>4257472546.98</v>
      </c>
      <c r="T16" s="9" t="str">
        <f t="shared" si="3"/>
        <v>Abaixo do limite de alerta</v>
      </c>
      <c r="U16" s="9" t="s">
        <v>51</v>
      </c>
    </row>
    <row r="17" spans="1:21" x14ac:dyDescent="0.25">
      <c r="A17" s="9" t="str">
        <f t="shared" si="0"/>
        <v>Assembleia Legislativa|2º quad. 2026</v>
      </c>
      <c r="B17" s="9" t="s">
        <v>17</v>
      </c>
      <c r="C17" s="9" t="s">
        <v>18</v>
      </c>
      <c r="D17" s="9" t="s">
        <v>61</v>
      </c>
      <c r="E17" s="9" t="s">
        <v>58</v>
      </c>
      <c r="F17" s="9">
        <v>2</v>
      </c>
      <c r="G17" s="9" t="s">
        <v>12</v>
      </c>
      <c r="H17" s="9" t="s">
        <v>60</v>
      </c>
      <c r="I17" s="15">
        <v>1294060517.4100001</v>
      </c>
      <c r="J17" s="15">
        <v>279170988510.08002</v>
      </c>
      <c r="K17" s="10">
        <f t="shared" si="1"/>
        <v>4.6353688981664205E-3</v>
      </c>
      <c r="L17" s="16">
        <v>4.5999999999999999E-3</v>
      </c>
      <c r="M17" s="9" t="str">
        <f t="shared" si="2"/>
        <v>Sim</v>
      </c>
      <c r="N17" s="16">
        <v>1.7500000000000002E-2</v>
      </c>
      <c r="O17" s="16">
        <v>1.66E-2</v>
      </c>
      <c r="P17" s="16">
        <v>1.5800000000000002E-2</v>
      </c>
      <c r="Q17" s="15">
        <v>4885492298.9300003</v>
      </c>
      <c r="R17" s="15">
        <v>4641217683.9799995</v>
      </c>
      <c r="S17" s="15">
        <v>4396943069.04</v>
      </c>
      <c r="T17" s="9" t="str">
        <f t="shared" si="3"/>
        <v>Abaixo do limite de alerta</v>
      </c>
      <c r="U17" s="9" t="s">
        <v>51</v>
      </c>
    </row>
    <row r="18" spans="1:21" x14ac:dyDescent="0.25">
      <c r="A18" s="9" t="str">
        <f t="shared" si="0"/>
        <v>Tribunal de Justiça|1º quad. 2024</v>
      </c>
      <c r="B18" s="9" t="s">
        <v>19</v>
      </c>
      <c r="C18" s="9" t="s">
        <v>20</v>
      </c>
      <c r="D18" s="9" t="s">
        <v>62</v>
      </c>
      <c r="E18" s="9" t="s">
        <v>49</v>
      </c>
      <c r="F18" s="9">
        <v>1</v>
      </c>
      <c r="G18" s="9" t="s">
        <v>5</v>
      </c>
      <c r="H18" s="9" t="s">
        <v>50</v>
      </c>
      <c r="I18" s="15">
        <v>12042530793.27</v>
      </c>
      <c r="J18" s="15">
        <v>234947656103.41</v>
      </c>
      <c r="K18" s="10">
        <f t="shared" si="1"/>
        <v>5.1256228697891731E-2</v>
      </c>
      <c r="L18" s="16">
        <v>5.1299999999999998E-2</v>
      </c>
      <c r="M18" s="9" t="str">
        <f t="shared" si="2"/>
        <v>Sim</v>
      </c>
      <c r="N18" s="16">
        <v>5.9499999999999997E-2</v>
      </c>
      <c r="O18" s="16">
        <v>5.6500000000000002E-2</v>
      </c>
      <c r="P18" s="16">
        <v>5.3600000000000002E-2</v>
      </c>
      <c r="Q18" s="15">
        <v>13979385538.15</v>
      </c>
      <c r="R18" s="15">
        <v>13280416261.24</v>
      </c>
      <c r="S18" s="15">
        <v>12581446984.34</v>
      </c>
      <c r="T18" s="9" t="str">
        <f t="shared" si="3"/>
        <v>Abaixo do limite de alerta</v>
      </c>
      <c r="U18" s="9" t="s">
        <v>51</v>
      </c>
    </row>
    <row r="19" spans="1:21" x14ac:dyDescent="0.25">
      <c r="A19" s="9" t="str">
        <f t="shared" si="0"/>
        <v>Tribunal de Justiça|2º quad. 2024</v>
      </c>
      <c r="B19" s="9" t="s">
        <v>19</v>
      </c>
      <c r="C19" s="9" t="s">
        <v>20</v>
      </c>
      <c r="D19" s="9" t="s">
        <v>62</v>
      </c>
      <c r="E19" s="9" t="s">
        <v>49</v>
      </c>
      <c r="F19" s="9">
        <v>2</v>
      </c>
      <c r="G19" s="9" t="s">
        <v>6</v>
      </c>
      <c r="H19" s="9" t="s">
        <v>52</v>
      </c>
      <c r="I19" s="15">
        <v>12209213113.549999</v>
      </c>
      <c r="J19" s="15">
        <v>243358481388.19</v>
      </c>
      <c r="K19" s="10">
        <f t="shared" si="1"/>
        <v>5.0169663468907985E-2</v>
      </c>
      <c r="L19" s="16">
        <v>5.0199999999999988E-2</v>
      </c>
      <c r="M19" s="9" t="str">
        <f t="shared" si="2"/>
        <v>Sim</v>
      </c>
      <c r="N19" s="16">
        <v>5.9499999999999997E-2</v>
      </c>
      <c r="O19" s="16">
        <v>5.6500000000000002E-2</v>
      </c>
      <c r="P19" s="16">
        <v>5.3600000000000002E-2</v>
      </c>
      <c r="Q19" s="15">
        <v>14479829642.6</v>
      </c>
      <c r="R19" s="15">
        <v>13755838160.469999</v>
      </c>
      <c r="S19" s="15">
        <v>13031846678.34</v>
      </c>
      <c r="T19" s="9" t="str">
        <f t="shared" si="3"/>
        <v>Abaixo do limite de alerta</v>
      </c>
      <c r="U19" s="9" t="s">
        <v>51</v>
      </c>
    </row>
    <row r="20" spans="1:21" x14ac:dyDescent="0.25">
      <c r="A20" s="9" t="str">
        <f t="shared" si="0"/>
        <v>Tribunal de Justiça|3º quad. 2024</v>
      </c>
      <c r="B20" s="9" t="s">
        <v>19</v>
      </c>
      <c r="C20" s="9" t="s">
        <v>20</v>
      </c>
      <c r="D20" s="9" t="s">
        <v>62</v>
      </c>
      <c r="E20" s="9" t="s">
        <v>49</v>
      </c>
      <c r="F20" s="9">
        <v>3</v>
      </c>
      <c r="G20" s="9" t="s">
        <v>7</v>
      </c>
      <c r="H20" s="9" t="s">
        <v>53</v>
      </c>
      <c r="I20" s="15">
        <v>12403767717.59</v>
      </c>
      <c r="J20" s="15">
        <v>250793910488.38</v>
      </c>
      <c r="K20" s="10">
        <f t="shared" si="1"/>
        <v>4.945800993905991E-2</v>
      </c>
      <c r="L20" s="16">
        <v>4.9500000000000002E-2</v>
      </c>
      <c r="M20" s="9" t="str">
        <f t="shared" si="2"/>
        <v>Sim</v>
      </c>
      <c r="N20" s="16">
        <v>5.9499999999999997E-2</v>
      </c>
      <c r="O20" s="16">
        <v>5.6500000000000002E-2</v>
      </c>
      <c r="P20" s="16">
        <v>5.3600000000000002E-2</v>
      </c>
      <c r="Q20" s="15">
        <v>14922237674.059999</v>
      </c>
      <c r="R20" s="15">
        <v>14176125790.360001</v>
      </c>
      <c r="S20" s="15">
        <v>13430013906.65</v>
      </c>
      <c r="T20" s="9" t="str">
        <f t="shared" si="3"/>
        <v>Abaixo do limite de alerta</v>
      </c>
      <c r="U20" s="9" t="s">
        <v>51</v>
      </c>
    </row>
    <row r="21" spans="1:21" x14ac:dyDescent="0.25">
      <c r="A21" s="9" t="str">
        <f t="shared" si="0"/>
        <v>Tribunal de Justiça|1º quad. 2025</v>
      </c>
      <c r="B21" s="9" t="s">
        <v>19</v>
      </c>
      <c r="C21" s="9" t="s">
        <v>20</v>
      </c>
      <c r="D21" s="9" t="s">
        <v>62</v>
      </c>
      <c r="E21" s="9" t="s">
        <v>54</v>
      </c>
      <c r="F21" s="9">
        <v>1</v>
      </c>
      <c r="G21" s="9" t="s">
        <v>8</v>
      </c>
      <c r="H21" s="9" t="s">
        <v>55</v>
      </c>
      <c r="I21" s="15">
        <v>12679244231.4</v>
      </c>
      <c r="J21" s="15">
        <v>256860683783.81</v>
      </c>
      <c r="K21" s="10">
        <f t="shared" si="1"/>
        <v>4.9362339321932368E-2</v>
      </c>
      <c r="L21" s="16">
        <v>4.9400000000000013E-2</v>
      </c>
      <c r="M21" s="9" t="str">
        <f t="shared" si="2"/>
        <v>Sim</v>
      </c>
      <c r="N21" s="16">
        <v>5.9499999999999997E-2</v>
      </c>
      <c r="O21" s="16">
        <v>5.6500000000000002E-2</v>
      </c>
      <c r="P21" s="16">
        <v>5.3600000000000002E-2</v>
      </c>
      <c r="Q21" s="15">
        <v>15283210685.139999</v>
      </c>
      <c r="R21" s="15">
        <v>14519050150.879999</v>
      </c>
      <c r="S21" s="15">
        <v>13754889616.629999</v>
      </c>
      <c r="T21" s="9" t="str">
        <f t="shared" si="3"/>
        <v>Abaixo do limite de alerta</v>
      </c>
      <c r="U21" s="9" t="s">
        <v>51</v>
      </c>
    </row>
    <row r="22" spans="1:21" x14ac:dyDescent="0.25">
      <c r="A22" s="9" t="str">
        <f t="shared" si="0"/>
        <v>Tribunal de Justiça|2º quad. 2025</v>
      </c>
      <c r="B22" s="9" t="s">
        <v>19</v>
      </c>
      <c r="C22" s="9" t="s">
        <v>20</v>
      </c>
      <c r="D22" s="9" t="s">
        <v>62</v>
      </c>
      <c r="E22" s="9" t="s">
        <v>54</v>
      </c>
      <c r="F22" s="9">
        <v>2</v>
      </c>
      <c r="G22" s="9" t="s">
        <v>9</v>
      </c>
      <c r="H22" s="9" t="s">
        <v>56</v>
      </c>
      <c r="I22" s="15">
        <v>13129931990.92</v>
      </c>
      <c r="J22" s="15">
        <v>259389753280.57999</v>
      </c>
      <c r="K22" s="10">
        <f t="shared" si="1"/>
        <v>5.0618545354478399E-2</v>
      </c>
      <c r="L22" s="16">
        <v>5.0599999999999999E-2</v>
      </c>
      <c r="M22" s="9" t="str">
        <f t="shared" si="2"/>
        <v>Sim</v>
      </c>
      <c r="N22" s="16">
        <v>5.9499999999999997E-2</v>
      </c>
      <c r="O22" s="16">
        <v>5.6500000000000002E-2</v>
      </c>
      <c r="P22" s="16">
        <v>5.3600000000000002E-2</v>
      </c>
      <c r="Q22" s="15">
        <v>15433690320.190001</v>
      </c>
      <c r="R22" s="15">
        <v>14662005804.18</v>
      </c>
      <c r="S22" s="15">
        <v>13890321288.17</v>
      </c>
      <c r="T22" s="9" t="str">
        <f t="shared" si="3"/>
        <v>Abaixo do limite de alerta</v>
      </c>
      <c r="U22" s="9" t="s">
        <v>51</v>
      </c>
    </row>
    <row r="23" spans="1:21" x14ac:dyDescent="0.25">
      <c r="A23" s="9" t="str">
        <f t="shared" si="0"/>
        <v>Tribunal de Justiça|3º quad. 2025</v>
      </c>
      <c r="B23" s="9" t="s">
        <v>19</v>
      </c>
      <c r="C23" s="9" t="s">
        <v>20</v>
      </c>
      <c r="D23" s="9" t="s">
        <v>62</v>
      </c>
      <c r="E23" s="9" t="s">
        <v>54</v>
      </c>
      <c r="F23" s="9">
        <v>3</v>
      </c>
      <c r="G23" s="9" t="s">
        <v>10</v>
      </c>
      <c r="H23" s="9" t="s">
        <v>57</v>
      </c>
      <c r="I23" s="15">
        <v>13699699625.75</v>
      </c>
      <c r="J23" s="15">
        <v>265761362580.37</v>
      </c>
      <c r="K23" s="10">
        <f t="shared" si="1"/>
        <v>5.1548876378171855E-2</v>
      </c>
      <c r="L23" s="16">
        <v>5.1499999999999997E-2</v>
      </c>
      <c r="M23" s="9" t="str">
        <f t="shared" si="2"/>
        <v>Sim</v>
      </c>
      <c r="N23" s="16">
        <v>5.9499999999999997E-2</v>
      </c>
      <c r="O23" s="16">
        <v>5.6500000000000002E-2</v>
      </c>
      <c r="P23" s="16">
        <v>5.3600000000000002E-2</v>
      </c>
      <c r="Q23" s="15">
        <v>15814139019.34</v>
      </c>
      <c r="R23" s="15">
        <v>15023432068.370001</v>
      </c>
      <c r="S23" s="15">
        <v>14232725117.41</v>
      </c>
      <c r="T23" s="9" t="str">
        <f t="shared" si="3"/>
        <v>Abaixo do limite de alerta</v>
      </c>
      <c r="U23" s="9" t="s">
        <v>51</v>
      </c>
    </row>
    <row r="24" spans="1:21" x14ac:dyDescent="0.25">
      <c r="A24" s="9" t="str">
        <f t="shared" si="0"/>
        <v>Tribunal de Justiça|1º quad. 2026</v>
      </c>
      <c r="B24" s="9" t="s">
        <v>19</v>
      </c>
      <c r="C24" s="9" t="s">
        <v>20</v>
      </c>
      <c r="D24" s="9" t="s">
        <v>62</v>
      </c>
      <c r="E24" s="9" t="s">
        <v>58</v>
      </c>
      <c r="F24" s="9">
        <v>1</v>
      </c>
      <c r="G24" s="9" t="s">
        <v>11</v>
      </c>
      <c r="H24" s="9" t="s">
        <v>59</v>
      </c>
      <c r="I24" s="15">
        <v>14428210252.84</v>
      </c>
      <c r="J24" s="15">
        <v>270315717268.75</v>
      </c>
      <c r="K24" s="10">
        <f t="shared" si="1"/>
        <v>5.3375402653687946E-2</v>
      </c>
      <c r="L24" s="16">
        <v>5.3400000000000003E-2</v>
      </c>
      <c r="M24" s="9" t="str">
        <f t="shared" si="2"/>
        <v>Sim</v>
      </c>
      <c r="N24" s="16">
        <v>5.9499999999999997E-2</v>
      </c>
      <c r="O24" s="16">
        <v>5.6500000000000002E-2</v>
      </c>
      <c r="P24" s="16">
        <v>5.3600000000000002E-2</v>
      </c>
      <c r="Q24" s="15">
        <v>16083785177.49</v>
      </c>
      <c r="R24" s="15">
        <v>15279595918.620001</v>
      </c>
      <c r="S24" s="15">
        <v>14475406659.74</v>
      </c>
      <c r="T24" s="9" t="str">
        <f t="shared" si="3"/>
        <v>Abaixo do limite de alerta</v>
      </c>
      <c r="U24" s="9" t="s">
        <v>51</v>
      </c>
    </row>
    <row r="25" spans="1:21" x14ac:dyDescent="0.25">
      <c r="A25" s="9" t="str">
        <f t="shared" si="0"/>
        <v>Tribunal de Justiça|2º quad. 2026</v>
      </c>
      <c r="B25" s="9" t="s">
        <v>19</v>
      </c>
      <c r="C25" s="9" t="s">
        <v>20</v>
      </c>
      <c r="D25" s="9" t="s">
        <v>62</v>
      </c>
      <c r="E25" s="9" t="s">
        <v>58</v>
      </c>
      <c r="F25" s="9">
        <v>2</v>
      </c>
      <c r="G25" s="9" t="s">
        <v>12</v>
      </c>
      <c r="H25" s="9" t="s">
        <v>60</v>
      </c>
      <c r="I25" s="15">
        <v>14776588219.209999</v>
      </c>
      <c r="J25" s="15">
        <v>279170988510.08002</v>
      </c>
      <c r="K25" s="10">
        <f t="shared" si="1"/>
        <v>5.2930242852496333E-2</v>
      </c>
      <c r="L25" s="16">
        <v>5.2900000000000003E-2</v>
      </c>
      <c r="M25" s="9" t="str">
        <f t="shared" si="2"/>
        <v>Sim</v>
      </c>
      <c r="N25" s="16">
        <v>5.9499999999999997E-2</v>
      </c>
      <c r="O25" s="16">
        <v>5.6500000000000002E-2</v>
      </c>
      <c r="P25" s="16">
        <v>5.3600000000000002E-2</v>
      </c>
      <c r="Q25" s="15">
        <v>16610673816.35</v>
      </c>
      <c r="R25" s="15">
        <v>15780140125.530001</v>
      </c>
      <c r="S25" s="15">
        <v>14949606434.719999</v>
      </c>
      <c r="T25" s="9" t="str">
        <f t="shared" si="3"/>
        <v>Abaixo do limite de alerta</v>
      </c>
      <c r="U25" s="9" t="s">
        <v>51</v>
      </c>
    </row>
    <row r="26" spans="1:21" x14ac:dyDescent="0.25">
      <c r="A26" s="9" t="str">
        <f t="shared" si="0"/>
        <v>Tribunal de Justiça Militar de São Paulo|1º quad. 2024</v>
      </c>
      <c r="B26" s="9" t="s">
        <v>21</v>
      </c>
      <c r="C26" s="9" t="s">
        <v>20</v>
      </c>
      <c r="D26" s="9" t="s">
        <v>21</v>
      </c>
      <c r="E26" s="9" t="s">
        <v>49</v>
      </c>
      <c r="F26" s="9">
        <v>1</v>
      </c>
      <c r="G26" s="9" t="s">
        <v>5</v>
      </c>
      <c r="H26" s="9" t="s">
        <v>50</v>
      </c>
      <c r="I26" s="15">
        <v>72799886.890000001</v>
      </c>
      <c r="J26" s="15">
        <v>234947656103.41</v>
      </c>
      <c r="K26" s="10">
        <f t="shared" si="1"/>
        <v>3.098557699931163E-4</v>
      </c>
      <c r="L26" s="16">
        <v>2.9999999999999997E-4</v>
      </c>
      <c r="M26" s="9" t="str">
        <f t="shared" si="2"/>
        <v>Sim</v>
      </c>
      <c r="N26" s="16">
        <v>5.0000000000000001E-4</v>
      </c>
      <c r="O26" s="16">
        <v>5.0000000000000001E-4</v>
      </c>
      <c r="P26" s="16">
        <v>5.0000000000000001E-4</v>
      </c>
      <c r="Q26" s="15">
        <v>117473828.05</v>
      </c>
      <c r="R26" s="15">
        <v>111600136.65000001</v>
      </c>
      <c r="S26" s="15">
        <v>105726445.25</v>
      </c>
      <c r="T26" s="9" t="str">
        <f t="shared" si="3"/>
        <v>Abaixo do limite de alerta</v>
      </c>
      <c r="U26" s="9" t="s">
        <v>51</v>
      </c>
    </row>
    <row r="27" spans="1:21" x14ac:dyDescent="0.25">
      <c r="A27" s="9" t="str">
        <f t="shared" si="0"/>
        <v>Tribunal de Justiça Militar de São Paulo|2º quad. 2024</v>
      </c>
      <c r="B27" s="9" t="s">
        <v>21</v>
      </c>
      <c r="C27" s="9" t="s">
        <v>20</v>
      </c>
      <c r="D27" s="9" t="s">
        <v>21</v>
      </c>
      <c r="E27" s="9" t="s">
        <v>49</v>
      </c>
      <c r="F27" s="9">
        <v>2</v>
      </c>
      <c r="G27" s="9" t="s">
        <v>6</v>
      </c>
      <c r="H27" s="9" t="s">
        <v>52</v>
      </c>
      <c r="I27" s="15">
        <v>76226899.519999996</v>
      </c>
      <c r="J27" s="15">
        <v>243358481388.19</v>
      </c>
      <c r="K27" s="10">
        <f t="shared" si="1"/>
        <v>3.1322885927451068E-4</v>
      </c>
      <c r="L27" s="16">
        <v>2.9999999999999997E-4</v>
      </c>
      <c r="M27" s="9" t="str">
        <f t="shared" si="2"/>
        <v>Sim</v>
      </c>
      <c r="N27" s="16">
        <v>5.0000000000000001E-4</v>
      </c>
      <c r="O27" s="16">
        <v>5.0000000000000001E-4</v>
      </c>
      <c r="P27" s="16">
        <v>5.0000000000000001E-4</v>
      </c>
      <c r="Q27" s="15">
        <v>121679240.69</v>
      </c>
      <c r="R27" s="15">
        <v>115595278.66</v>
      </c>
      <c r="S27" s="15">
        <v>109511316.62</v>
      </c>
      <c r="T27" s="9" t="str">
        <f t="shared" si="3"/>
        <v>Abaixo do limite de alerta</v>
      </c>
      <c r="U27" s="9" t="s">
        <v>51</v>
      </c>
    </row>
    <row r="28" spans="1:21" x14ac:dyDescent="0.25">
      <c r="A28" s="9" t="str">
        <f t="shared" si="0"/>
        <v>Tribunal de Justiça Militar de São Paulo|3º quad. 2024</v>
      </c>
      <c r="B28" s="9" t="s">
        <v>21</v>
      </c>
      <c r="C28" s="9" t="s">
        <v>20</v>
      </c>
      <c r="D28" s="9" t="s">
        <v>21</v>
      </c>
      <c r="E28" s="9" t="s">
        <v>49</v>
      </c>
      <c r="F28" s="9">
        <v>3</v>
      </c>
      <c r="G28" s="9" t="s">
        <v>7</v>
      </c>
      <c r="H28" s="9" t="s">
        <v>53</v>
      </c>
      <c r="I28" s="15">
        <v>79717785.280000001</v>
      </c>
      <c r="J28" s="15">
        <v>250793910488.38</v>
      </c>
      <c r="K28" s="10">
        <f t="shared" si="1"/>
        <v>3.1786172608721917E-4</v>
      </c>
      <c r="L28" s="16">
        <v>2.9999999999999997E-4</v>
      </c>
      <c r="M28" s="9" t="str">
        <f t="shared" si="2"/>
        <v>Sim</v>
      </c>
      <c r="N28" s="16">
        <v>5.0000000000000001E-4</v>
      </c>
      <c r="O28" s="16">
        <v>5.0000000000000001E-4</v>
      </c>
      <c r="P28" s="16">
        <v>5.0000000000000001E-4</v>
      </c>
      <c r="Q28" s="15">
        <v>125396955.23999999</v>
      </c>
      <c r="R28" s="15">
        <v>119127107.48</v>
      </c>
      <c r="S28" s="15">
        <v>112857259.72</v>
      </c>
      <c r="T28" s="9" t="str">
        <f t="shared" si="3"/>
        <v>Abaixo do limite de alerta</v>
      </c>
      <c r="U28" s="9" t="s">
        <v>51</v>
      </c>
    </row>
    <row r="29" spans="1:21" x14ac:dyDescent="0.25">
      <c r="A29" s="9" t="str">
        <f t="shared" si="0"/>
        <v>Tribunal de Justiça Militar de São Paulo|1º quad. 2025</v>
      </c>
      <c r="B29" s="9" t="s">
        <v>21</v>
      </c>
      <c r="C29" s="9" t="s">
        <v>20</v>
      </c>
      <c r="D29" s="9" t="s">
        <v>21</v>
      </c>
      <c r="E29" s="9" t="s">
        <v>54</v>
      </c>
      <c r="F29" s="9">
        <v>1</v>
      </c>
      <c r="G29" s="9" t="s">
        <v>8</v>
      </c>
      <c r="H29" s="9" t="s">
        <v>55</v>
      </c>
      <c r="I29" s="15">
        <v>81883175.450000003</v>
      </c>
      <c r="J29" s="15">
        <v>256860683783.81</v>
      </c>
      <c r="K29" s="10">
        <f t="shared" si="1"/>
        <v>3.1878438632094433E-4</v>
      </c>
      <c r="L29" s="16">
        <v>2.9999999999999997E-4</v>
      </c>
      <c r="M29" s="9" t="str">
        <f t="shared" si="2"/>
        <v>Sim</v>
      </c>
      <c r="N29" s="16">
        <v>5.0000000000000001E-4</v>
      </c>
      <c r="O29" s="16">
        <v>5.0000000000000001E-4</v>
      </c>
      <c r="P29" s="16">
        <v>5.0000000000000001E-4</v>
      </c>
      <c r="Q29" s="15">
        <v>128430341.89</v>
      </c>
      <c r="R29" s="15">
        <v>122008824.8</v>
      </c>
      <c r="S29" s="15">
        <v>115587307.7</v>
      </c>
      <c r="T29" s="9" t="str">
        <f t="shared" si="3"/>
        <v>Abaixo do limite de alerta</v>
      </c>
      <c r="U29" s="9" t="s">
        <v>51</v>
      </c>
    </row>
    <row r="30" spans="1:21" x14ac:dyDescent="0.25">
      <c r="A30" s="9" t="str">
        <f t="shared" si="0"/>
        <v>Tribunal de Justiça Militar de São Paulo|2º quad. 2025</v>
      </c>
      <c r="B30" s="9" t="s">
        <v>21</v>
      </c>
      <c r="C30" s="9" t="s">
        <v>20</v>
      </c>
      <c r="D30" s="9" t="s">
        <v>21</v>
      </c>
      <c r="E30" s="9" t="s">
        <v>54</v>
      </c>
      <c r="F30" s="9">
        <v>2</v>
      </c>
      <c r="G30" s="9" t="s">
        <v>9</v>
      </c>
      <c r="H30" s="9" t="s">
        <v>56</v>
      </c>
      <c r="I30" s="15">
        <v>85940567.849999994</v>
      </c>
      <c r="J30" s="15">
        <v>259389753280.57999</v>
      </c>
      <c r="K30" s="10">
        <f t="shared" si="1"/>
        <v>3.3131828363720567E-4</v>
      </c>
      <c r="L30" s="16">
        <v>2.9999999999999997E-4</v>
      </c>
      <c r="M30" s="9" t="str">
        <f t="shared" si="2"/>
        <v>Sim</v>
      </c>
      <c r="N30" s="16">
        <v>5.0000000000000001E-4</v>
      </c>
      <c r="O30" s="16">
        <v>5.0000000000000001E-4</v>
      </c>
      <c r="P30" s="16">
        <v>5.0000000000000001E-4</v>
      </c>
      <c r="Q30" s="15">
        <v>129694876.64</v>
      </c>
      <c r="R30" s="15">
        <v>123210132.81</v>
      </c>
      <c r="S30" s="15">
        <v>116725388.98</v>
      </c>
      <c r="T30" s="9" t="str">
        <f t="shared" si="3"/>
        <v>Abaixo do limite de alerta</v>
      </c>
      <c r="U30" s="9" t="s">
        <v>51</v>
      </c>
    </row>
    <row r="31" spans="1:21" x14ac:dyDescent="0.25">
      <c r="A31" s="9" t="str">
        <f t="shared" si="0"/>
        <v>Tribunal de Justiça Militar de São Paulo|3º quad. 2025</v>
      </c>
      <c r="B31" s="9" t="s">
        <v>21</v>
      </c>
      <c r="C31" s="9" t="s">
        <v>20</v>
      </c>
      <c r="D31" s="9" t="s">
        <v>21</v>
      </c>
      <c r="E31" s="9" t="s">
        <v>54</v>
      </c>
      <c r="F31" s="9">
        <v>3</v>
      </c>
      <c r="G31" s="9" t="s">
        <v>10</v>
      </c>
      <c r="H31" s="9" t="s">
        <v>57</v>
      </c>
      <c r="I31" s="15">
        <v>94144941.75</v>
      </c>
      <c r="J31" s="15">
        <v>265761362580.37</v>
      </c>
      <c r="K31" s="10">
        <f t="shared" si="1"/>
        <v>3.5424615841788982E-4</v>
      </c>
      <c r="L31" s="16">
        <v>4.0000000000000002E-4</v>
      </c>
      <c r="M31" s="9" t="str">
        <f t="shared" si="2"/>
        <v>Sim</v>
      </c>
      <c r="N31" s="16">
        <v>5.0000000000000001E-4</v>
      </c>
      <c r="O31" s="16">
        <v>5.0000000000000001E-4</v>
      </c>
      <c r="P31" s="16">
        <v>5.0000000000000001E-4</v>
      </c>
      <c r="Q31" s="15">
        <v>132880681.29000001</v>
      </c>
      <c r="R31" s="15">
        <v>126236647.23</v>
      </c>
      <c r="S31" s="15">
        <v>119592613.16</v>
      </c>
      <c r="T31" s="9" t="str">
        <f t="shared" si="3"/>
        <v>Abaixo do limite de alerta</v>
      </c>
      <c r="U31" s="9" t="s">
        <v>51</v>
      </c>
    </row>
    <row r="32" spans="1:21" x14ac:dyDescent="0.25">
      <c r="A32" s="9" t="str">
        <f t="shared" si="0"/>
        <v>Tribunal de Justiça Militar de São Paulo|1º quad. 2026</v>
      </c>
      <c r="B32" s="9" t="s">
        <v>21</v>
      </c>
      <c r="C32" s="9" t="s">
        <v>20</v>
      </c>
      <c r="D32" s="9" t="s">
        <v>21</v>
      </c>
      <c r="E32" s="9" t="s">
        <v>58</v>
      </c>
      <c r="F32" s="9">
        <v>1</v>
      </c>
      <c r="G32" s="9" t="s">
        <v>11</v>
      </c>
      <c r="H32" s="9" t="s">
        <v>59</v>
      </c>
      <c r="I32" s="15">
        <v>97568358.540000007</v>
      </c>
      <c r="J32" s="15">
        <v>270315717268.75</v>
      </c>
      <c r="K32" s="10">
        <f t="shared" si="1"/>
        <v>3.6094223275591773E-4</v>
      </c>
      <c r="L32" s="16">
        <v>4.0000000000000002E-4</v>
      </c>
      <c r="M32" s="9" t="str">
        <f t="shared" si="2"/>
        <v>Sim</v>
      </c>
      <c r="N32" s="16">
        <v>5.0000000000000001E-4</v>
      </c>
      <c r="O32" s="16">
        <v>5.0000000000000001E-4</v>
      </c>
      <c r="P32" s="16">
        <v>5.0000000000000001E-4</v>
      </c>
      <c r="Q32" s="15">
        <v>135157858.63</v>
      </c>
      <c r="R32" s="15">
        <v>128399965.7</v>
      </c>
      <c r="S32" s="15">
        <v>121642072.77</v>
      </c>
      <c r="T32" s="9" t="str">
        <f t="shared" si="3"/>
        <v>Abaixo do limite de alerta</v>
      </c>
      <c r="U32" s="9" t="s">
        <v>51</v>
      </c>
    </row>
    <row r="33" spans="1:21" x14ac:dyDescent="0.25">
      <c r="A33" s="9" t="str">
        <f t="shared" si="0"/>
        <v>Tribunal de Justiça Militar de São Paulo|2º quad. 2026</v>
      </c>
      <c r="B33" s="9" t="s">
        <v>21</v>
      </c>
      <c r="C33" s="9" t="s">
        <v>20</v>
      </c>
      <c r="D33" s="9" t="s">
        <v>21</v>
      </c>
      <c r="E33" s="9" t="s">
        <v>58</v>
      </c>
      <c r="F33" s="9">
        <v>2</v>
      </c>
      <c r="G33" s="9" t="s">
        <v>12</v>
      </c>
      <c r="H33" s="9" t="s">
        <v>60</v>
      </c>
      <c r="I33" s="15">
        <v>100089283.63</v>
      </c>
      <c r="J33" s="15">
        <v>279170988510.08002</v>
      </c>
      <c r="K33" s="10">
        <f t="shared" si="1"/>
        <v>3.5852322680150582E-4</v>
      </c>
      <c r="L33" s="16">
        <v>4.0000000000000002E-4</v>
      </c>
      <c r="M33" s="9" t="str">
        <f t="shared" si="2"/>
        <v>Sim</v>
      </c>
      <c r="N33" s="16">
        <v>5.0000000000000001E-4</v>
      </c>
      <c r="O33" s="16">
        <v>5.0000000000000001E-4</v>
      </c>
      <c r="P33" s="16">
        <v>5.0000000000000001E-4</v>
      </c>
      <c r="Q33" s="15">
        <v>139585494.25999999</v>
      </c>
      <c r="R33" s="15">
        <v>132606219.55</v>
      </c>
      <c r="S33" s="15">
        <v>125626944.83</v>
      </c>
      <c r="T33" s="9" t="str">
        <f t="shared" si="3"/>
        <v>Abaixo do limite de alerta</v>
      </c>
      <c r="U33" s="9" t="s">
        <v>51</v>
      </c>
    </row>
    <row r="34" spans="1:21" x14ac:dyDescent="0.25">
      <c r="A34" s="9" t="str">
        <f t="shared" ref="A34:A65" si="4">B34&amp;"|"&amp;G34</f>
        <v>Tribunal de Contas|1º quad. 2024</v>
      </c>
      <c r="B34" s="9" t="s">
        <v>22</v>
      </c>
      <c r="C34" s="9" t="s">
        <v>22</v>
      </c>
      <c r="D34" s="9" t="s">
        <v>63</v>
      </c>
      <c r="E34" s="9" t="s">
        <v>49</v>
      </c>
      <c r="F34" s="9">
        <v>1</v>
      </c>
      <c r="G34" s="9" t="s">
        <v>5</v>
      </c>
      <c r="H34" s="9" t="s">
        <v>50</v>
      </c>
      <c r="I34" s="15">
        <v>1027221058.6799999</v>
      </c>
      <c r="J34" s="15">
        <v>234947656103.41</v>
      </c>
      <c r="K34" s="10">
        <f t="shared" ref="K34:K65" si="5">IF(OR(I34="",J34="",J34=0),"",I34/J34)</f>
        <v>4.3721272887603455E-3</v>
      </c>
      <c r="L34" s="16">
        <v>4.4000000000000003E-3</v>
      </c>
      <c r="M34" s="9" t="str">
        <f t="shared" ref="M34:M65" si="6">IF(L34="","Não declarado",IF(K34="","Sem dado",IF(ABS(K34-L34)&lt;=0.00005,"Sim","Não")))</f>
        <v>Sim</v>
      </c>
      <c r="N34" s="16">
        <v>1.2500000000000001E-2</v>
      </c>
      <c r="O34" s="16">
        <v>1.1900000000000001E-2</v>
      </c>
      <c r="P34" s="16">
        <v>1.1299999999999999E-2</v>
      </c>
      <c r="Q34" s="15">
        <v>2936845701.29</v>
      </c>
      <c r="R34" s="15">
        <v>2790003416.23</v>
      </c>
      <c r="S34" s="15">
        <v>2643161131.1599998</v>
      </c>
      <c r="T34" s="9" t="str">
        <f t="shared" ref="T34:T65" si="7">IF(K34="","Sem dado",IF(N34="","Sem limite próprio na LRF",IF(AND(Q34&lt;&gt;"",R34&lt;&gt;"",S34&lt;&gt;""),IF(I34&gt;Q34,"Acima do limite máximo",IF(I34&gt;R34,"Acima do limite prudencial",IF(I34&gt;S34,"Acima do limite de alerta","Abaixo do limite de alerta"))),IF(K34&gt;N34,"Acima do limite máximo",IF(K34&gt;O34,"Acima do limite prudencial",IF(K34&gt;P34,"Acima do limite de alerta","Abaixo do limite de alerta"))))))</f>
        <v>Abaixo do limite de alerta</v>
      </c>
      <c r="U34" s="9" t="s">
        <v>51</v>
      </c>
    </row>
    <row r="35" spans="1:21" x14ac:dyDescent="0.25">
      <c r="A35" s="9" t="str">
        <f t="shared" si="4"/>
        <v>Tribunal de Contas|2º quad. 2024</v>
      </c>
      <c r="B35" s="9" t="s">
        <v>22</v>
      </c>
      <c r="C35" s="9" t="s">
        <v>22</v>
      </c>
      <c r="D35" s="9" t="s">
        <v>63</v>
      </c>
      <c r="E35" s="9" t="s">
        <v>49</v>
      </c>
      <c r="F35" s="9">
        <v>2</v>
      </c>
      <c r="G35" s="9" t="s">
        <v>6</v>
      </c>
      <c r="H35" s="9" t="s">
        <v>52</v>
      </c>
      <c r="I35" s="15">
        <v>987179044.20000005</v>
      </c>
      <c r="J35" s="15">
        <v>243358481388.19</v>
      </c>
      <c r="K35" s="10">
        <f t="shared" si="5"/>
        <v>4.0564809517582203E-3</v>
      </c>
      <c r="L35" s="16">
        <v>4.0999999999999986E-3</v>
      </c>
      <c r="M35" s="9" t="str">
        <f t="shared" si="6"/>
        <v>Sim</v>
      </c>
      <c r="N35" s="16">
        <v>1.2500000000000001E-2</v>
      </c>
      <c r="O35" s="16">
        <v>1.1900000000000001E-2</v>
      </c>
      <c r="P35" s="16">
        <v>1.1299999999999999E-2</v>
      </c>
      <c r="Q35" s="15">
        <v>3041981017.3499999</v>
      </c>
      <c r="R35" s="15">
        <v>2889881966.48</v>
      </c>
      <c r="S35" s="15">
        <v>2737782915.6199999</v>
      </c>
      <c r="T35" s="9" t="str">
        <f t="shared" si="7"/>
        <v>Abaixo do limite de alerta</v>
      </c>
      <c r="U35" s="9" t="s">
        <v>51</v>
      </c>
    </row>
    <row r="36" spans="1:21" x14ac:dyDescent="0.25">
      <c r="A36" s="9" t="str">
        <f t="shared" si="4"/>
        <v>Tribunal de Contas|3º quad. 2024</v>
      </c>
      <c r="B36" s="9" t="s">
        <v>22</v>
      </c>
      <c r="C36" s="9" t="s">
        <v>22</v>
      </c>
      <c r="D36" s="9" t="s">
        <v>63</v>
      </c>
      <c r="E36" s="9" t="s">
        <v>49</v>
      </c>
      <c r="F36" s="9">
        <v>3</v>
      </c>
      <c r="G36" s="9" t="s">
        <v>7</v>
      </c>
      <c r="H36" s="9" t="s">
        <v>53</v>
      </c>
      <c r="I36" s="15">
        <v>955822549.63</v>
      </c>
      <c r="J36" s="15">
        <v>250793910488.38</v>
      </c>
      <c r="K36" s="10">
        <f t="shared" si="5"/>
        <v>3.811187232451906E-3</v>
      </c>
      <c r="L36" s="16">
        <v>3.8E-3</v>
      </c>
      <c r="M36" s="9" t="str">
        <f t="shared" si="6"/>
        <v>Sim</v>
      </c>
      <c r="N36" s="16">
        <v>1.2500000000000001E-2</v>
      </c>
      <c r="O36" s="16">
        <v>1.1900000000000001E-2</v>
      </c>
      <c r="P36" s="16">
        <v>1.1299999999999999E-2</v>
      </c>
      <c r="Q36" s="15">
        <v>3134923881.0999999</v>
      </c>
      <c r="R36" s="15">
        <v>2978177687.0500002</v>
      </c>
      <c r="S36" s="15">
        <v>2821431492.9899998</v>
      </c>
      <c r="T36" s="9" t="str">
        <f t="shared" si="7"/>
        <v>Abaixo do limite de alerta</v>
      </c>
      <c r="U36" s="9" t="s">
        <v>51</v>
      </c>
    </row>
    <row r="37" spans="1:21" x14ac:dyDescent="0.25">
      <c r="A37" s="9" t="str">
        <f t="shared" si="4"/>
        <v>Tribunal de Contas|1º quad. 2025</v>
      </c>
      <c r="B37" s="9" t="s">
        <v>22</v>
      </c>
      <c r="C37" s="9" t="s">
        <v>22</v>
      </c>
      <c r="D37" s="9" t="s">
        <v>63</v>
      </c>
      <c r="E37" s="9" t="s">
        <v>54</v>
      </c>
      <c r="F37" s="9">
        <v>1</v>
      </c>
      <c r="G37" s="9" t="s">
        <v>8</v>
      </c>
      <c r="H37" s="9" t="s">
        <v>55</v>
      </c>
      <c r="I37" s="15">
        <v>1245646440.28</v>
      </c>
      <c r="J37" s="15">
        <v>256860683783.81</v>
      </c>
      <c r="K37" s="10">
        <f t="shared" si="5"/>
        <v>4.8495021578639644E-3</v>
      </c>
      <c r="L37" s="16">
        <v>4.7999999999999996E-3</v>
      </c>
      <c r="M37" s="9" t="str">
        <f t="shared" si="6"/>
        <v>Sim</v>
      </c>
      <c r="N37" s="16">
        <v>1.2500000000000001E-2</v>
      </c>
      <c r="O37" s="16">
        <v>1.1900000000000001E-2</v>
      </c>
      <c r="P37" s="16">
        <v>1.1299999999999999E-2</v>
      </c>
      <c r="Q37" s="15">
        <v>3210758547.3000002</v>
      </c>
      <c r="R37" s="15">
        <v>3050220619.9400001</v>
      </c>
      <c r="S37" s="15">
        <v>2889682692.5700002</v>
      </c>
      <c r="T37" s="9" t="str">
        <f t="shared" si="7"/>
        <v>Abaixo do limite de alerta</v>
      </c>
      <c r="U37" s="9" t="s">
        <v>51</v>
      </c>
    </row>
    <row r="38" spans="1:21" x14ac:dyDescent="0.25">
      <c r="A38" s="9" t="str">
        <f t="shared" si="4"/>
        <v>Tribunal de Contas|2º quad. 2025</v>
      </c>
      <c r="B38" s="9" t="s">
        <v>22</v>
      </c>
      <c r="C38" s="9" t="s">
        <v>22</v>
      </c>
      <c r="D38" s="9" t="s">
        <v>63</v>
      </c>
      <c r="E38" s="9" t="s">
        <v>54</v>
      </c>
      <c r="F38" s="9">
        <v>2</v>
      </c>
      <c r="G38" s="9" t="s">
        <v>9</v>
      </c>
      <c r="H38" s="9" t="s">
        <v>56</v>
      </c>
      <c r="I38" s="15">
        <v>1293425248.6099999</v>
      </c>
      <c r="J38" s="15">
        <v>259389753280.57999</v>
      </c>
      <c r="K38" s="10">
        <f t="shared" si="5"/>
        <v>4.986416125739984E-3</v>
      </c>
      <c r="L38" s="16">
        <v>5.0000000000000001E-3</v>
      </c>
      <c r="M38" s="9" t="str">
        <f t="shared" si="6"/>
        <v>Sim</v>
      </c>
      <c r="N38" s="16">
        <v>1.2500000000000001E-2</v>
      </c>
      <c r="O38" s="16">
        <v>1.1900000000000001E-2</v>
      </c>
      <c r="P38" s="16">
        <v>1.1299999999999999E-2</v>
      </c>
      <c r="Q38" s="15">
        <v>3242371916.0100002</v>
      </c>
      <c r="R38" s="15">
        <v>3080253320.21</v>
      </c>
      <c r="S38" s="15">
        <v>2918134724.4099998</v>
      </c>
      <c r="T38" s="9" t="str">
        <f t="shared" si="7"/>
        <v>Abaixo do limite de alerta</v>
      </c>
      <c r="U38" s="9" t="s">
        <v>51</v>
      </c>
    </row>
    <row r="39" spans="1:21" x14ac:dyDescent="0.25">
      <c r="A39" s="9" t="str">
        <f t="shared" si="4"/>
        <v>Tribunal de Contas|3º quad. 2025</v>
      </c>
      <c r="B39" s="9" t="s">
        <v>22</v>
      </c>
      <c r="C39" s="9" t="s">
        <v>22</v>
      </c>
      <c r="D39" s="9" t="s">
        <v>63</v>
      </c>
      <c r="E39" s="9" t="s">
        <v>54</v>
      </c>
      <c r="F39" s="9">
        <v>3</v>
      </c>
      <c r="G39" s="9" t="s">
        <v>10</v>
      </c>
      <c r="H39" s="9" t="s">
        <v>57</v>
      </c>
      <c r="I39" s="15">
        <v>1361017517.05</v>
      </c>
      <c r="J39" s="15">
        <v>265761362580.37</v>
      </c>
      <c r="K39" s="10">
        <f t="shared" si="5"/>
        <v>5.1212016067174139E-3</v>
      </c>
      <c r="L39" s="16">
        <v>5.1000000000000004E-3</v>
      </c>
      <c r="M39" s="9" t="str">
        <f t="shared" si="6"/>
        <v>Sim</v>
      </c>
      <c r="N39" s="16">
        <v>1.2500000000000001E-2</v>
      </c>
      <c r="O39" s="16">
        <v>1.1900000000000001E-2</v>
      </c>
      <c r="P39" s="16">
        <v>1.1299999999999999E-2</v>
      </c>
      <c r="Q39" s="15">
        <v>3322017032.25</v>
      </c>
      <c r="R39" s="15">
        <v>3155916180.6399999</v>
      </c>
      <c r="S39" s="15">
        <v>2989815329.0300002</v>
      </c>
      <c r="T39" s="9" t="str">
        <f t="shared" si="7"/>
        <v>Abaixo do limite de alerta</v>
      </c>
      <c r="U39" s="9" t="s">
        <v>51</v>
      </c>
    </row>
    <row r="40" spans="1:21" x14ac:dyDescent="0.25">
      <c r="A40" s="9" t="str">
        <f t="shared" si="4"/>
        <v>Tribunal de Contas|1º quad. 2026</v>
      </c>
      <c r="B40" s="9" t="s">
        <v>22</v>
      </c>
      <c r="C40" s="9" t="s">
        <v>22</v>
      </c>
      <c r="D40" s="9" t="s">
        <v>63</v>
      </c>
      <c r="E40" s="9" t="s">
        <v>58</v>
      </c>
      <c r="F40" s="9">
        <v>1</v>
      </c>
      <c r="G40" s="9" t="s">
        <v>11</v>
      </c>
      <c r="H40" s="9" t="s">
        <v>59</v>
      </c>
      <c r="I40" s="15">
        <v>1398553623.6199999</v>
      </c>
      <c r="J40" s="15">
        <v>270315717268.75</v>
      </c>
      <c r="K40" s="10">
        <f t="shared" si="5"/>
        <v>5.1737784164046481E-3</v>
      </c>
      <c r="L40" s="16">
        <v>5.1999999999999998E-3</v>
      </c>
      <c r="M40" s="9" t="str">
        <f t="shared" si="6"/>
        <v>Sim</v>
      </c>
      <c r="N40" s="16">
        <v>1.2500000000000001E-2</v>
      </c>
      <c r="O40" s="16">
        <v>1.1900000000000001E-2</v>
      </c>
      <c r="P40" s="16">
        <v>1.1299999999999999E-2</v>
      </c>
      <c r="Q40" s="15">
        <v>3378946465.8600001</v>
      </c>
      <c r="R40" s="15">
        <v>3209999142.5700002</v>
      </c>
      <c r="S40" s="15">
        <v>3041051819.27</v>
      </c>
      <c r="T40" s="9" t="str">
        <f t="shared" si="7"/>
        <v>Abaixo do limite de alerta</v>
      </c>
      <c r="U40" s="9" t="s">
        <v>51</v>
      </c>
    </row>
    <row r="41" spans="1:21" x14ac:dyDescent="0.25">
      <c r="A41" s="9" t="str">
        <f t="shared" si="4"/>
        <v>Tribunal de Contas|2º quad. 2026</v>
      </c>
      <c r="B41" s="9" t="s">
        <v>22</v>
      </c>
      <c r="C41" s="9" t="s">
        <v>22</v>
      </c>
      <c r="D41" s="9" t="s">
        <v>63</v>
      </c>
      <c r="E41" s="9" t="s">
        <v>58</v>
      </c>
      <c r="F41" s="9">
        <v>2</v>
      </c>
      <c r="G41" s="9" t="s">
        <v>12</v>
      </c>
      <c r="H41" s="9" t="s">
        <v>60</v>
      </c>
      <c r="I41" s="15">
        <v>1424525527.1099999</v>
      </c>
      <c r="J41" s="15">
        <v>279170988510.08002</v>
      </c>
      <c r="K41" s="10">
        <f t="shared" si="5"/>
        <v>5.1026990115004894E-3</v>
      </c>
      <c r="L41" s="16">
        <v>5.1000000000000004E-3</v>
      </c>
      <c r="M41" s="9" t="str">
        <f t="shared" si="6"/>
        <v>Sim</v>
      </c>
      <c r="N41" s="16">
        <v>1.2500000000000001E-2</v>
      </c>
      <c r="O41" s="16">
        <v>1.1900000000000001E-2</v>
      </c>
      <c r="P41" s="16">
        <v>1.1299999999999999E-2</v>
      </c>
      <c r="Q41" s="15">
        <v>3489637356.3800001</v>
      </c>
      <c r="R41" s="15">
        <v>3315155488.5599999</v>
      </c>
      <c r="S41" s="15">
        <v>3140673620.7399998</v>
      </c>
      <c r="T41" s="9" t="str">
        <f t="shared" si="7"/>
        <v>Abaixo do limite de alerta</v>
      </c>
      <c r="U41" s="9" t="s">
        <v>51</v>
      </c>
    </row>
    <row r="42" spans="1:21" x14ac:dyDescent="0.25">
      <c r="A42" s="9" t="str">
        <f t="shared" si="4"/>
        <v>Defensoria Pública|1º quad. 2024</v>
      </c>
      <c r="B42" s="9" t="s">
        <v>23</v>
      </c>
      <c r="C42" s="9" t="s">
        <v>23</v>
      </c>
      <c r="D42" s="9" t="s">
        <v>64</v>
      </c>
      <c r="E42" s="9" t="s">
        <v>49</v>
      </c>
      <c r="F42" s="9">
        <v>1</v>
      </c>
      <c r="G42" s="9" t="s">
        <v>5</v>
      </c>
      <c r="H42" s="9" t="s">
        <v>50</v>
      </c>
      <c r="I42" s="15">
        <v>714783077.08000004</v>
      </c>
      <c r="J42" s="15">
        <v>234947656103.41</v>
      </c>
      <c r="K42" s="10">
        <f t="shared" si="5"/>
        <v>3.0423077588200963E-3</v>
      </c>
      <c r="L42" s="10"/>
      <c r="M42" s="9" t="str">
        <f t="shared" si="6"/>
        <v>Não declarado</v>
      </c>
      <c r="N42" s="10"/>
      <c r="O42" s="10"/>
      <c r="P42" s="10"/>
      <c r="Q42" s="17"/>
      <c r="R42" s="17"/>
      <c r="S42" s="17"/>
      <c r="T42" s="9" t="str">
        <f t="shared" si="7"/>
        <v>Sem limite próprio na LRF</v>
      </c>
      <c r="U42" s="9" t="s">
        <v>65</v>
      </c>
    </row>
    <row r="43" spans="1:21" x14ac:dyDescent="0.25">
      <c r="A43" s="9" t="str">
        <f t="shared" si="4"/>
        <v>Defensoria Pública|2º quad. 2024</v>
      </c>
      <c r="B43" s="9" t="s">
        <v>23</v>
      </c>
      <c r="C43" s="9" t="s">
        <v>23</v>
      </c>
      <c r="D43" s="9" t="s">
        <v>64</v>
      </c>
      <c r="E43" s="9" t="s">
        <v>49</v>
      </c>
      <c r="F43" s="9">
        <v>2</v>
      </c>
      <c r="G43" s="9" t="s">
        <v>6</v>
      </c>
      <c r="H43" s="9" t="s">
        <v>52</v>
      </c>
      <c r="I43" s="15">
        <v>751968736.25999999</v>
      </c>
      <c r="J43" s="15">
        <v>243358481388.19</v>
      </c>
      <c r="K43" s="10">
        <f t="shared" si="5"/>
        <v>3.089963135743386E-3</v>
      </c>
      <c r="L43" s="10"/>
      <c r="M43" s="9" t="str">
        <f t="shared" si="6"/>
        <v>Não declarado</v>
      </c>
      <c r="N43" s="10"/>
      <c r="O43" s="10"/>
      <c r="P43" s="10"/>
      <c r="Q43" s="17"/>
      <c r="R43" s="17"/>
      <c r="S43" s="17"/>
      <c r="T43" s="9" t="str">
        <f t="shared" si="7"/>
        <v>Sem limite próprio na LRF</v>
      </c>
      <c r="U43" s="9" t="s">
        <v>65</v>
      </c>
    </row>
    <row r="44" spans="1:21" x14ac:dyDescent="0.25">
      <c r="A44" s="9" t="str">
        <f t="shared" si="4"/>
        <v>Defensoria Pública|3º quad. 2024</v>
      </c>
      <c r="B44" s="9" t="s">
        <v>23</v>
      </c>
      <c r="C44" s="9" t="s">
        <v>23</v>
      </c>
      <c r="D44" s="9" t="s">
        <v>64</v>
      </c>
      <c r="E44" s="9" t="s">
        <v>49</v>
      </c>
      <c r="F44" s="9">
        <v>3</v>
      </c>
      <c r="G44" s="9" t="s">
        <v>7</v>
      </c>
      <c r="H44" s="9" t="s">
        <v>53</v>
      </c>
      <c r="I44" s="15">
        <v>811340488.54999995</v>
      </c>
      <c r="J44" s="15">
        <v>250793910488.38</v>
      </c>
      <c r="K44" s="10">
        <f t="shared" si="5"/>
        <v>3.2350884715264712E-3</v>
      </c>
      <c r="L44" s="10"/>
      <c r="M44" s="9" t="str">
        <f t="shared" si="6"/>
        <v>Não declarado</v>
      </c>
      <c r="N44" s="10"/>
      <c r="O44" s="10"/>
      <c r="P44" s="10"/>
      <c r="Q44" s="17"/>
      <c r="R44" s="17"/>
      <c r="S44" s="17"/>
      <c r="T44" s="9" t="str">
        <f t="shared" si="7"/>
        <v>Sem limite próprio na LRF</v>
      </c>
      <c r="U44" s="9" t="s">
        <v>65</v>
      </c>
    </row>
    <row r="45" spans="1:21" x14ac:dyDescent="0.25">
      <c r="A45" s="9" t="str">
        <f t="shared" si="4"/>
        <v>Defensoria Pública|1º quad. 2025</v>
      </c>
      <c r="B45" s="9" t="s">
        <v>23</v>
      </c>
      <c r="C45" s="9" t="s">
        <v>23</v>
      </c>
      <c r="D45" s="9" t="s">
        <v>64</v>
      </c>
      <c r="E45" s="9" t="s">
        <v>54</v>
      </c>
      <c r="F45" s="9">
        <v>1</v>
      </c>
      <c r="G45" s="9" t="s">
        <v>8</v>
      </c>
      <c r="H45" s="9" t="s">
        <v>55</v>
      </c>
      <c r="I45" s="15">
        <v>865851640.25</v>
      </c>
      <c r="J45" s="15">
        <v>256860683783.81</v>
      </c>
      <c r="K45" s="10">
        <f t="shared" si="5"/>
        <v>3.3708998492690879E-3</v>
      </c>
      <c r="L45" s="10"/>
      <c r="M45" s="9" t="str">
        <f t="shared" si="6"/>
        <v>Não declarado</v>
      </c>
      <c r="N45" s="10"/>
      <c r="O45" s="10"/>
      <c r="P45" s="10"/>
      <c r="Q45" s="17"/>
      <c r="R45" s="17"/>
      <c r="S45" s="17"/>
      <c r="T45" s="9" t="str">
        <f t="shared" si="7"/>
        <v>Sem limite próprio na LRF</v>
      </c>
      <c r="U45" s="9" t="s">
        <v>65</v>
      </c>
    </row>
    <row r="46" spans="1:21" x14ac:dyDescent="0.25">
      <c r="A46" s="9" t="str">
        <f t="shared" si="4"/>
        <v>Defensoria Pública|2º quad. 2025</v>
      </c>
      <c r="B46" s="9" t="s">
        <v>23</v>
      </c>
      <c r="C46" s="9" t="s">
        <v>23</v>
      </c>
      <c r="D46" s="9" t="s">
        <v>64</v>
      </c>
      <c r="E46" s="9" t="s">
        <v>54</v>
      </c>
      <c r="F46" s="9">
        <v>2</v>
      </c>
      <c r="G46" s="9" t="s">
        <v>9</v>
      </c>
      <c r="H46" s="9" t="s">
        <v>56</v>
      </c>
      <c r="I46" s="15">
        <v>942629678.90999997</v>
      </c>
      <c r="J46" s="15">
        <v>259389753280.57999</v>
      </c>
      <c r="K46" s="10">
        <f t="shared" si="5"/>
        <v>3.6340282026883475E-3</v>
      </c>
      <c r="L46" s="10"/>
      <c r="M46" s="9" t="str">
        <f t="shared" si="6"/>
        <v>Não declarado</v>
      </c>
      <c r="N46" s="10"/>
      <c r="O46" s="10"/>
      <c r="P46" s="10"/>
      <c r="Q46" s="17"/>
      <c r="R46" s="17"/>
      <c r="S46" s="17"/>
      <c r="T46" s="9" t="str">
        <f t="shared" si="7"/>
        <v>Sem limite próprio na LRF</v>
      </c>
      <c r="U46" s="9" t="s">
        <v>65</v>
      </c>
    </row>
    <row r="47" spans="1:21" x14ac:dyDescent="0.25">
      <c r="A47" s="9" t="str">
        <f t="shared" si="4"/>
        <v>Defensoria Pública|3º quad. 2025</v>
      </c>
      <c r="B47" s="9" t="s">
        <v>23</v>
      </c>
      <c r="C47" s="9" t="s">
        <v>23</v>
      </c>
      <c r="D47" s="9" t="s">
        <v>64</v>
      </c>
      <c r="E47" s="9" t="s">
        <v>54</v>
      </c>
      <c r="F47" s="9">
        <v>3</v>
      </c>
      <c r="G47" s="9" t="s">
        <v>10</v>
      </c>
      <c r="H47" s="9" t="s">
        <v>57</v>
      </c>
      <c r="I47" s="15">
        <v>1087041928.4200001</v>
      </c>
      <c r="J47" s="15">
        <v>265761362580.37</v>
      </c>
      <c r="K47" s="10">
        <f t="shared" si="5"/>
        <v>4.0902933288177405E-3</v>
      </c>
      <c r="L47" s="10"/>
      <c r="M47" s="9" t="str">
        <f t="shared" si="6"/>
        <v>Não declarado</v>
      </c>
      <c r="N47" s="10"/>
      <c r="O47" s="10"/>
      <c r="P47" s="10"/>
      <c r="Q47" s="17"/>
      <c r="R47" s="17"/>
      <c r="S47" s="17"/>
      <c r="T47" s="9" t="str">
        <f t="shared" si="7"/>
        <v>Sem limite próprio na LRF</v>
      </c>
      <c r="U47" s="9" t="s">
        <v>65</v>
      </c>
    </row>
    <row r="48" spans="1:21" x14ac:dyDescent="0.25">
      <c r="A48" s="9" t="str">
        <f t="shared" si="4"/>
        <v>Defensoria Pública|1º quad. 2026</v>
      </c>
      <c r="B48" s="9" t="s">
        <v>23</v>
      </c>
      <c r="C48" s="9" t="s">
        <v>23</v>
      </c>
      <c r="D48" s="9" t="s">
        <v>64</v>
      </c>
      <c r="E48" s="9" t="s">
        <v>58</v>
      </c>
      <c r="F48" s="9">
        <v>1</v>
      </c>
      <c r="G48" s="9" t="s">
        <v>11</v>
      </c>
      <c r="H48" s="9" t="s">
        <v>59</v>
      </c>
      <c r="I48" s="15">
        <v>1237639288.99</v>
      </c>
      <c r="J48" s="15">
        <v>270315717268.75</v>
      </c>
      <c r="K48" s="10">
        <f t="shared" si="5"/>
        <v>4.5784954774180939E-3</v>
      </c>
      <c r="L48" s="10"/>
      <c r="M48" s="9" t="str">
        <f t="shared" si="6"/>
        <v>Não declarado</v>
      </c>
      <c r="N48" s="10"/>
      <c r="O48" s="10"/>
      <c r="P48" s="10"/>
      <c r="Q48" s="17"/>
      <c r="R48" s="17"/>
      <c r="S48" s="17"/>
      <c r="T48" s="9" t="str">
        <f t="shared" si="7"/>
        <v>Sem limite próprio na LRF</v>
      </c>
      <c r="U48" s="9" t="s">
        <v>65</v>
      </c>
    </row>
    <row r="49" spans="1:21" x14ac:dyDescent="0.25">
      <c r="A49" s="9" t="str">
        <f t="shared" si="4"/>
        <v>Defensoria Pública|2º quad. 2026</v>
      </c>
      <c r="B49" s="9" t="s">
        <v>23</v>
      </c>
      <c r="C49" s="9" t="s">
        <v>23</v>
      </c>
      <c r="D49" s="9" t="s">
        <v>64</v>
      </c>
      <c r="E49" s="9" t="s">
        <v>58</v>
      </c>
      <c r="F49" s="9">
        <v>2</v>
      </c>
      <c r="G49" s="9" t="s">
        <v>12</v>
      </c>
      <c r="H49" s="9" t="s">
        <v>60</v>
      </c>
      <c r="I49" s="15">
        <v>1296436228.1099999</v>
      </c>
      <c r="J49" s="15">
        <v>279170988510.08002</v>
      </c>
      <c r="K49" s="10">
        <f t="shared" si="5"/>
        <v>4.643878774900672E-3</v>
      </c>
      <c r="L49" s="10"/>
      <c r="M49" s="9" t="str">
        <f t="shared" si="6"/>
        <v>Não declarado</v>
      </c>
      <c r="N49" s="10"/>
      <c r="O49" s="10"/>
      <c r="P49" s="10"/>
      <c r="Q49" s="17"/>
      <c r="R49" s="17"/>
      <c r="S49" s="17"/>
      <c r="T49" s="9" t="str">
        <f t="shared" si="7"/>
        <v>Sem limite próprio na LRF</v>
      </c>
      <c r="U49" s="9" t="s">
        <v>65</v>
      </c>
    </row>
    <row r="50" spans="1:21" x14ac:dyDescent="0.25">
      <c r="A50" s="9" t="str">
        <f t="shared" si="4"/>
        <v>Ministério Público|1º quad. 2024</v>
      </c>
      <c r="B50" s="9" t="s">
        <v>24</v>
      </c>
      <c r="C50" s="9" t="s">
        <v>24</v>
      </c>
      <c r="D50" s="9" t="s">
        <v>66</v>
      </c>
      <c r="E50" s="9" t="s">
        <v>49</v>
      </c>
      <c r="F50" s="9">
        <v>1</v>
      </c>
      <c r="G50" s="9" t="s">
        <v>5</v>
      </c>
      <c r="H50" s="9" t="s">
        <v>50</v>
      </c>
      <c r="I50" s="15">
        <v>2944249817.3899999</v>
      </c>
      <c r="J50" s="15">
        <v>234947656103.41</v>
      </c>
      <c r="K50" s="10">
        <f t="shared" si="5"/>
        <v>1.2531513896414936E-2</v>
      </c>
      <c r="L50" s="16">
        <v>1.2500000000000001E-2</v>
      </c>
      <c r="M50" s="9" t="str">
        <f t="shared" si="6"/>
        <v>Sim</v>
      </c>
      <c r="N50" s="16">
        <v>0.02</v>
      </c>
      <c r="O50" s="16">
        <v>1.9E-2</v>
      </c>
      <c r="P50" s="16">
        <v>1.7999999999999999E-2</v>
      </c>
      <c r="Q50" s="15">
        <v>4698953122.0699997</v>
      </c>
      <c r="R50" s="15">
        <v>4464005465.9700003</v>
      </c>
      <c r="S50" s="15">
        <v>4229057809.8600001</v>
      </c>
      <c r="T50" s="9" t="str">
        <f t="shared" si="7"/>
        <v>Abaixo do limite de alerta</v>
      </c>
      <c r="U50" s="9" t="s">
        <v>51</v>
      </c>
    </row>
    <row r="51" spans="1:21" x14ac:dyDescent="0.25">
      <c r="A51" s="9" t="str">
        <f t="shared" si="4"/>
        <v>Ministério Público|2º quad. 2024</v>
      </c>
      <c r="B51" s="9" t="s">
        <v>24</v>
      </c>
      <c r="C51" s="9" t="s">
        <v>24</v>
      </c>
      <c r="D51" s="9" t="s">
        <v>66</v>
      </c>
      <c r="E51" s="9" t="s">
        <v>49</v>
      </c>
      <c r="F51" s="9">
        <v>2</v>
      </c>
      <c r="G51" s="9" t="s">
        <v>6</v>
      </c>
      <c r="H51" s="9" t="s">
        <v>52</v>
      </c>
      <c r="I51" s="15">
        <v>3078394810.27</v>
      </c>
      <c r="J51" s="15">
        <v>243358481388.19</v>
      </c>
      <c r="K51" s="10">
        <f t="shared" si="5"/>
        <v>1.2649630260305331E-2</v>
      </c>
      <c r="L51" s="16">
        <v>1.26E-2</v>
      </c>
      <c r="M51" s="9" t="str">
        <f t="shared" si="6"/>
        <v>Sim</v>
      </c>
      <c r="N51" s="16">
        <v>0.02</v>
      </c>
      <c r="O51" s="16">
        <v>1.9E-2</v>
      </c>
      <c r="P51" s="16">
        <v>1.7999999999999999E-2</v>
      </c>
      <c r="Q51" s="15">
        <v>4867169627.7700005</v>
      </c>
      <c r="R51" s="15">
        <v>4623811146.3800001</v>
      </c>
      <c r="S51" s="15">
        <v>4380452664.9899998</v>
      </c>
      <c r="T51" s="9" t="str">
        <f t="shared" si="7"/>
        <v>Abaixo do limite de alerta</v>
      </c>
      <c r="U51" s="9" t="s">
        <v>51</v>
      </c>
    </row>
    <row r="52" spans="1:21" x14ac:dyDescent="0.25">
      <c r="A52" s="9" t="str">
        <f t="shared" si="4"/>
        <v>Ministério Público|3º quad. 2024</v>
      </c>
      <c r="B52" s="9" t="s">
        <v>24</v>
      </c>
      <c r="C52" s="9" t="s">
        <v>24</v>
      </c>
      <c r="D52" s="9" t="s">
        <v>66</v>
      </c>
      <c r="E52" s="9" t="s">
        <v>49</v>
      </c>
      <c r="F52" s="9">
        <v>3</v>
      </c>
      <c r="G52" s="9" t="s">
        <v>7</v>
      </c>
      <c r="H52" s="9" t="s">
        <v>53</v>
      </c>
      <c r="I52" s="15">
        <v>3222645627.0799999</v>
      </c>
      <c r="J52" s="15">
        <v>250793910488.38</v>
      </c>
      <c r="K52" s="10">
        <f t="shared" si="5"/>
        <v>1.2849776219862859E-2</v>
      </c>
      <c r="L52" s="16">
        <v>1.2800000000000001E-2</v>
      </c>
      <c r="M52" s="9" t="str">
        <f t="shared" si="6"/>
        <v>Sim</v>
      </c>
      <c r="N52" s="16">
        <v>0.02</v>
      </c>
      <c r="O52" s="16">
        <v>1.9E-2</v>
      </c>
      <c r="P52" s="16">
        <v>1.7999999999999999E-2</v>
      </c>
      <c r="Q52" s="15">
        <v>5015878209.7700005</v>
      </c>
      <c r="R52" s="15">
        <v>4765084299.2799997</v>
      </c>
      <c r="S52" s="15">
        <v>4514290388.79</v>
      </c>
      <c r="T52" s="9" t="str">
        <f t="shared" si="7"/>
        <v>Abaixo do limite de alerta</v>
      </c>
      <c r="U52" s="9" t="s">
        <v>51</v>
      </c>
    </row>
    <row r="53" spans="1:21" x14ac:dyDescent="0.25">
      <c r="A53" s="9" t="str">
        <f t="shared" si="4"/>
        <v>Ministério Público|1º quad. 2025</v>
      </c>
      <c r="B53" s="9" t="s">
        <v>24</v>
      </c>
      <c r="C53" s="9" t="s">
        <v>24</v>
      </c>
      <c r="D53" s="9" t="s">
        <v>66</v>
      </c>
      <c r="E53" s="9" t="s">
        <v>54</v>
      </c>
      <c r="F53" s="9">
        <v>1</v>
      </c>
      <c r="G53" s="9" t="s">
        <v>8</v>
      </c>
      <c r="H53" s="9" t="s">
        <v>55</v>
      </c>
      <c r="I53" s="15">
        <v>3396963629.3600001</v>
      </c>
      <c r="J53" s="15">
        <v>256860683783.81</v>
      </c>
      <c r="K53" s="10">
        <f t="shared" si="5"/>
        <v>1.3224926365994949E-2</v>
      </c>
      <c r="L53" s="16">
        <v>1.32E-2</v>
      </c>
      <c r="M53" s="9" t="str">
        <f t="shared" si="6"/>
        <v>Sim</v>
      </c>
      <c r="N53" s="16">
        <v>0.02</v>
      </c>
      <c r="O53" s="16">
        <v>1.9E-2</v>
      </c>
      <c r="P53" s="16">
        <v>1.7999999999999999E-2</v>
      </c>
      <c r="Q53" s="15">
        <v>5137213675.6800003</v>
      </c>
      <c r="R53" s="15">
        <v>4880352991.8999996</v>
      </c>
      <c r="S53" s="15">
        <v>4623492308.1099997</v>
      </c>
      <c r="T53" s="9" t="str">
        <f t="shared" si="7"/>
        <v>Abaixo do limite de alerta</v>
      </c>
      <c r="U53" s="9" t="s">
        <v>51</v>
      </c>
    </row>
    <row r="54" spans="1:21" x14ac:dyDescent="0.25">
      <c r="A54" s="9" t="str">
        <f t="shared" si="4"/>
        <v>Ministério Público|2º quad. 2025</v>
      </c>
      <c r="B54" s="9" t="s">
        <v>24</v>
      </c>
      <c r="C54" s="9" t="s">
        <v>24</v>
      </c>
      <c r="D54" s="9" t="s">
        <v>66</v>
      </c>
      <c r="E54" s="9" t="s">
        <v>54</v>
      </c>
      <c r="F54" s="9">
        <v>2</v>
      </c>
      <c r="G54" s="9" t="s">
        <v>9</v>
      </c>
      <c r="H54" s="9" t="s">
        <v>56</v>
      </c>
      <c r="I54" s="15">
        <v>3614211020.8099999</v>
      </c>
      <c r="J54" s="15">
        <v>259389753280.57999</v>
      </c>
      <c r="K54" s="10">
        <f t="shared" si="5"/>
        <v>1.3933515010134323E-2</v>
      </c>
      <c r="L54" s="16">
        <v>1.3899999999999999E-2</v>
      </c>
      <c r="M54" s="9" t="str">
        <f t="shared" si="6"/>
        <v>Sim</v>
      </c>
      <c r="N54" s="16">
        <v>0.02</v>
      </c>
      <c r="O54" s="16">
        <v>1.9E-2</v>
      </c>
      <c r="P54" s="16">
        <v>1.7999999999999999E-2</v>
      </c>
      <c r="Q54" s="15">
        <v>5187795065.6099997</v>
      </c>
      <c r="R54" s="15">
        <v>4928405312.3299999</v>
      </c>
      <c r="S54" s="15">
        <v>4669015559.0500002</v>
      </c>
      <c r="T54" s="9" t="str">
        <f t="shared" si="7"/>
        <v>Abaixo do limite de alerta</v>
      </c>
      <c r="U54" s="9" t="s">
        <v>51</v>
      </c>
    </row>
    <row r="55" spans="1:21" x14ac:dyDescent="0.25">
      <c r="A55" s="9" t="str">
        <f t="shared" si="4"/>
        <v>Ministério Público|3º quad. 2025</v>
      </c>
      <c r="B55" s="9" t="s">
        <v>24</v>
      </c>
      <c r="C55" s="9" t="s">
        <v>24</v>
      </c>
      <c r="D55" s="9" t="s">
        <v>66</v>
      </c>
      <c r="E55" s="9" t="s">
        <v>54</v>
      </c>
      <c r="F55" s="9">
        <v>3</v>
      </c>
      <c r="G55" s="9" t="s">
        <v>10</v>
      </c>
      <c r="H55" s="9" t="s">
        <v>57</v>
      </c>
      <c r="I55" s="15">
        <v>3642194195.21</v>
      </c>
      <c r="J55" s="15">
        <v>265761362580.37</v>
      </c>
      <c r="K55" s="10">
        <f t="shared" si="5"/>
        <v>1.3704754370035821E-2</v>
      </c>
      <c r="L55" s="16">
        <v>1.37E-2</v>
      </c>
      <c r="M55" s="9" t="str">
        <f t="shared" si="6"/>
        <v>Sim</v>
      </c>
      <c r="N55" s="16">
        <v>0.02</v>
      </c>
      <c r="O55" s="16">
        <v>1.9E-2</v>
      </c>
      <c r="P55" s="16">
        <v>1.7999999999999999E-2</v>
      </c>
      <c r="Q55" s="15">
        <v>5315227251.6099997</v>
      </c>
      <c r="R55" s="15">
        <v>5049465889.0299997</v>
      </c>
      <c r="S55" s="15">
        <v>4783704526.4499998</v>
      </c>
      <c r="T55" s="9" t="str">
        <f t="shared" si="7"/>
        <v>Abaixo do limite de alerta</v>
      </c>
      <c r="U55" s="9" t="s">
        <v>51</v>
      </c>
    </row>
    <row r="56" spans="1:21" x14ac:dyDescent="0.25">
      <c r="A56" s="9" t="str">
        <f t="shared" si="4"/>
        <v>Ministério Público|1º quad. 2026</v>
      </c>
      <c r="B56" s="9" t="s">
        <v>24</v>
      </c>
      <c r="C56" s="9" t="s">
        <v>24</v>
      </c>
      <c r="D56" s="9" t="s">
        <v>66</v>
      </c>
      <c r="E56" s="9" t="s">
        <v>58</v>
      </c>
      <c r="F56" s="9">
        <v>1</v>
      </c>
      <c r="G56" s="9" t="s">
        <v>11</v>
      </c>
      <c r="H56" s="9" t="s">
        <v>59</v>
      </c>
      <c r="I56" s="15">
        <v>3412583724.4499998</v>
      </c>
      <c r="J56" s="15">
        <v>270315717268.75</v>
      </c>
      <c r="K56" s="10">
        <f t="shared" si="5"/>
        <v>1.2624436932230552E-2</v>
      </c>
      <c r="L56" s="16">
        <v>1.26E-2</v>
      </c>
      <c r="M56" s="9" t="str">
        <f t="shared" si="6"/>
        <v>Sim</v>
      </c>
      <c r="N56" s="16">
        <v>0.02</v>
      </c>
      <c r="O56" s="16">
        <v>1.9E-2</v>
      </c>
      <c r="P56" s="16">
        <v>1.7999999999999999E-2</v>
      </c>
      <c r="Q56" s="15">
        <v>5406314345.3800001</v>
      </c>
      <c r="R56" s="15">
        <v>5135998628.1099997</v>
      </c>
      <c r="S56" s="15">
        <v>4865682910.8400002</v>
      </c>
      <c r="T56" s="9" t="str">
        <f t="shared" si="7"/>
        <v>Abaixo do limite de alerta</v>
      </c>
      <c r="U56" s="9" t="s">
        <v>51</v>
      </c>
    </row>
    <row r="57" spans="1:21" x14ac:dyDescent="0.25">
      <c r="A57" s="9" t="str">
        <f t="shared" si="4"/>
        <v>Ministério Público|2º quad. 2026</v>
      </c>
      <c r="B57" s="9" t="s">
        <v>24</v>
      </c>
      <c r="C57" s="9" t="s">
        <v>24</v>
      </c>
      <c r="D57" s="9" t="s">
        <v>66</v>
      </c>
      <c r="E57" s="9" t="s">
        <v>58</v>
      </c>
      <c r="F57" s="9">
        <v>2</v>
      </c>
      <c r="G57" s="9" t="s">
        <v>12</v>
      </c>
      <c r="H57" s="9" t="s">
        <v>60</v>
      </c>
      <c r="I57" s="15">
        <v>3933526878.4200001</v>
      </c>
      <c r="J57" s="15">
        <v>279170988510.08002</v>
      </c>
      <c r="K57" s="10">
        <f t="shared" si="5"/>
        <v>1.4090027403681928E-2</v>
      </c>
      <c r="L57" s="16">
        <v>1.41E-2</v>
      </c>
      <c r="M57" s="9" t="str">
        <f t="shared" si="6"/>
        <v>Sim</v>
      </c>
      <c r="N57" s="16">
        <v>0.02</v>
      </c>
      <c r="O57" s="16">
        <v>1.9E-2</v>
      </c>
      <c r="P57" s="16">
        <v>1.7999999999999999E-2</v>
      </c>
      <c r="Q57" s="15">
        <v>5583419770.1999998</v>
      </c>
      <c r="R57" s="15">
        <v>5304248781.6899996</v>
      </c>
      <c r="S57" s="15">
        <v>5025077793.1800003</v>
      </c>
      <c r="T57" s="9" t="str">
        <f t="shared" si="7"/>
        <v>Abaixo do limite de alerta</v>
      </c>
      <c r="U57" s="9" t="s">
        <v>51</v>
      </c>
    </row>
  </sheetData>
  <autoFilter ref="A1:U57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67</v>
      </c>
    </row>
    <row r="3" spans="1:2" ht="30" customHeight="1" x14ac:dyDescent="0.25">
      <c r="A3" s="18" t="s">
        <v>68</v>
      </c>
      <c r="B3" s="19" t="s">
        <v>69</v>
      </c>
    </row>
    <row r="4" spans="1:2" ht="15" customHeight="1" x14ac:dyDescent="0.25">
      <c r="A4" s="18" t="s">
        <v>70</v>
      </c>
      <c r="B4" s="19" t="s">
        <v>71</v>
      </c>
    </row>
    <row r="5" spans="1:2" ht="30" customHeight="1" x14ac:dyDescent="0.25">
      <c r="A5" s="18" t="s">
        <v>72</v>
      </c>
      <c r="B5" s="19" t="s">
        <v>73</v>
      </c>
    </row>
    <row r="6" spans="1:2" ht="30" customHeight="1" x14ac:dyDescent="0.25">
      <c r="A6" s="18" t="s">
        <v>74</v>
      </c>
      <c r="B6" s="19" t="s">
        <v>75</v>
      </c>
    </row>
    <row r="7" spans="1:2" ht="30" customHeight="1" x14ac:dyDescent="0.25">
      <c r="A7" s="18" t="s">
        <v>76</v>
      </c>
      <c r="B7" s="19" t="s">
        <v>77</v>
      </c>
    </row>
    <row r="8" spans="1:2" ht="60" customHeight="1" x14ac:dyDescent="0.25">
      <c r="A8" s="18" t="s">
        <v>78</v>
      </c>
      <c r="B8" s="19" t="s">
        <v>79</v>
      </c>
    </row>
    <row r="9" spans="1:2" ht="45" customHeight="1" x14ac:dyDescent="0.25">
      <c r="A9" s="18" t="s">
        <v>80</v>
      </c>
      <c r="B9" s="19" t="s">
        <v>81</v>
      </c>
    </row>
    <row r="10" spans="1:2" ht="15" customHeight="1" x14ac:dyDescent="0.25">
      <c r="A10" s="18" t="s">
        <v>82</v>
      </c>
      <c r="B10" s="19" t="s">
        <v>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2026-10-15T09:56:26Z</dcterms:created>
  <dcterms:modified xsi:type="dcterms:W3CDTF">2026-10-15T09:57:15Z</dcterms:modified>
</cp:coreProperties>
</file>