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4B86DC0BE0ACEE9147C13E73A4C8551FE70D3E15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F21" i="1"/>
  <c r="D21" i="1"/>
  <c r="D20" i="1"/>
  <c r="C20" i="1"/>
  <c r="J19" i="1"/>
  <c r="I19" i="1"/>
  <c r="H19" i="1"/>
  <c r="G19" i="1"/>
  <c r="F19" i="1"/>
  <c r="E19" i="1"/>
  <c r="D19" i="1"/>
  <c r="C19" i="1"/>
  <c r="J18" i="1"/>
  <c r="I18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T24" i="2"/>
  <c r="M24" i="2"/>
  <c r="M11" i="2"/>
  <c r="T11" i="2"/>
  <c r="C21" i="1"/>
  <c r="J20" i="1"/>
  <c r="I20" i="1"/>
  <c r="H20" i="1"/>
  <c r="G20" i="1"/>
  <c r="F20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E21" i="1"/>
  <c r="G21" i="1"/>
  <c r="T42" i="2"/>
  <c r="M42" i="2"/>
  <c r="M33" i="2"/>
  <c r="T33" i="2"/>
  <c r="L9" i="1" s="1"/>
  <c r="M32" i="2"/>
  <c r="T32" i="2"/>
  <c r="T31" i="2"/>
  <c r="M31" i="2"/>
  <c r="T30" i="2"/>
  <c r="M30" i="2"/>
  <c r="T29" i="2"/>
  <c r="M29" i="2"/>
  <c r="T28" i="2"/>
  <c r="M28" i="2"/>
  <c r="M27" i="2"/>
  <c r="T27" i="2"/>
  <c r="M26" i="2"/>
  <c r="T26" i="2"/>
  <c r="T25" i="2"/>
  <c r="L8" i="1" s="1"/>
  <c r="M25" i="2"/>
  <c r="T23" i="2"/>
  <c r="M23" i="2"/>
  <c r="M22" i="2"/>
  <c r="T22" i="2"/>
  <c r="T21" i="2"/>
  <c r="M21" i="2"/>
  <c r="M20" i="2"/>
  <c r="T20" i="2"/>
  <c r="T19" i="2"/>
  <c r="M19" i="2"/>
  <c r="M18" i="2"/>
  <c r="T18" i="2"/>
  <c r="M17" i="2"/>
  <c r="T17" i="2"/>
  <c r="T16" i="2"/>
  <c r="M16" i="2"/>
  <c r="T15" i="2"/>
  <c r="M15" i="2"/>
  <c r="M14" i="2"/>
  <c r="T14" i="2"/>
  <c r="T13" i="2"/>
  <c r="M13" i="2"/>
  <c r="T12" i="2"/>
  <c r="M12" i="2"/>
  <c r="T10" i="2"/>
  <c r="M10" i="2"/>
  <c r="T9" i="2"/>
  <c r="L6" i="1" s="1"/>
  <c r="M9" i="2"/>
  <c r="T8" i="2"/>
  <c r="M8" i="2"/>
  <c r="T7" i="2"/>
  <c r="M7" i="2"/>
  <c r="M6" i="2"/>
  <c r="T6" i="2"/>
  <c r="J21" i="1"/>
  <c r="I21" i="1"/>
  <c r="H21" i="1"/>
  <c r="E20" i="1"/>
  <c r="D7" i="1"/>
  <c r="J7" i="1"/>
  <c r="C8" i="1"/>
  <c r="L7" i="1"/>
  <c r="K7" i="1"/>
  <c r="I7" i="1"/>
  <c r="H7" i="1"/>
  <c r="G7" i="1"/>
  <c r="F7" i="1"/>
  <c r="E7" i="1"/>
  <c r="M5" i="2"/>
  <c r="T5" i="2"/>
  <c r="T4" i="2"/>
  <c r="M4" i="2"/>
  <c r="T3" i="2"/>
  <c r="M3" i="2"/>
  <c r="T2" i="2"/>
  <c r="M2" i="2"/>
  <c r="H8" i="1"/>
  <c r="E8" i="1"/>
  <c r="D8" i="1"/>
  <c r="F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<sst xmlns="http://schemas.openxmlformats.org/spreadsheetml/2006/main" count="427" uniqueCount="83">
  <si>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Piauí (PI)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</si>
  <si>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</si>
  <si>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</si>
  <si>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</si>
  <si>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</si>
  <si>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</si>
  <si>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</si>
  <si>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</si>
  <si>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</si>
  <si>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</si>
  <si>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</si>
  <si>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</si>
  <si>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</si>
  <si>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</si>
  <si>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</si>
  <si>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</si>
  <si>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</si>
  <si>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</si>
  <si>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</si>
  <si>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</si>
  <si>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</si>
  <si>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</si>
  <si>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</si>
  <si>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</si>
  <si>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</si>
  <si>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</si>
  <si>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</si>
  <si>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</si>
  <si>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</si>
  <si>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</si>
  <si>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</si>
  <si>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</si>
  <si>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</si>
  <si>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</si>
  <si>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</si>
  <si>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</si>
  <si>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</si>
  <si>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</si>
  <si>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</si>
  <si>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</si>
  <si>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</si>
  <si>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</si>
  <si>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</si>
  <si>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</si>
  <si>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</si>
  <si>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</si>
  <si>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</si>
  <si>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Piauí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</si>
  <si>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</si>
  <si>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</si>
  <si>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</si>
  <si>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</si>
  <si>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</si>
  <si>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</si>
  <si>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</si>
  <si>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</si>
  <si>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</si>
  <si>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</si>
  <si>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</si>
  <si>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</si>
  <si>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Piauí</t>
  </si>
  <si>
    <t>Tribunal de Justiça do Estado do Piauí</t>
  </si>
  <si>
    <t>Tribunal de Contas do Estado do Piauí</t>
  </si>
  <si>
    <t>Defensoria Pública do Estado do Piauí</t>
  </si>
  <si>
    <t>Calculado (despesa líquida / RCL Ajustada do Executivo)</t>
  </si>
  <si>
    <t>Ministério Público do Estado do Piauí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</si>
  <si>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</si>
  <si>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</si>
  <si>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</si>
  <si>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</si>
  <si>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Piauí (PI).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</si>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</sst>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0.40680006901440535</v>
      </c>
      <c r="D6" s="7">
        <f>IFERROR(IF(INDEX(Dados!$K$2:$K$49,MATCH($A6&amp;"|"&amp;D$5,Dados!$A$2:$A$49,0))="","",INDEX(Dados!$K$2:$K$49,MATCH($A6&amp;"|"&amp;D$5,Dados!$A$2:$A$49,0))),"")</f>
        <v>0.42289947886891627</v>
      </c>
      <c r="E6" s="7">
        <f>IFERROR(IF(INDEX(Dados!$K$2:$K$49,MATCH($A6&amp;"|"&amp;E$5,Dados!$A$2:$A$49,0))="","",INDEX(Dados!$K$2:$K$49,MATCH($A6&amp;"|"&amp;E$5,Dados!$A$2:$A$49,0))),"")</f>
        <v>0.41659187900149591</v>
      </c>
      <c r="F6" s="7">
        <f>IFERROR(IF(INDEX(Dados!$K$2:$K$49,MATCH($A6&amp;"|"&amp;F$5,Dados!$A$2:$A$49,0))="","",INDEX(Dados!$K$2:$K$49,MATCH($A6&amp;"|"&amp;F$5,Dados!$A$2:$A$49,0))),"")</f>
        <v>0.39746825732945446</v>
      </c>
      <c r="G6" s="7">
        <f>IFERROR(IF(INDEX(Dados!$K$2:$K$49,MATCH($A6&amp;"|"&amp;G$5,Dados!$A$2:$A$49,0))="","",INDEX(Dados!$K$2:$K$49,MATCH($A6&amp;"|"&amp;G$5,Dados!$A$2:$A$49,0))),"")</f>
        <v>0.38765820049826155</v>
      </c>
      <c r="H6" s="7">
        <f>IFERROR(IF(INDEX(Dados!$K$2:$K$49,MATCH($A6&amp;"|"&amp;H$5,Dados!$A$2:$A$49,0))="","",INDEX(Dados!$K$2:$K$49,MATCH($A6&amp;"|"&amp;H$5,Dados!$A$2:$A$49,0))),"")</f>
        <v>0.37796203750463864</v>
      </c>
      <c r="I6" s="7">
        <f>IFERROR(IF(INDEX(Dados!$K$2:$K$49,MATCH($A6&amp;"|"&amp;I$5,Dados!$A$2:$A$49,0))="","",INDEX(Dados!$K$2:$K$49,MATCH($A6&amp;"|"&amp;I$5,Dados!$A$2:$A$49,0))),"")</f>
        <v>0.36997054340149066</v>
      </c>
      <c r="J6" s="7">
        <f>IFERROR(IF(INDEX(Dados!$K$2:$K$49,MATCH($A6&amp;"|"&amp;J$5,Dados!$A$2:$A$49,0))="","",INDEX(Dados!$K$2:$K$49,MATCH($A6&amp;"|"&amp;J$5,Dados!$A$2:$A$49,0))),"")</f>
        <v>0.35275251397472979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1.7546112334729889E-2</v>
      </c>
      <c r="D7" s="10">
        <f>IFERROR(IF(INDEX(Dados!$K$2:$K$49,MATCH($A7&amp;"|"&amp;D$5,Dados!$A$2:$A$49,0))="","",INDEX(Dados!$K$2:$K$49,MATCH($A7&amp;"|"&amp;D$5,Dados!$A$2:$A$49,0))),"")</f>
        <v>2.0658547493853666E-2</v>
      </c>
      <c r="E7" s="10">
        <f>IFERROR(IF(INDEX(Dados!$K$2:$K$49,MATCH($A7&amp;"|"&amp;E$5,Dados!$A$2:$A$49,0))="","",INDEX(Dados!$K$2:$K$49,MATCH($A7&amp;"|"&amp;E$5,Dados!$A$2:$A$49,0))),"")</f>
        <v>2.0796088740127453E-2</v>
      </c>
      <c r="F7" s="10">
        <f>IFERROR(IF(INDEX(Dados!$K$2:$K$49,MATCH($A7&amp;"|"&amp;F$5,Dados!$A$2:$A$49,0))="","",INDEX(Dados!$K$2:$K$49,MATCH($A7&amp;"|"&amp;F$5,Dados!$A$2:$A$49,0))),"")</f>
        <v>1.9417000848319464E-2</v>
      </c>
      <c r="G7" s="10">
        <f>IFERROR(IF(INDEX(Dados!$K$2:$K$49,MATCH($A7&amp;"|"&amp;G$5,Dados!$A$2:$A$49,0))="","",INDEX(Dados!$K$2:$K$49,MATCH($A7&amp;"|"&amp;G$5,Dados!$A$2:$A$49,0))),"")</f>
        <v>1.7262955510686011E-2</v>
      </c>
      <c r="H7" s="10">
        <f>IFERROR(IF(INDEX(Dados!$K$2:$K$49,MATCH($A7&amp;"|"&amp;H$5,Dados!$A$2:$A$49,0))="","",INDEX(Dados!$K$2:$K$49,MATCH($A7&amp;"|"&amp;H$5,Dados!$A$2:$A$49,0))),"")</f>
        <v>1.5799827675975299E-2</v>
      </c>
      <c r="I7" s="10">
        <f>IFERROR(IF(INDEX(Dados!$K$2:$K$49,MATCH($A7&amp;"|"&amp;I$5,Dados!$A$2:$A$49,0))="","",INDEX(Dados!$K$2:$K$49,MATCH($A7&amp;"|"&amp;I$5,Dados!$A$2:$A$49,0))),"")</f>
        <v>1.5080279525958945E-2</v>
      </c>
      <c r="J7" s="10">
        <f>IFERROR(IF(INDEX(Dados!$K$2:$K$49,MATCH($A7&amp;"|"&amp;J$5,Dados!$A$2:$A$49,0))="","",INDEX(Dados!$K$2:$K$49,MATCH($A7&amp;"|"&amp;J$5,Dados!$A$2:$A$49,0))),"")</f>
        <v>1.4730369774509594E-2</v>
      </c>
      <c r="K7" s="10">
        <f>IFERROR(IF(INDEX(Dados!$N$2:$N$49,MATCH($A7&amp;"|"&amp;J$5,Dados!$A$2:$A$49,0))=0,"—",INDEX(Dados!$N$2:$N$49,MATCH($A7&amp;"|"&amp;J$5,Dados!$A$2:$A$49,0))),"—")</f>
        <v>0.02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3.633844358702492E-2</v>
      </c>
      <c r="D8" s="10">
        <f>IFERROR(IF(INDEX(Dados!$K$2:$K$49,MATCH($A8&amp;"|"&amp;D$5,Dados!$A$2:$A$49,0))="","",INDEX(Dados!$K$2:$K$49,MATCH($A8&amp;"|"&amp;D$5,Dados!$A$2:$A$49,0))),"")</f>
        <v>3.7993632344111739E-2</v>
      </c>
      <c r="E8" s="10">
        <f>IFERROR(IF(INDEX(Dados!$K$2:$K$49,MATCH($A8&amp;"|"&amp;E$5,Dados!$A$2:$A$49,0))="","",INDEX(Dados!$K$2:$K$49,MATCH($A8&amp;"|"&amp;E$5,Dados!$A$2:$A$49,0))),"")</f>
        <v>3.8246687807843363E-2</v>
      </c>
      <c r="F8" s="10">
        <f>IFERROR(IF(INDEX(Dados!$K$2:$K$49,MATCH($A8&amp;"|"&amp;F$5,Dados!$A$2:$A$49,0))="","",INDEX(Dados!$K$2:$K$49,MATCH($A8&amp;"|"&amp;F$5,Dados!$A$2:$A$49,0))),"")</f>
        <v>3.8573868234288815E-2</v>
      </c>
      <c r="G8" s="10">
        <f>IFERROR(IF(INDEX(Dados!$K$2:$K$49,MATCH($A8&amp;"|"&amp;G$5,Dados!$A$2:$A$49,0))="","",INDEX(Dados!$K$2:$K$49,MATCH($A8&amp;"|"&amp;G$5,Dados!$A$2:$A$49,0))),"")</f>
        <v>3.9201869470657728E-2</v>
      </c>
      <c r="H8" s="10">
        <f>IFERROR(IF(INDEX(Dados!$K$2:$K$49,MATCH($A8&amp;"|"&amp;H$5,Dados!$A$2:$A$49,0))="","",INDEX(Dados!$K$2:$K$49,MATCH($A8&amp;"|"&amp;H$5,Dados!$A$2:$A$49,0))),"")</f>
        <v>4.0051688308292713E-2</v>
      </c>
      <c r="I8" s="10">
        <f>IFERROR(IF(INDEX(Dados!$K$2:$K$49,MATCH($A8&amp;"|"&amp;I$5,Dados!$A$2:$A$49,0))="","",INDEX(Dados!$K$2:$K$49,MATCH($A8&amp;"|"&amp;I$5,Dados!$A$2:$A$49,0))),"")</f>
        <v>3.9487404979594617E-2</v>
      </c>
      <c r="J8" s="10">
        <f>IFERROR(IF(INDEX(Dados!$K$2:$K$49,MATCH($A8&amp;"|"&amp;J$5,Dados!$A$2:$A$49,0))="","",INDEX(Dados!$K$2:$K$49,MATCH($A8&amp;"|"&amp;J$5,Dados!$A$2:$A$49,0))),"")</f>
        <v>3.769979381217551E-2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7.1036420280059459E-3</v>
      </c>
      <c r="D9" s="10">
        <f>IFERROR(IF(INDEX(Dados!$K$2:$K$49,MATCH($A9&amp;"|"&amp;D$5,Dados!$A$2:$A$49,0))="","",INDEX(Dados!$K$2:$K$49,MATCH($A9&amp;"|"&amp;D$5,Dados!$A$2:$A$49,0))),"")</f>
        <v>7.2559727036678413E-3</v>
      </c>
      <c r="E9" s="10">
        <f>IFERROR(IF(INDEX(Dados!$K$2:$K$49,MATCH($A9&amp;"|"&amp;E$5,Dados!$A$2:$A$49,0))="","",INDEX(Dados!$K$2:$K$49,MATCH($A9&amp;"|"&amp;E$5,Dados!$A$2:$A$49,0))),"")</f>
        <v>7.2175202265714446E-3</v>
      </c>
      <c r="F9" s="10">
        <f>IFERROR(IF(INDEX(Dados!$K$2:$K$49,MATCH($A9&amp;"|"&amp;F$5,Dados!$A$2:$A$49,0))="","",INDEX(Dados!$K$2:$K$49,MATCH($A9&amp;"|"&amp;F$5,Dados!$A$2:$A$49,0))),"")</f>
        <v>7.2215575681402544E-3</v>
      </c>
      <c r="G9" s="10">
        <f>IFERROR(IF(INDEX(Dados!$K$2:$K$49,MATCH($A9&amp;"|"&amp;G$5,Dados!$A$2:$A$49,0))="","",INDEX(Dados!$K$2:$K$49,MATCH($A9&amp;"|"&amp;G$5,Dados!$A$2:$A$49,0))),"")</f>
        <v>7.1571188171683786E-3</v>
      </c>
      <c r="H9" s="10">
        <f>IFERROR(IF(INDEX(Dados!$K$2:$K$49,MATCH($A9&amp;"|"&amp;H$5,Dados!$A$2:$A$49,0))="","",INDEX(Dados!$K$2:$K$49,MATCH($A9&amp;"|"&amp;H$5,Dados!$A$2:$A$49,0))),"")</f>
        <v>7.0371783077501212E-3</v>
      </c>
      <c r="I9" s="10">
        <f>IFERROR(IF(INDEX(Dados!$K$2:$K$49,MATCH($A9&amp;"|"&amp;I$5,Dados!$A$2:$A$49,0))="","",INDEX(Dados!$K$2:$K$49,MATCH($A9&amp;"|"&amp;I$5,Dados!$A$2:$A$49,0))),"")</f>
        <v>6.9118340450520163E-3</v>
      </c>
      <c r="J9" s="10">
        <f>IFERROR(IF(INDEX(Dados!$K$2:$K$49,MATCH($A9&amp;"|"&amp;J$5,Dados!$A$2:$A$49,0))="","",INDEX(Dados!$K$2:$K$49,MATCH($A9&amp;"|"&amp;J$5,Dados!$A$2:$A$49,0))),"")</f>
        <v>6.7042536877781602E-3</v>
      </c>
      <c r="K9" s="10">
        <f>IFERROR(IF(INDEX(Dados!$N$2:$N$49,MATCH($A9&amp;"|"&amp;J$5,Dados!$A$2:$A$49,0))=0,"—",INDEX(Dados!$N$2:$N$49,MATCH($A9&amp;"|"&amp;J$5,Dados!$A$2:$A$49,0))),"—")</f>
        <v>0.01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5.1997568085147524E-3</v>
      </c>
      <c r="D10" s="10">
        <f>IFERROR(IF(INDEX(Dados!$K$2:$K$49,MATCH($A10&amp;"|"&amp;D$5,Dados!$A$2:$A$49,0))="","",INDEX(Dados!$K$2:$K$49,MATCH($A10&amp;"|"&amp;D$5,Dados!$A$2:$A$49,0))),"")</f>
        <v>5.2579858772611723E-3</v>
      </c>
      <c r="E10" s="10">
        <f>IFERROR(IF(INDEX(Dados!$K$2:$K$49,MATCH($A10&amp;"|"&amp;E$5,Dados!$A$2:$A$49,0))="","",INDEX(Dados!$K$2:$K$49,MATCH($A10&amp;"|"&amp;E$5,Dados!$A$2:$A$49,0))),"")</f>
        <v>5.46021612670094E-3</v>
      </c>
      <c r="F10" s="10">
        <f>IFERROR(IF(INDEX(Dados!$K$2:$K$49,MATCH($A10&amp;"|"&amp;F$5,Dados!$A$2:$A$49,0))="","",INDEX(Dados!$K$2:$K$49,MATCH($A10&amp;"|"&amp;F$5,Dados!$A$2:$A$49,0))),"")</f>
        <v>5.5916658108270279E-3</v>
      </c>
      <c r="G10" s="10">
        <f>IFERROR(IF(INDEX(Dados!$K$2:$K$49,MATCH($A10&amp;"|"&amp;G$5,Dados!$A$2:$A$49,0))="","",INDEX(Dados!$K$2:$K$49,MATCH($A10&amp;"|"&amp;G$5,Dados!$A$2:$A$49,0))),"")</f>
        <v>5.5928757376734394E-3</v>
      </c>
      <c r="H10" s="10">
        <f>IFERROR(IF(INDEX(Dados!$K$2:$K$49,MATCH($A10&amp;"|"&amp;H$5,Dados!$A$2:$A$49,0))="","",INDEX(Dados!$K$2:$K$49,MATCH($A10&amp;"|"&amp;H$5,Dados!$A$2:$A$49,0))),"")</f>
        <v>5.4977187787790685E-3</v>
      </c>
      <c r="I10" s="10">
        <f>IFERROR(IF(INDEX(Dados!$K$2:$K$49,MATCH($A10&amp;"|"&amp;I$5,Dados!$A$2:$A$49,0))="","",INDEX(Dados!$K$2:$K$49,MATCH($A10&amp;"|"&amp;I$5,Dados!$A$2:$A$49,0))),"")</f>
        <v>5.2958671146568831E-3</v>
      </c>
      <c r="J10" s="10">
        <f>IFERROR(IF(INDEX(Dados!$K$2:$K$49,MATCH($A10&amp;"|"&amp;J$5,Dados!$A$2:$A$49,0))="","",INDEX(Dados!$K$2:$K$49,MATCH($A10&amp;"|"&amp;J$5,Dados!$A$2:$A$49,0))),"")</f>
        <v>4.9610358463132321E-3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1.2743231870194209E-2</v>
      </c>
      <c r="D11" s="10">
        <f>IFERROR(IF(INDEX(Dados!$K$2:$K$49,MATCH($A11&amp;"|"&amp;D$5,Dados!$A$2:$A$49,0))="","",INDEX(Dados!$K$2:$K$49,MATCH($A11&amp;"|"&amp;D$5,Dados!$A$2:$A$49,0))),"")</f>
        <v>1.286221376090723E-2</v>
      </c>
      <c r="E11" s="10">
        <f>IFERROR(IF(INDEX(Dados!$K$2:$K$49,MATCH($A11&amp;"|"&amp;E$5,Dados!$A$2:$A$49,0))="","",INDEX(Dados!$K$2:$K$49,MATCH($A11&amp;"|"&amp;E$5,Dados!$A$2:$A$49,0))),"")</f>
        <v>1.3107327178239836E-2</v>
      </c>
      <c r="F11" s="10">
        <f>IFERROR(IF(INDEX(Dados!$K$2:$K$49,MATCH($A11&amp;"|"&amp;F$5,Dados!$A$2:$A$49,0))="","",INDEX(Dados!$K$2:$K$49,MATCH($A11&amp;"|"&amp;F$5,Dados!$A$2:$A$49,0))),"")</f>
        <v>1.3237551281579659E-2</v>
      </c>
      <c r="G11" s="10">
        <f>IFERROR(IF(INDEX(Dados!$K$2:$K$49,MATCH($A11&amp;"|"&amp;G$5,Dados!$A$2:$A$49,0))="","",INDEX(Dados!$K$2:$K$49,MATCH($A11&amp;"|"&amp;G$5,Dados!$A$2:$A$49,0))),"")</f>
        <v>1.3346839039524321E-2</v>
      </c>
      <c r="H11" s="10">
        <f>IFERROR(IF(INDEX(Dados!$K$2:$K$49,MATCH($A11&amp;"|"&amp;H$5,Dados!$A$2:$A$49,0))="","",INDEX(Dados!$K$2:$K$49,MATCH($A11&amp;"|"&amp;H$5,Dados!$A$2:$A$49,0))),"")</f>
        <v>1.3096576489375662E-2</v>
      </c>
      <c r="I11" s="10">
        <f>IFERROR(IF(INDEX(Dados!$K$2:$K$49,MATCH($A11&amp;"|"&amp;I$5,Dados!$A$2:$A$49,0))="","",INDEX(Dados!$K$2:$K$49,MATCH($A11&amp;"|"&amp;I$5,Dados!$A$2:$A$49,0))),"")</f>
        <v>1.2875352180676739E-2</v>
      </c>
      <c r="J11" s="10">
        <f>IFERROR(IF(INDEX(Dados!$K$2:$K$49,MATCH($A11&amp;"|"&amp;J$5,Dados!$A$2:$A$49,0))="","",INDEX(Dados!$K$2:$K$49,MATCH($A11&amp;"|"&amp;J$5,Dados!$A$2:$A$49,0))),"")</f>
        <v>1.2159664172234668E-2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16162.591087409999</v>
      </c>
      <c r="D12" s="12">
        <f>IFERROR(INDEX(Dados!$J$2:$J$49,MATCH("Governo|"&amp;D$5,Dados!$A$2:$A$49,0))/1000000,"")</f>
        <v>16486.978514890001</v>
      </c>
      <c r="E12" s="12">
        <f>IFERROR(INDEX(Dados!$J$2:$J$49,MATCH("Governo|"&amp;E$5,Dados!$A$2:$A$49,0))/1000000,"")</f>
        <v>17101.669200120003</v>
      </c>
      <c r="F12" s="12">
        <f>IFERROR(INDEX(Dados!$J$2:$J$49,MATCH("Governo|"&amp;F$5,Dados!$A$2:$A$49,0))/1000000,"")</f>
        <v>17341.857711209999</v>
      </c>
      <c r="G12" s="12">
        <f>IFERROR(INDEX(Dados!$J$2:$J$49,MATCH("Governo|"&amp;G$5,Dados!$A$2:$A$49,0))/1000000,"")</f>
        <v>17916.78116233</v>
      </c>
      <c r="H12" s="12">
        <f>IFERROR(INDEX(Dados!$J$2:$J$49,MATCH("Governo|"&amp;H$5,Dados!$A$2:$A$49,0))/1000000,"")</f>
        <v>18659.06345664</v>
      </c>
      <c r="I12" s="12">
        <f>IFERROR(INDEX(Dados!$J$2:$J$49,MATCH("Governo|"&amp;I$5,Dados!$A$2:$A$49,0))/1000000,"")</f>
        <v>19636.840112959999</v>
      </c>
      <c r="J12" s="12">
        <f>IFERROR(INDEX(Dados!$J$2:$J$49,MATCH("Governo|"&amp;J$5,Dados!$A$2:$A$49,0))/1000000,"")</f>
        <v>21347.786791080001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6574.9431698100007</v>
      </c>
      <c r="D16" s="13">
        <f>IFERROR(IF(INDEX(Dados!$I$2:$I$49,MATCH($A16&amp;"|"&amp;D$15,Dados!$A$2:$A$49,0))="","",INDEX(Dados!$I$2:$I$49,MATCH($A16&amp;"|"&amp;D$15,Dados!$A$2:$A$49,0))/1000000),"")</f>
        <v>6972.3346220699996</v>
      </c>
      <c r="E16" s="13">
        <f>IFERROR(IF(INDEX(Dados!$I$2:$I$49,MATCH($A16&amp;"|"&amp;E$15,Dados!$A$2:$A$49,0))="","",INDEX(Dados!$I$2:$I$49,MATCH($A16&amp;"|"&amp;E$15,Dados!$A$2:$A$49,0))/1000000),"")</f>
        <v>7124.4165061399999</v>
      </c>
      <c r="F16" s="13">
        <f>IFERROR(IF(INDEX(Dados!$I$2:$I$49,MATCH($A16&amp;"|"&amp;F$15,Dados!$A$2:$A$49,0))="","",INDEX(Dados!$I$2:$I$49,MATCH($A16&amp;"|"&amp;F$15,Dados!$A$2:$A$49,0))/1000000),"")</f>
        <v>6892.8379633300001</v>
      </c>
      <c r="G16" s="13">
        <f>IFERROR(IF(INDEX(Dados!$I$2:$I$49,MATCH($A16&amp;"|"&amp;G$15,Dados!$A$2:$A$49,0))="","",INDEX(Dados!$I$2:$I$49,MATCH($A16&amp;"|"&amp;G$15,Dados!$A$2:$A$49,0))/1000000),"")</f>
        <v>6945.5871441099998</v>
      </c>
      <c r="H16" s="13">
        <f>IFERROR(IF(INDEX(Dados!$I$2:$I$49,MATCH($A16&amp;"|"&amp;H$15,Dados!$A$2:$A$49,0))="","",INDEX(Dados!$I$2:$I$49,MATCH($A16&amp;"|"&amp;H$15,Dados!$A$2:$A$49,0))/1000000),"")</f>
        <v>7052.4176420000003</v>
      </c>
      <c r="I16" s="13">
        <f>IFERROR(IF(INDEX(Dados!$I$2:$I$49,MATCH($A16&amp;"|"&amp;I$15,Dados!$A$2:$A$49,0))="","",INDEX(Dados!$I$2:$I$49,MATCH($A16&amp;"|"&amp;I$15,Dados!$A$2:$A$49,0))/1000000),"")</f>
        <v>7265.0524072799999</v>
      </c>
      <c r="J16" s="13">
        <f>IFERROR(IF(INDEX(Dados!$I$2:$I$49,MATCH($A16&amp;"|"&amp;J$15,Dados!$A$2:$A$49,0))="","",INDEX(Dados!$I$2:$I$49,MATCH($A16&amp;"|"&amp;J$15,Dados!$A$2:$A$49,0))/1000000),"")</f>
        <v>7530.48545835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283.59063884</v>
      </c>
      <c r="D17" s="14">
        <f>IFERROR(IF(INDEX(Dados!$I$2:$I$49,MATCH($A17&amp;"|"&amp;D$15,Dados!$A$2:$A$49,0))="","",INDEX(Dados!$I$2:$I$49,MATCH($A17&amp;"|"&amp;D$15,Dados!$A$2:$A$49,0))/1000000),"")</f>
        <v>340.59702867999999</v>
      </c>
      <c r="E17" s="14">
        <f>IFERROR(IF(INDEX(Dados!$I$2:$I$49,MATCH($A17&amp;"|"&amp;E$15,Dados!$A$2:$A$49,0))="","",INDEX(Dados!$I$2:$I$49,MATCH($A17&amp;"|"&amp;E$15,Dados!$A$2:$A$49,0))/1000000),"")</f>
        <v>355.64783029</v>
      </c>
      <c r="F17" s="14">
        <f>IFERROR(IF(INDEX(Dados!$I$2:$I$49,MATCH($A17&amp;"|"&amp;F$15,Dados!$A$2:$A$49,0))="","",INDEX(Dados!$I$2:$I$49,MATCH($A17&amp;"|"&amp;F$15,Dados!$A$2:$A$49,0))/1000000),"")</f>
        <v>336.72686589</v>
      </c>
      <c r="G17" s="14">
        <f>IFERROR(IF(INDEX(Dados!$I$2:$I$49,MATCH($A17&amp;"|"&amp;G$15,Dados!$A$2:$A$49,0))="","",INDEX(Dados!$I$2:$I$49,MATCH($A17&amp;"|"&amp;G$15,Dados!$A$2:$A$49,0))/1000000),"")</f>
        <v>309.29659610000004</v>
      </c>
      <c r="H17" s="14">
        <f>IFERROR(IF(INDEX(Dados!$I$2:$I$49,MATCH($A17&amp;"|"&amp;H$15,Dados!$A$2:$A$49,0))="","",INDEX(Dados!$I$2:$I$49,MATCH($A17&amp;"|"&amp;H$15,Dados!$A$2:$A$49,0))/1000000),"")</f>
        <v>294.80998720999997</v>
      </c>
      <c r="I17" s="14">
        <f>IFERROR(IF(INDEX(Dados!$I$2:$I$49,MATCH($A17&amp;"|"&amp;I$15,Dados!$A$2:$A$49,0))="","",INDEX(Dados!$I$2:$I$49,MATCH($A17&amp;"|"&amp;I$15,Dados!$A$2:$A$49,0))/1000000),"")</f>
        <v>296.12903791000002</v>
      </c>
      <c r="J17" s="14">
        <f>IFERROR(IF(INDEX(Dados!$I$2:$I$49,MATCH($A17&amp;"|"&amp;J$15,Dados!$A$2:$A$49,0))="","",INDEX(Dados!$I$2:$I$49,MATCH($A17&amp;"|"&amp;J$15,Dados!$A$2:$A$49,0))/1000000),"")</f>
        <v>314.46079330000003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587.32340445</v>
      </c>
      <c r="D18" s="14">
        <f>IFERROR(IF(INDEX(Dados!$I$2:$I$49,MATCH($A18&amp;"|"&amp;D$15,Dados!$A$2:$A$49,0))="","",INDEX(Dados!$I$2:$I$49,MATCH($A18&amp;"|"&amp;D$15,Dados!$A$2:$A$49,0))/1000000),"")</f>
        <v>626.40020015999994</v>
      </c>
      <c r="E18" s="14">
        <f>IFERROR(IF(INDEX(Dados!$I$2:$I$49,MATCH($A18&amp;"|"&amp;E$15,Dados!$A$2:$A$49,0))="","",INDEX(Dados!$I$2:$I$49,MATCH($A18&amp;"|"&amp;E$15,Dados!$A$2:$A$49,0))/1000000),"")</f>
        <v>654.08220288999996</v>
      </c>
      <c r="F18" s="14">
        <f>IFERROR(IF(INDEX(Dados!$I$2:$I$49,MATCH($A18&amp;"|"&amp;F$15,Dados!$A$2:$A$49,0))="","",INDEX(Dados!$I$2:$I$49,MATCH($A18&amp;"|"&amp;F$15,Dados!$A$2:$A$49,0))/1000000),"")</f>
        <v>668.94253428999991</v>
      </c>
      <c r="G18" s="14">
        <f>IFERROR(IF(INDEX(Dados!$I$2:$I$49,MATCH($A18&amp;"|"&amp;G$15,Dados!$A$2:$A$49,0))="","",INDEX(Dados!$I$2:$I$49,MATCH($A18&amp;"|"&amp;G$15,Dados!$A$2:$A$49,0))/1000000),"")</f>
        <v>702.37131646</v>
      </c>
      <c r="H18" s="14">
        <f>IFERROR(IF(INDEX(Dados!$I$2:$I$49,MATCH($A18&amp;"|"&amp;H$15,Dados!$A$2:$A$49,0))="","",INDEX(Dados!$I$2:$I$49,MATCH($A18&amp;"|"&amp;H$15,Dados!$A$2:$A$49,0))/1000000),"")</f>
        <v>747.32699369000011</v>
      </c>
      <c r="I18" s="14">
        <f>IFERROR(IF(INDEX(Dados!$I$2:$I$49,MATCH($A18&amp;"|"&amp;I$15,Dados!$A$2:$A$49,0))="","",INDEX(Dados!$I$2:$I$49,MATCH($A18&amp;"|"&amp;I$15,Dados!$A$2:$A$49,0))/1000000),"")</f>
        <v>775.40785805999997</v>
      </c>
      <c r="J18" s="14">
        <f>IFERROR(IF(INDEX(Dados!$I$2:$I$49,MATCH($A18&amp;"|"&amp;J$15,Dados!$A$2:$A$49,0))="","",INDEX(Dados!$I$2:$I$49,MATCH($A18&amp;"|"&amp;J$15,Dados!$A$2:$A$49,0))/1000000),"")</f>
        <v>804.80716037000002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114.81326133</v>
      </c>
      <c r="D19" s="14">
        <f>IFERROR(IF(INDEX(Dados!$I$2:$I$49,MATCH($A19&amp;"|"&amp;D$15,Dados!$A$2:$A$49,0))="","",INDEX(Dados!$I$2:$I$49,MATCH($A19&amp;"|"&amp;D$15,Dados!$A$2:$A$49,0))/1000000),"")</f>
        <v>119.62906606999999</v>
      </c>
      <c r="E19" s="14">
        <f>IFERROR(IF(INDEX(Dados!$I$2:$I$49,MATCH($A19&amp;"|"&amp;E$15,Dados!$A$2:$A$49,0))="","",INDEX(Dados!$I$2:$I$49,MATCH($A19&amp;"|"&amp;E$15,Dados!$A$2:$A$49,0))/1000000),"")</f>
        <v>123.43164336</v>
      </c>
      <c r="F19" s="14">
        <f>IFERROR(IF(INDEX(Dados!$I$2:$I$49,MATCH($A19&amp;"|"&amp;F$15,Dados!$A$2:$A$49,0))="","",INDEX(Dados!$I$2:$I$49,MATCH($A19&amp;"|"&amp;F$15,Dados!$A$2:$A$49,0))/1000000),"")</f>
        <v>125.2352238</v>
      </c>
      <c r="G19" s="14">
        <f>IFERROR(IF(INDEX(Dados!$I$2:$I$49,MATCH($A19&amp;"|"&amp;G$15,Dados!$A$2:$A$49,0))="","",INDEX(Dados!$I$2:$I$49,MATCH($A19&amp;"|"&amp;G$15,Dados!$A$2:$A$49,0))/1000000),"")</f>
        <v>128.23253159999999</v>
      </c>
      <c r="H19" s="14">
        <f>IFERROR(IF(INDEX(Dados!$I$2:$I$49,MATCH($A19&amp;"|"&amp;H$15,Dados!$A$2:$A$49,0))="","",INDEX(Dados!$I$2:$I$49,MATCH($A19&amp;"|"&amp;H$15,Dados!$A$2:$A$49,0))/1000000),"")</f>
        <v>131.30715659999998</v>
      </c>
      <c r="I19" s="14">
        <f>IFERROR(IF(INDEX(Dados!$I$2:$I$49,MATCH($A19&amp;"|"&amp;I$15,Dados!$A$2:$A$49,0))="","",INDEX(Dados!$I$2:$I$49,MATCH($A19&amp;"|"&amp;I$15,Dados!$A$2:$A$49,0))/1000000),"")</f>
        <v>135.72658003000001</v>
      </c>
      <c r="J19" s="14">
        <f>IFERROR(IF(INDEX(Dados!$I$2:$I$49,MATCH($A19&amp;"|"&amp;J$15,Dados!$A$2:$A$49,0))="","",INDEX(Dados!$I$2:$I$49,MATCH($A19&amp;"|"&amp;J$15,Dados!$A$2:$A$49,0))/1000000),"")</f>
        <v>143.12097832000001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84.041543050000001</v>
      </c>
      <c r="D20" s="14">
        <f>IFERROR(IF(INDEX(Dados!$I$2:$I$49,MATCH($A20&amp;"|"&amp;D$15,Dados!$A$2:$A$49,0))="","",INDEX(Dados!$I$2:$I$49,MATCH($A20&amp;"|"&amp;D$15,Dados!$A$2:$A$49,0))/1000000),"")</f>
        <v>86.688300189999993</v>
      </c>
      <c r="E20" s="14">
        <f>IFERROR(IF(INDEX(Dados!$I$2:$I$49,MATCH($A20&amp;"|"&amp;E$15,Dados!$A$2:$A$49,0))="","",INDEX(Dados!$I$2:$I$49,MATCH($A20&amp;"|"&amp;E$15,Dados!$A$2:$A$49,0))/1000000),"")</f>
        <v>93.378809959999998</v>
      </c>
      <c r="F20" s="14">
        <f>IFERROR(IF(INDEX(Dados!$I$2:$I$49,MATCH($A20&amp;"|"&amp;F$15,Dados!$A$2:$A$49,0))="","",INDEX(Dados!$I$2:$I$49,MATCH($A20&amp;"|"&amp;F$15,Dados!$A$2:$A$49,0))/1000000),"")</f>
        <v>96.969872859999995</v>
      </c>
      <c r="G20" s="14">
        <f>IFERROR(IF(INDEX(Dados!$I$2:$I$49,MATCH($A20&amp;"|"&amp;G$15,Dados!$A$2:$A$49,0))="","",INDEX(Dados!$I$2:$I$49,MATCH($A20&amp;"|"&amp;G$15,Dados!$A$2:$A$49,0))/1000000),"")</f>
        <v>100.20633065999999</v>
      </c>
      <c r="H20" s="14">
        <f>IFERROR(IF(INDEX(Dados!$I$2:$I$49,MATCH($A20&amp;"|"&amp;H$15,Dados!$A$2:$A$49,0))="","",INDEX(Dados!$I$2:$I$49,MATCH($A20&amp;"|"&amp;H$15,Dados!$A$2:$A$49,0))/1000000),"")</f>
        <v>102.58228356000001</v>
      </c>
      <c r="I20" s="14">
        <f>IFERROR(IF(INDEX(Dados!$I$2:$I$49,MATCH($A20&amp;"|"&amp;I$15,Dados!$A$2:$A$49,0))="","",INDEX(Dados!$I$2:$I$49,MATCH($A20&amp;"|"&amp;I$15,Dados!$A$2:$A$49,0))/1000000),"")</f>
        <v>103.99409579</v>
      </c>
      <c r="J20" s="14">
        <f>IFERROR(IF(INDEX(Dados!$I$2:$I$49,MATCH($A20&amp;"|"&amp;J$15,Dados!$A$2:$A$49,0))="","",INDEX(Dados!$I$2:$I$49,MATCH($A20&amp;"|"&amp;J$15,Dados!$A$2:$A$49,0))/1000000),"")</f>
        <v>105.90713551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205.96364585000001</v>
      </c>
      <c r="D21" s="14">
        <f>IFERROR(IF(INDEX(Dados!$I$2:$I$49,MATCH($A21&amp;"|"&amp;D$15,Dados!$A$2:$A$49,0))="","",INDEX(Dados!$I$2:$I$49,MATCH($A21&amp;"|"&amp;D$15,Dados!$A$2:$A$49,0))/1000000),"")</f>
        <v>212.05904193000001</v>
      </c>
      <c r="E21" s="14">
        <f>IFERROR(IF(INDEX(Dados!$I$2:$I$49,MATCH($A21&amp;"|"&amp;E$15,Dados!$A$2:$A$49,0))="","",INDEX(Dados!$I$2:$I$49,MATCH($A21&amp;"|"&amp;E$15,Dados!$A$2:$A$49,0))/1000000),"")</f>
        <v>224.1571735</v>
      </c>
      <c r="F21" s="14">
        <f>IFERROR(IF(INDEX(Dados!$I$2:$I$49,MATCH($A21&amp;"|"&amp;F$15,Dados!$A$2:$A$49,0))="","",INDEX(Dados!$I$2:$I$49,MATCH($A21&amp;"|"&amp;F$15,Dados!$A$2:$A$49,0))/1000000),"")</f>
        <v>229.56373077000001</v>
      </c>
      <c r="G21" s="14">
        <f>IFERROR(IF(INDEX(Dados!$I$2:$I$49,MATCH($A21&amp;"|"&amp;G$15,Dados!$A$2:$A$49,0))="","",INDEX(Dados!$I$2:$I$49,MATCH($A21&amp;"|"&amp;G$15,Dados!$A$2:$A$49,0))/1000000),"")</f>
        <v>239.13239428</v>
      </c>
      <c r="H21" s="14">
        <f>IFERROR(IF(INDEX(Dados!$I$2:$I$49,MATCH($A21&amp;"|"&amp;H$15,Dados!$A$2:$A$49,0))="","",INDEX(Dados!$I$2:$I$49,MATCH($A21&amp;"|"&amp;H$15,Dados!$A$2:$A$49,0))/1000000),"")</f>
        <v>244.36985178</v>
      </c>
      <c r="I21" s="14">
        <f>IFERROR(IF(INDEX(Dados!$I$2:$I$49,MATCH($A21&amp;"|"&amp;I$15,Dados!$A$2:$A$49,0))="","",INDEX(Dados!$I$2:$I$49,MATCH($A21&amp;"|"&amp;I$15,Dados!$A$2:$A$49,0))/1000000),"")</f>
        <v>252.83123216999999</v>
      </c>
      <c r="J21" s="14">
        <f>IFERROR(IF(INDEX(Dados!$I$2:$I$49,MATCH($A21&amp;"|"&amp;J$15,Dados!$A$2:$A$49,0))="","",INDEX(Dados!$I$2:$I$49,MATCH($A21&amp;"|"&amp;J$15,Dados!$A$2:$A$49,0))/1000000),"")</f>
        <v>259.58191819999996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6574943169.8100004</v>
      </c>
      <c r="J2" s="15">
        <v>16162591087.41</v>
      </c>
      <c r="K2" s="10">
        <f t="shared" ref="K2:K49" si="1">IF(OR(I2="",J2="",J2=0),"",I2/J2)</f>
        <v>0.40680006901440535</v>
      </c>
      <c r="L2" s="16">
        <v>0.40679999999999999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7919669632.8299999</v>
      </c>
      <c r="R2" s="15">
        <v>7523686151.1899996</v>
      </c>
      <c r="S2" s="15">
        <v>7127702669.5500002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6972334622.0699997</v>
      </c>
      <c r="J3" s="15">
        <v>16486978514.889999</v>
      </c>
      <c r="K3" s="10">
        <f t="shared" si="1"/>
        <v>0.42289947886891627</v>
      </c>
      <c r="L3" s="16">
        <v>0.4229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8078619472.29</v>
      </c>
      <c r="R3" s="15">
        <v>7674688498.6800003</v>
      </c>
      <c r="S3" s="15">
        <v>7270757525.0600004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7124416506.1400003</v>
      </c>
      <c r="J4" s="15">
        <v>17101669200.120001</v>
      </c>
      <c r="K4" s="10">
        <f t="shared" si="1"/>
        <v>0.41659187900149591</v>
      </c>
      <c r="L4" s="16">
        <v>0.41660000000000003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8379817908.0600004</v>
      </c>
      <c r="R4" s="15">
        <v>7960827012.6599998</v>
      </c>
      <c r="S4" s="15">
        <v>7541836117.25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6892837963.3299999</v>
      </c>
      <c r="J5" s="15">
        <v>17341857711.209999</v>
      </c>
      <c r="K5" s="10">
        <f t="shared" si="1"/>
        <v>0.39746825732945446</v>
      </c>
      <c r="L5" s="16">
        <v>0.39750000000000002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8497510278.4899998</v>
      </c>
      <c r="R5" s="15">
        <v>8072634764.5699997</v>
      </c>
      <c r="S5" s="15">
        <v>7647759250.6400003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6945587144.1099997</v>
      </c>
      <c r="J6" s="15">
        <v>17916781162.330002</v>
      </c>
      <c r="K6" s="10">
        <f t="shared" si="1"/>
        <v>0.38765820049826155</v>
      </c>
      <c r="L6" s="16">
        <v>0.38769999999999999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8779222769.5400009</v>
      </c>
      <c r="R6" s="15">
        <v>8340261631.0600004</v>
      </c>
      <c r="S6" s="15">
        <v>7901300492.5900002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7052417642</v>
      </c>
      <c r="J7" s="15">
        <v>18659063456.639999</v>
      </c>
      <c r="K7" s="10">
        <f t="shared" si="1"/>
        <v>0.37796203750463864</v>
      </c>
      <c r="L7" s="16">
        <v>0.37799999999999989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9142941093.75</v>
      </c>
      <c r="R7" s="15">
        <v>8685794039.0599995</v>
      </c>
      <c r="S7" s="15">
        <v>8228646984.3800001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7265052407.2799997</v>
      </c>
      <c r="J8" s="15">
        <v>19636840112.959999</v>
      </c>
      <c r="K8" s="10">
        <f t="shared" si="1"/>
        <v>0.36997054340149066</v>
      </c>
      <c r="L8" s="16">
        <v>0.37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9622051655.3500004</v>
      </c>
      <c r="R8" s="15">
        <v>9140949072.5799999</v>
      </c>
      <c r="S8" s="15">
        <v>8659846489.8199997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7530485458.3500004</v>
      </c>
      <c r="J9" s="15">
        <v>21347786791.080002</v>
      </c>
      <c r="K9" s="10">
        <f t="shared" si="1"/>
        <v>0.35275251397472979</v>
      </c>
      <c r="L9" s="16">
        <v>0.3528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10460415527.629999</v>
      </c>
      <c r="R9" s="15">
        <v>9937394751.25</v>
      </c>
      <c r="S9" s="15">
        <v>9414373974.8700008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283590638.83999997</v>
      </c>
      <c r="J10" s="15">
        <v>16162591087.41</v>
      </c>
      <c r="K10" s="10">
        <f t="shared" si="1"/>
        <v>1.7546112334729889E-2</v>
      </c>
      <c r="L10" s="16">
        <v>1.7500000000000002E-2</v>
      </c>
      <c r="M10" s="9" t="str">
        <f t="shared" si="2"/>
        <v>Sim</v>
      </c>
      <c r="N10" s="16">
        <v>0.02</v>
      </c>
      <c r="O10" s="16">
        <v>1.9E-2</v>
      </c>
      <c r="P10" s="16">
        <v>1.7999999999999999E-2</v>
      </c>
      <c r="Q10" s="15">
        <v>323251821.75</v>
      </c>
      <c r="R10" s="15">
        <v>307089230.66000003</v>
      </c>
      <c r="S10" s="15">
        <v>290926639.57999998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340597028.68000001</v>
      </c>
      <c r="J11" s="15">
        <v>16486978514.889999</v>
      </c>
      <c r="K11" s="10">
        <f t="shared" si="1"/>
        <v>2.0658547493853666E-2</v>
      </c>
      <c r="L11" s="16">
        <v>2.07E-2</v>
      </c>
      <c r="M11" s="9" t="str">
        <f t="shared" si="2"/>
        <v>Sim</v>
      </c>
      <c r="N11" s="16">
        <v>0.02</v>
      </c>
      <c r="O11" s="16">
        <v>1.9E-2</v>
      </c>
      <c r="P11" s="16">
        <v>1.7999999999999999E-2</v>
      </c>
      <c r="Q11" s="15">
        <v>329739570.30000001</v>
      </c>
      <c r="R11" s="15">
        <v>313252591.79000002</v>
      </c>
      <c r="S11" s="15">
        <v>296765613.26999998</v>
      </c>
      <c r="T11" s="9" t="str">
        <f t="shared" si="3"/>
        <v>Acima do limite máximo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355647830.29000002</v>
      </c>
      <c r="J12" s="15">
        <v>17101669200.120001</v>
      </c>
      <c r="K12" s="10">
        <f t="shared" si="1"/>
        <v>2.0796088740127453E-2</v>
      </c>
      <c r="L12" s="16">
        <v>2.0799999999999999E-2</v>
      </c>
      <c r="M12" s="9" t="str">
        <f t="shared" si="2"/>
        <v>Sim</v>
      </c>
      <c r="N12" s="16">
        <v>0.02</v>
      </c>
      <c r="O12" s="16">
        <v>1.9E-2</v>
      </c>
      <c r="P12" s="16">
        <v>1.7999999999999999E-2</v>
      </c>
      <c r="Q12" s="15">
        <v>342033384</v>
      </c>
      <c r="R12" s="15">
        <v>324931714.80000001</v>
      </c>
      <c r="S12" s="15">
        <v>307830045.60000002</v>
      </c>
      <c r="T12" s="9" t="str">
        <f t="shared" si="3"/>
        <v>Acima do limite máximo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336726865.88999999</v>
      </c>
      <c r="J13" s="15">
        <v>17341857711.209999</v>
      </c>
      <c r="K13" s="10">
        <f t="shared" si="1"/>
        <v>1.9417000848319464E-2</v>
      </c>
      <c r="L13" s="16">
        <v>1.9400000000000001E-2</v>
      </c>
      <c r="M13" s="9" t="str">
        <f t="shared" si="2"/>
        <v>Sim</v>
      </c>
      <c r="N13" s="16">
        <v>0.02</v>
      </c>
      <c r="O13" s="16">
        <v>1.9E-2</v>
      </c>
      <c r="P13" s="16">
        <v>1.7999999999999999E-2</v>
      </c>
      <c r="Q13" s="15">
        <v>346837154.22000003</v>
      </c>
      <c r="R13" s="15">
        <v>329495296.50999999</v>
      </c>
      <c r="S13" s="15">
        <v>312153438.80000001</v>
      </c>
      <c r="T13" s="9" t="str">
        <f t="shared" si="3"/>
        <v>Acima do limite prudencial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309296596.10000002</v>
      </c>
      <c r="J14" s="15">
        <v>17916781162.330002</v>
      </c>
      <c r="K14" s="10">
        <f t="shared" si="1"/>
        <v>1.7262955510686011E-2</v>
      </c>
      <c r="L14" s="16">
        <v>1.7299999999999999E-2</v>
      </c>
      <c r="M14" s="9" t="str">
        <f t="shared" si="2"/>
        <v>Sim</v>
      </c>
      <c r="N14" s="16">
        <v>0.02</v>
      </c>
      <c r="O14" s="16">
        <v>1.9E-2</v>
      </c>
      <c r="P14" s="16">
        <v>1.7999999999999999E-2</v>
      </c>
      <c r="Q14" s="15">
        <v>358335623.25</v>
      </c>
      <c r="R14" s="15">
        <v>340418842.08999997</v>
      </c>
      <c r="S14" s="15">
        <v>322502060.93000001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294809987.20999998</v>
      </c>
      <c r="J15" s="15">
        <v>18659063456.639999</v>
      </c>
      <c r="K15" s="10">
        <f t="shared" si="1"/>
        <v>1.5799827675975299E-2</v>
      </c>
      <c r="L15" s="16">
        <v>1.5800000000000002E-2</v>
      </c>
      <c r="M15" s="9" t="str">
        <f t="shared" si="2"/>
        <v>Sim</v>
      </c>
      <c r="N15" s="16">
        <v>0.02</v>
      </c>
      <c r="O15" s="16">
        <v>1.9E-2</v>
      </c>
      <c r="P15" s="16">
        <v>1.7999999999999999E-2</v>
      </c>
      <c r="Q15" s="15">
        <v>373181269.13</v>
      </c>
      <c r="R15" s="15">
        <v>354522205.67000002</v>
      </c>
      <c r="S15" s="15">
        <v>335863142.22000003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296129037.91000003</v>
      </c>
      <c r="J16" s="15">
        <v>19636840112.959999</v>
      </c>
      <c r="K16" s="10">
        <f t="shared" si="1"/>
        <v>1.5080279525958945E-2</v>
      </c>
      <c r="L16" s="16">
        <v>1.5100000000000001E-2</v>
      </c>
      <c r="M16" s="9" t="str">
        <f t="shared" si="2"/>
        <v>Sim</v>
      </c>
      <c r="N16" s="16">
        <v>0.02</v>
      </c>
      <c r="O16" s="16">
        <v>1.9E-2</v>
      </c>
      <c r="P16" s="16">
        <v>1.7999999999999999E-2</v>
      </c>
      <c r="Q16" s="15">
        <v>392736802.25999999</v>
      </c>
      <c r="R16" s="15">
        <v>373099962.14999998</v>
      </c>
      <c r="S16" s="15">
        <v>353463122.02999997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314460793.30000001</v>
      </c>
      <c r="J17" s="15">
        <v>21347786791.080002</v>
      </c>
      <c r="K17" s="10">
        <f t="shared" si="1"/>
        <v>1.4730369774509594E-2</v>
      </c>
      <c r="L17" s="16">
        <v>1.47E-2</v>
      </c>
      <c r="M17" s="9" t="str">
        <f t="shared" si="2"/>
        <v>Sim</v>
      </c>
      <c r="N17" s="16">
        <v>0.02</v>
      </c>
      <c r="O17" s="16">
        <v>1.9E-2</v>
      </c>
      <c r="P17" s="16">
        <v>1.7999999999999999E-2</v>
      </c>
      <c r="Q17" s="15">
        <v>426955735.81999999</v>
      </c>
      <c r="R17" s="15">
        <v>405607949.02999997</v>
      </c>
      <c r="S17" s="15">
        <v>384260162.24000001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587323404.45000005</v>
      </c>
      <c r="J18" s="15">
        <v>16162591087.41</v>
      </c>
      <c r="K18" s="10">
        <f t="shared" si="1"/>
        <v>3.633844358702492E-2</v>
      </c>
      <c r="L18" s="16">
        <v>3.6299999999999999E-2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969761922.99000001</v>
      </c>
      <c r="R18" s="15">
        <v>921273826.84000003</v>
      </c>
      <c r="S18" s="15">
        <v>872785730.69000006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626400200.15999997</v>
      </c>
      <c r="J19" s="15">
        <v>16486978514.889999</v>
      </c>
      <c r="K19" s="10">
        <f t="shared" si="1"/>
        <v>3.7993632344111739E-2</v>
      </c>
      <c r="L19" s="16">
        <v>3.7999999999999999E-2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989218710.88999999</v>
      </c>
      <c r="R19" s="15">
        <v>939757775.35000002</v>
      </c>
      <c r="S19" s="15">
        <v>890296839.79999995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654082202.88999999</v>
      </c>
      <c r="J20" s="15">
        <v>17101669200.120001</v>
      </c>
      <c r="K20" s="10">
        <f t="shared" si="1"/>
        <v>3.8246687807843363E-2</v>
      </c>
      <c r="L20" s="16">
        <v>3.8199999999999998E-2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1026100152.01</v>
      </c>
      <c r="R20" s="15">
        <v>974795144.40999997</v>
      </c>
      <c r="S20" s="15">
        <v>923490136.80999994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668942534.28999996</v>
      </c>
      <c r="J21" s="15">
        <v>17341857711.209999</v>
      </c>
      <c r="K21" s="10">
        <f t="shared" si="1"/>
        <v>3.8573868234288815E-2</v>
      </c>
      <c r="L21" s="16">
        <v>3.8600000000000002E-2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1040511462.67</v>
      </c>
      <c r="R21" s="15">
        <v>988485889.53999996</v>
      </c>
      <c r="S21" s="15">
        <v>936460316.39999998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702371316.46000004</v>
      </c>
      <c r="J22" s="15">
        <v>17916781162.330002</v>
      </c>
      <c r="K22" s="10">
        <f t="shared" si="1"/>
        <v>3.9201869470657728E-2</v>
      </c>
      <c r="L22" s="16">
        <v>3.9199999999999999E-2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1076061917.3</v>
      </c>
      <c r="R22" s="15">
        <v>1022258821.4400001</v>
      </c>
      <c r="S22" s="15">
        <v>968455725.57000005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747326993.69000006</v>
      </c>
      <c r="J23" s="15">
        <v>18659063456.639999</v>
      </c>
      <c r="K23" s="10">
        <f t="shared" si="1"/>
        <v>4.0051688308292713E-2</v>
      </c>
      <c r="L23" s="16">
        <v>4.0099999999999997E-2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1123937346.9400001</v>
      </c>
      <c r="R23" s="15">
        <v>1067740479.59</v>
      </c>
      <c r="S23" s="15">
        <v>1011543612.25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775407858.05999994</v>
      </c>
      <c r="J24" s="15">
        <v>19636840112.959999</v>
      </c>
      <c r="K24" s="10">
        <f t="shared" si="1"/>
        <v>3.9487404979594617E-2</v>
      </c>
      <c r="L24" s="16">
        <v>3.95E-2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1182601407.6400001</v>
      </c>
      <c r="R24" s="15">
        <v>1123471337.26</v>
      </c>
      <c r="S24" s="15">
        <v>1064341266.88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804807160.37</v>
      </c>
      <c r="J25" s="15">
        <v>21347786791.080002</v>
      </c>
      <c r="K25" s="10">
        <f t="shared" si="1"/>
        <v>3.769979381217551E-2</v>
      </c>
      <c r="L25" s="16">
        <v>3.7699999999999997E-2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1280867207.46</v>
      </c>
      <c r="R25" s="15">
        <v>1216823847.0899999</v>
      </c>
      <c r="S25" s="15">
        <v>1152780486.71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114813261.33</v>
      </c>
      <c r="J26" s="15">
        <v>16162591087.41</v>
      </c>
      <c r="K26" s="10">
        <f t="shared" si="1"/>
        <v>7.1036420280059459E-3</v>
      </c>
      <c r="L26" s="16">
        <v>7.1000000000000004E-3</v>
      </c>
      <c r="M26" s="9" t="str">
        <f t="shared" si="2"/>
        <v>Sim</v>
      </c>
      <c r="N26" s="16">
        <v>0.01</v>
      </c>
      <c r="O26" s="16">
        <v>9.4999999999999998E-3</v>
      </c>
      <c r="P26" s="16">
        <v>9.0000000000000011E-3</v>
      </c>
      <c r="Q26" s="15">
        <v>161625910.87</v>
      </c>
      <c r="R26" s="15">
        <v>153544615.33000001</v>
      </c>
      <c r="S26" s="15">
        <v>145463319.78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119629066.06999999</v>
      </c>
      <c r="J27" s="15">
        <v>16486978514.889999</v>
      </c>
      <c r="K27" s="10">
        <f t="shared" si="1"/>
        <v>7.2559727036678413E-3</v>
      </c>
      <c r="L27" s="16">
        <v>7.3000000000000001E-3</v>
      </c>
      <c r="M27" s="9" t="str">
        <f t="shared" si="2"/>
        <v>Sim</v>
      </c>
      <c r="N27" s="16">
        <v>0.01</v>
      </c>
      <c r="O27" s="16">
        <v>9.4999999999999998E-3</v>
      </c>
      <c r="P27" s="16">
        <v>9.0000000000000011E-3</v>
      </c>
      <c r="Q27" s="15">
        <v>164869785.15000001</v>
      </c>
      <c r="R27" s="15">
        <v>156626295.88999999</v>
      </c>
      <c r="S27" s="15">
        <v>148382806.63999999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123431643.36</v>
      </c>
      <c r="J28" s="15">
        <v>17101669200.120001</v>
      </c>
      <c r="K28" s="10">
        <f t="shared" si="1"/>
        <v>7.2175202265714446E-3</v>
      </c>
      <c r="L28" s="16">
        <v>7.1999999999999998E-3</v>
      </c>
      <c r="M28" s="9" t="str">
        <f t="shared" si="2"/>
        <v>Sim</v>
      </c>
      <c r="N28" s="16">
        <v>0.01</v>
      </c>
      <c r="O28" s="16">
        <v>9.4999999999999998E-3</v>
      </c>
      <c r="P28" s="16">
        <v>9.0000000000000011E-3</v>
      </c>
      <c r="Q28" s="15">
        <v>171016692</v>
      </c>
      <c r="R28" s="15">
        <v>162465857.40000001</v>
      </c>
      <c r="S28" s="15">
        <v>153915022.80000001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125235223.8</v>
      </c>
      <c r="J29" s="15">
        <v>17341857711.209999</v>
      </c>
      <c r="K29" s="10">
        <f t="shared" si="1"/>
        <v>7.2215575681402544E-3</v>
      </c>
      <c r="L29" s="16">
        <v>7.1999999999999998E-3</v>
      </c>
      <c r="M29" s="9" t="str">
        <f t="shared" si="2"/>
        <v>Sim</v>
      </c>
      <c r="N29" s="16">
        <v>0.01</v>
      </c>
      <c r="O29" s="16">
        <v>9.4999999999999998E-3</v>
      </c>
      <c r="P29" s="16">
        <v>9.0000000000000011E-3</v>
      </c>
      <c r="Q29" s="15">
        <v>173418577.11000001</v>
      </c>
      <c r="R29" s="15">
        <v>164747648.25</v>
      </c>
      <c r="S29" s="15">
        <v>156076719.40000001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128232531.59999999</v>
      </c>
      <c r="J30" s="15">
        <v>17916781162.330002</v>
      </c>
      <c r="K30" s="10">
        <f t="shared" si="1"/>
        <v>7.1571188171683786E-3</v>
      </c>
      <c r="L30" s="16">
        <v>7.1999999999999998E-3</v>
      </c>
      <c r="M30" s="9" t="str">
        <f t="shared" si="2"/>
        <v>Sim</v>
      </c>
      <c r="N30" s="16">
        <v>0.01</v>
      </c>
      <c r="O30" s="16">
        <v>9.4999999999999998E-3</v>
      </c>
      <c r="P30" s="16">
        <v>9.0000000000000011E-3</v>
      </c>
      <c r="Q30" s="15">
        <v>179167811.62</v>
      </c>
      <c r="R30" s="15">
        <v>170209421.03999999</v>
      </c>
      <c r="S30" s="15">
        <v>161251030.46000001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131307156.59999999</v>
      </c>
      <c r="J31" s="15">
        <v>18659063456.639999</v>
      </c>
      <c r="K31" s="10">
        <f t="shared" si="1"/>
        <v>7.0371783077501212E-3</v>
      </c>
      <c r="L31" s="16">
        <v>6.9999999999999993E-3</v>
      </c>
      <c r="M31" s="9" t="str">
        <f t="shared" si="2"/>
        <v>Sim</v>
      </c>
      <c r="N31" s="16">
        <v>0.01</v>
      </c>
      <c r="O31" s="16">
        <v>9.4999999999999998E-3</v>
      </c>
      <c r="P31" s="16">
        <v>9.0000000000000011E-3</v>
      </c>
      <c r="Q31" s="15">
        <v>186590634.56</v>
      </c>
      <c r="R31" s="15">
        <v>177261102.83000001</v>
      </c>
      <c r="S31" s="15">
        <v>167931571.09999999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135726580.03</v>
      </c>
      <c r="J32" s="15">
        <v>19636840112.959999</v>
      </c>
      <c r="K32" s="10">
        <f t="shared" si="1"/>
        <v>6.9118340450520163E-3</v>
      </c>
      <c r="L32" s="16">
        <v>6.8999999999999999E-3</v>
      </c>
      <c r="M32" s="9" t="str">
        <f t="shared" si="2"/>
        <v>Sim</v>
      </c>
      <c r="N32" s="16">
        <v>0.01</v>
      </c>
      <c r="O32" s="16">
        <v>9.4999999999999998E-3</v>
      </c>
      <c r="P32" s="16">
        <v>9.0000000000000011E-3</v>
      </c>
      <c r="Q32" s="15">
        <v>196368401.12</v>
      </c>
      <c r="R32" s="15">
        <v>186549981.06</v>
      </c>
      <c r="S32" s="15">
        <v>176731561.00999999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143120978.31999999</v>
      </c>
      <c r="J33" s="15">
        <v>21347786791.080002</v>
      </c>
      <c r="K33" s="10">
        <f t="shared" si="1"/>
        <v>6.7042536877781602E-3</v>
      </c>
      <c r="L33" s="16">
        <v>6.7000000000000002E-3</v>
      </c>
      <c r="M33" s="9" t="str">
        <f t="shared" si="2"/>
        <v>Sim</v>
      </c>
      <c r="N33" s="16">
        <v>0.01</v>
      </c>
      <c r="O33" s="16">
        <v>9.4999999999999998E-3</v>
      </c>
      <c r="P33" s="16">
        <v>9.0000000000000011E-3</v>
      </c>
      <c r="Q33" s="15">
        <v>213477867.91</v>
      </c>
      <c r="R33" s="15">
        <v>202803974.50999999</v>
      </c>
      <c r="S33" s="15">
        <v>192130081.12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84041543.049999997</v>
      </c>
      <c r="J34" s="15">
        <v>16162591087.41</v>
      </c>
      <c r="K34" s="10">
        <f t="shared" si="1"/>
        <v>5.1997568085147524E-3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86688300.189999998</v>
      </c>
      <c r="J35" s="15">
        <v>16486978514.889999</v>
      </c>
      <c r="K35" s="10">
        <f t="shared" si="1"/>
        <v>5.2579858772611723E-3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93378809.959999993</v>
      </c>
      <c r="J36" s="15">
        <v>17101669200.120001</v>
      </c>
      <c r="K36" s="10">
        <f t="shared" si="1"/>
        <v>5.46021612670094E-3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96969872.859999999</v>
      </c>
      <c r="J37" s="15">
        <v>17341857711.209999</v>
      </c>
      <c r="K37" s="10">
        <f t="shared" si="1"/>
        <v>5.5916658108270279E-3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100206330.66</v>
      </c>
      <c r="J38" s="15">
        <v>17916781162.330002</v>
      </c>
      <c r="K38" s="10">
        <f t="shared" si="1"/>
        <v>5.5928757376734394E-3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102582283.56</v>
      </c>
      <c r="J39" s="15">
        <v>18659063456.639999</v>
      </c>
      <c r="K39" s="10">
        <f t="shared" si="1"/>
        <v>5.4977187787790685E-3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103994095.79000001</v>
      </c>
      <c r="J40" s="15">
        <v>19636840112.959999</v>
      </c>
      <c r="K40" s="10">
        <f t="shared" si="1"/>
        <v>5.2958671146568831E-3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105907135.51000001</v>
      </c>
      <c r="J41" s="15">
        <v>21347786791.080002</v>
      </c>
      <c r="K41" s="10">
        <f t="shared" si="1"/>
        <v>4.9610358463132321E-3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205963645.84999999</v>
      </c>
      <c r="J42" s="15">
        <v>16162591087.41</v>
      </c>
      <c r="K42" s="10">
        <f t="shared" si="1"/>
        <v>1.2743231870194209E-2</v>
      </c>
      <c r="L42" s="16">
        <v>1.2699999999999999E-2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323251821.75</v>
      </c>
      <c r="R42" s="15">
        <v>307089230.66000003</v>
      </c>
      <c r="S42" s="15">
        <v>290926639.57999998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212059041.93000001</v>
      </c>
      <c r="J43" s="15">
        <v>16486978514.889999</v>
      </c>
      <c r="K43" s="10">
        <f t="shared" si="1"/>
        <v>1.286221376090723E-2</v>
      </c>
      <c r="L43" s="16">
        <v>1.29E-2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329739570.29000002</v>
      </c>
      <c r="R43" s="15">
        <v>313252591.77999997</v>
      </c>
      <c r="S43" s="15">
        <v>296765613.25999999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224157173.5</v>
      </c>
      <c r="J44" s="15">
        <v>17101669200.120001</v>
      </c>
      <c r="K44" s="10">
        <f t="shared" si="1"/>
        <v>1.3107327178239836E-2</v>
      </c>
      <c r="L44" s="16">
        <v>1.3100000000000001E-2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342033384</v>
      </c>
      <c r="R44" s="15">
        <v>324931714.80000001</v>
      </c>
      <c r="S44" s="15">
        <v>307830045.60000002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229563730.77000001</v>
      </c>
      <c r="J45" s="15">
        <v>17341857711.209999</v>
      </c>
      <c r="K45" s="10">
        <f t="shared" si="1"/>
        <v>1.3237551281579659E-2</v>
      </c>
      <c r="L45" s="16">
        <v>1.32E-2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346837154.22000003</v>
      </c>
      <c r="R45" s="15">
        <v>329495296.50999999</v>
      </c>
      <c r="S45" s="15">
        <v>312153438.80000001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239132394.28</v>
      </c>
      <c r="J46" s="15">
        <v>17916781162.330002</v>
      </c>
      <c r="K46" s="10">
        <f t="shared" si="1"/>
        <v>1.3346839039524321E-2</v>
      </c>
      <c r="L46" s="16">
        <v>1.3299999999999999E-2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358335623.25</v>
      </c>
      <c r="R46" s="15">
        <v>340418842.08999997</v>
      </c>
      <c r="S46" s="15">
        <v>322502060.93000001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244369851.78</v>
      </c>
      <c r="J47" s="15">
        <v>18659063456.639999</v>
      </c>
      <c r="K47" s="10">
        <f t="shared" si="1"/>
        <v>1.3096576489375662E-2</v>
      </c>
      <c r="L47" s="16">
        <v>1.3100000000000001E-2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373181269.13</v>
      </c>
      <c r="R47" s="15">
        <v>354522205.67000002</v>
      </c>
      <c r="S47" s="15">
        <v>335863142.22000003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252831232.16999999</v>
      </c>
      <c r="J48" s="15">
        <v>19636840112.959999</v>
      </c>
      <c r="K48" s="10">
        <f t="shared" si="1"/>
        <v>1.2875352180676739E-2</v>
      </c>
      <c r="L48" s="16">
        <v>1.29E-2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392736802.25999999</v>
      </c>
      <c r="R48" s="15">
        <v>373099962.14999998</v>
      </c>
      <c r="S48" s="15">
        <v>353463122.02999997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259581918.19999999</v>
      </c>
      <c r="J49" s="15">
        <v>21347786791.080002</v>
      </c>
      <c r="K49" s="10">
        <f t="shared" si="1"/>
        <v>1.2159664172234668E-2</v>
      </c>
      <c r="L49" s="16">
        <v>1.2200000000000001E-2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426955735.81999999</v>
      </c>
      <c r="R49" s="15">
        <v>405607949.02999997</v>
      </c>
      <c r="S49" s="15">
        <v>384260162.24000001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2026-10-15T09:56:24Z</dcterms:created>
  <dcterms:modified xsi:type="dcterms:W3CDTF">2026-10-15T09:57:09Z</dcterms:modified>
</cp:coreProperties>
</file>