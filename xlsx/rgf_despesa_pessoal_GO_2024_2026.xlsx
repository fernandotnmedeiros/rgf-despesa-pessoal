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A804806353DB9C80D4FA8C33ADC8551F77095CD0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M49" i="2"/>
  <c r="K49" i="2"/>
  <c r="T49" i="2" s="1"/>
  <c r="A49" i="2"/>
  <c r="M48" i="2"/>
  <c r="K48" i="2"/>
  <c r="T48" i="2" s="1"/>
  <c r="A48" i="2"/>
  <c r="M47" i="2"/>
  <c r="K47" i="2"/>
  <c r="T47" i="2" s="1"/>
  <c r="A47" i="2"/>
  <c r="M46" i="2"/>
  <c r="K46" i="2"/>
  <c r="T46" i="2" s="1"/>
  <c r="A46" i="2"/>
  <c r="M45" i="2"/>
  <c r="K45" i="2"/>
  <c r="T45" i="2" s="1"/>
  <c r="A45" i="2"/>
  <c r="M44" i="2"/>
  <c r="K44" i="2"/>
  <c r="T44" i="2" s="1"/>
  <c r="A44" i="2"/>
  <c r="M43" i="2"/>
  <c r="K43" i="2"/>
  <c r="T43" i="2" s="1"/>
  <c r="A43" i="2"/>
  <c r="M42" i="2"/>
  <c r="K42" i="2"/>
  <c r="T42" i="2" s="1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E17" i="1"/>
  <c r="D17" i="1"/>
  <c r="C17" i="1"/>
  <c r="J13" i="1"/>
  <c r="I13" i="1"/>
  <c r="H13" i="1"/>
  <c r="G13" i="1"/>
  <c r="F13" i="1"/>
  <c r="E13" i="1"/>
  <c r="D13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J8" i="1"/>
  <c r="I8" i="1"/>
  <c r="H8" i="1"/>
  <c r="G8" i="1"/>
  <c r="F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1" i="1" l="1"/>
  <c r="M50" i="2"/>
  <c r="T50" i="2"/>
  <c r="G23" i="1"/>
  <c r="H23" i="1"/>
  <c r="J23" i="1"/>
  <c r="I23" i="1"/>
  <c r="G12" i="1"/>
  <c r="F12" i="1"/>
  <c r="M35" i="2"/>
  <c r="T35" i="2"/>
  <c r="M20" i="2"/>
  <c r="T20" i="2"/>
  <c r="C13" i="1"/>
  <c r="K12" i="1"/>
  <c r="J12" i="1"/>
  <c r="I12" i="1"/>
  <c r="H12" i="1"/>
  <c r="E8" i="1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M41" i="2"/>
  <c r="T41" i="2"/>
  <c r="L10" i="1" s="1"/>
  <c r="T40" i="2"/>
  <c r="M40" i="2"/>
  <c r="T39" i="2"/>
  <c r="M39" i="2"/>
  <c r="T38" i="2"/>
  <c r="M38" i="2"/>
  <c r="T37" i="2"/>
  <c r="M37" i="2"/>
  <c r="T36" i="2"/>
  <c r="M36" i="2"/>
  <c r="T34" i="2"/>
  <c r="M34" i="2"/>
  <c r="T33" i="2"/>
  <c r="L9" i="1" s="1"/>
  <c r="M33" i="2"/>
  <c r="M32" i="2"/>
  <c r="T32" i="2"/>
  <c r="M31" i="2"/>
  <c r="T31" i="2"/>
  <c r="T30" i="2"/>
  <c r="M30" i="2"/>
  <c r="T29" i="2"/>
  <c r="M29" i="2"/>
  <c r="M28" i="2"/>
  <c r="T28" i="2"/>
  <c r="M27" i="2"/>
  <c r="T27" i="2"/>
  <c r="T26" i="2"/>
  <c r="M26" i="2"/>
  <c r="T25" i="2"/>
  <c r="L8" i="1" s="1"/>
  <c r="M25" i="2"/>
  <c r="T24" i="2"/>
  <c r="M24" i="2"/>
  <c r="T23" i="2"/>
  <c r="M23" i="2"/>
  <c r="T22" i="2"/>
  <c r="M22" i="2"/>
  <c r="M21" i="2"/>
  <c r="T21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T12" i="2"/>
  <c r="M12" i="2"/>
  <c r="T11" i="2"/>
  <c r="M11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T4" i="2"/>
  <c r="M4" i="2"/>
  <c r="M3" i="2"/>
  <c r="T3" i="2"/>
  <c r="T2" i="2"/>
  <c r="M2" i="2"/>
  <c r="F18" i="1"/>
  <c r="E18" i="1"/>
  <c r="D18" i="1"/>
  <c r="C18" i="1"/>
  <c r="J17" i="1"/>
  <c r="I17" i="1"/>
  <c r="H17" i="1"/>
  <c r="G17" i="1"/>
  <c r="F17" i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<sst xmlns="http://schemas.openxmlformats.org/spreadsheetml/2006/main" count="487" uniqueCount="85">
  <si>
    <t>Despesa total com pessoal - Goiás (GO)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</si>
  <si>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</si>
  <si>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</si>
  <si>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</si>
  <si>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</si>
  <si>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</si>
  <si>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</si>
  <si>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</si>
  <si>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</si>
  <si>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</si>
  <si>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</si>
  <si>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</si>
  <si>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</si>
  <si>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</si>
  <si>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</si>
  <si>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</si>
  <si>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</si>
  <si>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</si>
  <si>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</si>
  <si>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</si>
  <si>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</si>
  <si>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</si>
  <si>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Tribunal de Contas dos Municípios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</si>
  <si>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</si>
  <si>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</si>
  <si>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</si>
  <si>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</si>
  <si>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</si>
  <si>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</si>
  <si>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</si>
  <si>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</si>
  <si>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</si>
  <si>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</si>
  <si>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</si>
  <si>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</si>
  <si>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</si>
  <si>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</si>
  <si>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</si>
  <si>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</si>
  <si>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</si>
  <si>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</si>
  <si>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</si>
  <si>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</si>
  <si>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</si>
  <si>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</si>
  <si>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</si>
  <si>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</si>
  <si>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</si>
  <si>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Goiás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</si>
  <si>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</si>
  <si>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</si>
  <si>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</si>
  <si>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</si>
  <si>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</si>
  <si>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</si>
  <si>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</si>
  <si>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</si>
  <si>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</si>
  <si>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</si>
  <si>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</si>
  <si>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</si>
  <si>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Goiás</t>
  </si>
  <si>
    <t>Tribunal de Justiça do Estado de Goiás</t>
  </si>
  <si>
    <t>Tribunal de Contas do Estado de Goiás</t>
  </si>
  <si>
    <t>Tribunal de Contas dos Municípios do Estado de Goiás</t>
  </si>
  <si>
    <t>Defensoria Pública do Estado de Goiás</t>
  </si>
  <si>
    <t>Calculado (despesa líquida / RCL Ajustada do Executivo)</t>
  </si>
  <si>
    <t>Ministério Público do Estado de Goiás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</si>
  <si>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</si>
  <si>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</si>
  <si>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</si>
  <si>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</si>
  <si>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Goiás (GO).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</si>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</sst>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IFERROR(IF(INDEX(Dados!$K$2:$K$57,MATCH($A6&amp;"|"&amp;C$5,Dados!$A$2:$A$57,0))="","",INDEX(Dados!$K$2:$K$57,MATCH($A6&amp;"|"&amp;C$5,Dados!$A$2:$A$57,0))),"")</f>
        <v>0.43949334243184829</v>
      </c>
      <c r="D6" s="7">
        <f>IFERROR(IF(INDEX(Dados!$K$2:$K$57,MATCH($A6&amp;"|"&amp;D$5,Dados!$A$2:$A$57,0))="","",INDEX(Dados!$K$2:$K$57,MATCH($A6&amp;"|"&amp;D$5,Dados!$A$2:$A$57,0))),"")</f>
        <v>0.41813942969630014</v>
      </c>
      <c r="E6" s="7">
        <f>IFERROR(IF(INDEX(Dados!$K$2:$K$57,MATCH($A6&amp;"|"&amp;E$5,Dados!$A$2:$A$57,0))="","",INDEX(Dados!$K$2:$K$57,MATCH($A6&amp;"|"&amp;E$5,Dados!$A$2:$A$57,0))),"")</f>
        <v>0.41696728276973583</v>
      </c>
      <c r="F6" s="7">
        <f>IFERROR(IF(INDEX(Dados!$K$2:$K$57,MATCH($A6&amp;"|"&amp;F$5,Dados!$A$2:$A$57,0))="","",INDEX(Dados!$K$2:$K$57,MATCH($A6&amp;"|"&amp;F$5,Dados!$A$2:$A$57,0))),"")</f>
        <v>0.39031195696130006</v>
      </c>
      <c r="G6" s="7">
        <f>IFERROR(IF(INDEX(Dados!$K$2:$K$57,MATCH($A6&amp;"|"&amp;G$5,Dados!$A$2:$A$57,0))="","",INDEX(Dados!$K$2:$K$57,MATCH($A6&amp;"|"&amp;G$5,Dados!$A$2:$A$57,0))),"")</f>
        <v>0.39860046881110212</v>
      </c>
      <c r="H6" s="7">
        <f>IFERROR(IF(INDEX(Dados!$K$2:$K$57,MATCH($A6&amp;"|"&amp;H$5,Dados!$A$2:$A$57,0))="","",INDEX(Dados!$K$2:$K$57,MATCH($A6&amp;"|"&amp;H$5,Dados!$A$2:$A$57,0))),"")</f>
        <v>0.39955872682666954</v>
      </c>
      <c r="I6" s="7">
        <f>IFERROR(IF(INDEX(Dados!$K$2:$K$57,MATCH($A6&amp;"|"&amp;I$5,Dados!$A$2:$A$57,0))="","",INDEX(Dados!$K$2:$K$57,MATCH($A6&amp;"|"&amp;I$5,Dados!$A$2:$A$57,0))),"")</f>
        <v>0.40278136871391534</v>
      </c>
      <c r="J6" s="7">
        <f>IFERROR(IF(INDEX(Dados!$K$2:$K$57,MATCH($A6&amp;"|"&amp;J$5,Dados!$A$2:$A$57,0))="","",INDEX(Dados!$K$2:$K$57,MATCH($A6&amp;"|"&amp;J$5,Dados!$A$2:$A$57,0))),"")</f>
        <v>0.4058060481257722</v>
      </c>
      <c r="K6" s="7">
        <f>IFERROR(IF(INDEX(Dados!$N$2:$N$57,MATCH($A6&amp;"|"&amp;J$5,Dados!$A$2:$A$57,0))=0,"—",INDEX(Dados!$N$2:$N$57,MATCH($A6&amp;"|"&amp;J$5,Dados!$A$2:$A$57,0))),"—")</f>
        <v>0.48599999999999999</v>
      </c>
      <c r="L6" s="6" t="str">
        <f>IFERROR(IF(INDEX(Dados!$T$2:$T$57,MATCH($A6&amp;"|"&amp;J$5,Dados!$A$2:$A$57,0))="","—",INDEX(Dados!$T$2:$T$57,MATCH($A6&amp;"|"&amp;J$5,Dados!$A$2:$A$57,0))),"—")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IFERROR(IF(INDEX(Dados!$K$2:$K$57,MATCH($A7&amp;"|"&amp;C$5,Dados!$A$2:$A$57,0))="","",INDEX(Dados!$K$2:$K$57,MATCH($A7&amp;"|"&amp;C$5,Dados!$A$2:$A$57,0))),"")</f>
        <v>1.336324738861854E-2</v>
      </c>
      <c r="D7" s="10">
        <f>IFERROR(IF(INDEX(Dados!$K$2:$K$57,MATCH($A7&amp;"|"&amp;D$5,Dados!$A$2:$A$57,0))="","",INDEX(Dados!$K$2:$K$57,MATCH($A7&amp;"|"&amp;D$5,Dados!$A$2:$A$57,0))),"")</f>
        <v>1.3282457244460517E-2</v>
      </c>
      <c r="E7" s="10">
        <f>IFERROR(IF(INDEX(Dados!$K$2:$K$57,MATCH($A7&amp;"|"&amp;E$5,Dados!$A$2:$A$57,0))="","",INDEX(Dados!$K$2:$K$57,MATCH($A7&amp;"|"&amp;E$5,Dados!$A$2:$A$57,0))),"")</f>
        <v>1.3108055430603584E-2</v>
      </c>
      <c r="F7" s="10">
        <f>IFERROR(IF(INDEX(Dados!$K$2:$K$57,MATCH($A7&amp;"|"&amp;F$5,Dados!$A$2:$A$57,0))="","",INDEX(Dados!$K$2:$K$57,MATCH($A7&amp;"|"&amp;F$5,Dados!$A$2:$A$57,0))),"")</f>
        <v>1.2671120974469765E-2</v>
      </c>
      <c r="G7" s="10">
        <f>IFERROR(IF(INDEX(Dados!$K$2:$K$57,MATCH($A7&amp;"|"&amp;G$5,Dados!$A$2:$A$57,0))="","",INDEX(Dados!$K$2:$K$57,MATCH($A7&amp;"|"&amp;G$5,Dados!$A$2:$A$57,0))),"")</f>
        <v>1.2805315116051529E-2</v>
      </c>
      <c r="H7" s="10">
        <f>IFERROR(IF(INDEX(Dados!$K$2:$K$57,MATCH($A7&amp;"|"&amp;H$5,Dados!$A$2:$A$57,0))="","",INDEX(Dados!$K$2:$K$57,MATCH($A7&amp;"|"&amp;H$5,Dados!$A$2:$A$57,0))),"")</f>
        <v>1.3169538363280506E-2</v>
      </c>
      <c r="I7" s="10">
        <f>IFERROR(IF(INDEX(Dados!$K$2:$K$57,MATCH($A7&amp;"|"&amp;I$5,Dados!$A$2:$A$57,0))="","",INDEX(Dados!$K$2:$K$57,MATCH($A7&amp;"|"&amp;I$5,Dados!$A$2:$A$57,0))),"")</f>
        <v>1.3176731840008936E-2</v>
      </c>
      <c r="J7" s="10">
        <f>IFERROR(IF(INDEX(Dados!$K$2:$K$57,MATCH($A7&amp;"|"&amp;J$5,Dados!$A$2:$A$57,0))="","",INDEX(Dados!$K$2:$K$57,MATCH($A7&amp;"|"&amp;J$5,Dados!$A$2:$A$57,0))),"")</f>
        <v>1.3169562949905397E-2</v>
      </c>
      <c r="K7" s="10">
        <f>IFERROR(IF(INDEX(Dados!$N$2:$N$57,MATCH($A7&amp;"|"&amp;J$5,Dados!$A$2:$A$57,0))=0,"—",INDEX(Dados!$N$2:$N$57,MATCH($A7&amp;"|"&amp;J$5,Dados!$A$2:$A$57,0))),"—")</f>
        <v>1.4999999999999999E-2</v>
      </c>
      <c r="L7" s="9" t="str">
        <f>IFERROR(IF(INDEX(Dados!$T$2:$T$57,MATCH($A7&amp;"|"&amp;J$5,Dados!$A$2:$A$57,0))="","—",INDEX(Dados!$T$2:$T$57,MATCH($A7&amp;"|"&amp;J$5,Dados!$A$2:$A$57,0))),"—")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IFERROR(IF(INDEX(Dados!$K$2:$K$57,MATCH($A8&amp;"|"&amp;C$5,Dados!$A$2:$A$57,0))="","",INDEX(Dados!$K$2:$K$57,MATCH($A8&amp;"|"&amp;C$5,Dados!$A$2:$A$57,0))),"")</f>
        <v>4.6199525117914836E-2</v>
      </c>
      <c r="D8" s="10">
        <f>IFERROR(IF(INDEX(Dados!$K$2:$K$57,MATCH($A8&amp;"|"&amp;D$5,Dados!$A$2:$A$57,0))="","",INDEX(Dados!$K$2:$K$57,MATCH($A8&amp;"|"&amp;D$5,Dados!$A$2:$A$57,0))),"")</f>
        <v>4.7108673811067807E-2</v>
      </c>
      <c r="E8" s="10">
        <f>IFERROR(IF(INDEX(Dados!$K$2:$K$57,MATCH($A8&amp;"|"&amp;E$5,Dados!$A$2:$A$57,0))="","",INDEX(Dados!$K$2:$K$57,MATCH($A8&amp;"|"&amp;E$5,Dados!$A$2:$A$57,0))),"")</f>
        <v>4.8913910953106723E-2</v>
      </c>
      <c r="F8" s="10">
        <f>IFERROR(IF(INDEX(Dados!$K$2:$K$57,MATCH($A8&amp;"|"&amp;F$5,Dados!$A$2:$A$57,0))="","",INDEX(Dados!$K$2:$K$57,MATCH($A8&amp;"|"&amp;F$5,Dados!$A$2:$A$57,0))),"")</f>
        <v>5.1099625730085176E-2</v>
      </c>
      <c r="G8" s="10">
        <f>IFERROR(IF(INDEX(Dados!$K$2:$K$57,MATCH($A8&amp;"|"&amp;G$5,Dados!$A$2:$A$57,0))="","",INDEX(Dados!$K$2:$K$57,MATCH($A8&amp;"|"&amp;G$5,Dados!$A$2:$A$57,0))),"")</f>
        <v>5.4048895820526584E-2</v>
      </c>
      <c r="H8" s="10">
        <f>IFERROR(IF(INDEX(Dados!$K$2:$K$57,MATCH($A8&amp;"|"&amp;H$5,Dados!$A$2:$A$57,0))="","",INDEX(Dados!$K$2:$K$57,MATCH($A8&amp;"|"&amp;H$5,Dados!$A$2:$A$57,0))),"")</f>
        <v>5.5742760009634226E-2</v>
      </c>
      <c r="I8" s="10">
        <f>IFERROR(IF(INDEX(Dados!$K$2:$K$57,MATCH($A8&amp;"|"&amp;I$5,Dados!$A$2:$A$57,0))="","",INDEX(Dados!$K$2:$K$57,MATCH($A8&amp;"|"&amp;I$5,Dados!$A$2:$A$57,0))),"")</f>
        <v>5.5684713768606953E-2</v>
      </c>
      <c r="J8" s="10">
        <f>IFERROR(IF(INDEX(Dados!$K$2:$K$57,MATCH($A8&amp;"|"&amp;J$5,Dados!$A$2:$A$57,0))="","",INDEX(Dados!$K$2:$K$57,MATCH($A8&amp;"|"&amp;J$5,Dados!$A$2:$A$57,0))),"")</f>
        <v>5.4601895898990345E-2</v>
      </c>
      <c r="K8" s="10">
        <f>IFERROR(IF(INDEX(Dados!$N$2:$N$57,MATCH($A8&amp;"|"&amp;J$5,Dados!$A$2:$A$57,0))=0,"—",INDEX(Dados!$N$2:$N$57,MATCH($A8&amp;"|"&amp;J$5,Dados!$A$2:$A$57,0))),"—")</f>
        <v>0.06</v>
      </c>
      <c r="L8" s="9" t="str">
        <f>IFERROR(IF(INDEX(Dados!$T$2:$T$57,MATCH($A8&amp;"|"&amp;J$5,Dados!$A$2:$A$57,0))="","—",INDEX(Dados!$T$2:$T$57,MATCH($A8&amp;"|"&amp;J$5,Dados!$A$2:$A$57,0))),"—")</f>
        <v>Acima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IFERROR(IF(INDEX(Dados!$K$2:$K$57,MATCH($A9&amp;"|"&amp;C$5,Dados!$A$2:$A$57,0))="","",INDEX(Dados!$K$2:$K$57,MATCH($A9&amp;"|"&amp;C$5,Dados!$A$2:$A$57,0))),"")</f>
        <v>8.4612170213081046E-3</v>
      </c>
      <c r="D9" s="10">
        <f>IFERROR(IF(INDEX(Dados!$K$2:$K$57,MATCH($A9&amp;"|"&amp;D$5,Dados!$A$2:$A$57,0))="","",INDEX(Dados!$K$2:$K$57,MATCH($A9&amp;"|"&amp;D$5,Dados!$A$2:$A$57,0))),"")</f>
        <v>8.3454466717349622E-3</v>
      </c>
      <c r="E9" s="10">
        <f>IFERROR(IF(INDEX(Dados!$K$2:$K$57,MATCH($A9&amp;"|"&amp;E$5,Dados!$A$2:$A$57,0))="","",INDEX(Dados!$K$2:$K$57,MATCH($A9&amp;"|"&amp;E$5,Dados!$A$2:$A$57,0))),"")</f>
        <v>8.3564699518730683E-3</v>
      </c>
      <c r="F9" s="10">
        <f>IFERROR(IF(INDEX(Dados!$K$2:$K$57,MATCH($A9&amp;"|"&amp;F$5,Dados!$A$2:$A$57,0))="","",INDEX(Dados!$K$2:$K$57,MATCH($A9&amp;"|"&amp;F$5,Dados!$A$2:$A$57,0))),"")</f>
        <v>8.7169328634766428E-3</v>
      </c>
      <c r="G9" s="10">
        <f>IFERROR(IF(INDEX(Dados!$K$2:$K$57,MATCH($A9&amp;"|"&amp;G$5,Dados!$A$2:$A$57,0))="","",INDEX(Dados!$K$2:$K$57,MATCH($A9&amp;"|"&amp;G$5,Dados!$A$2:$A$57,0))),"")</f>
        <v>9.0732924415581895E-3</v>
      </c>
      <c r="H9" s="10">
        <f>IFERROR(IF(INDEX(Dados!$K$2:$K$57,MATCH($A9&amp;"|"&amp;H$5,Dados!$A$2:$A$57,0))="","",INDEX(Dados!$K$2:$K$57,MATCH($A9&amp;"|"&amp;H$5,Dados!$A$2:$A$57,0))),"")</f>
        <v>9.3954014641769827E-3</v>
      </c>
      <c r="I9" s="10">
        <f>IFERROR(IF(INDEX(Dados!$K$2:$K$57,MATCH($A9&amp;"|"&amp;I$5,Dados!$A$2:$A$57,0))="","",INDEX(Dados!$K$2:$K$57,MATCH($A9&amp;"|"&amp;I$5,Dados!$A$2:$A$57,0))),"")</f>
        <v>9.5047097028666868E-3</v>
      </c>
      <c r="J9" s="10">
        <f>IFERROR(IF(INDEX(Dados!$K$2:$K$57,MATCH($A9&amp;"|"&amp;J$5,Dados!$A$2:$A$57,0))="","",INDEX(Dados!$K$2:$K$57,MATCH($A9&amp;"|"&amp;J$5,Dados!$A$2:$A$57,0))),"")</f>
        <v>9.5176403833368388E-3</v>
      </c>
      <c r="K9" s="10">
        <f>IFERROR(IF(INDEX(Dados!$N$2:$N$57,MATCH($A9&amp;"|"&amp;J$5,Dados!$A$2:$A$57,0))=0,"—",INDEX(Dados!$N$2:$N$57,MATCH($A9&amp;"|"&amp;J$5,Dados!$A$2:$A$57,0))),"—")</f>
        <v>1.35E-2</v>
      </c>
      <c r="L9" s="9" t="str">
        <f>IFERROR(IF(INDEX(Dados!$T$2:$T$57,MATCH($A9&amp;"|"&amp;J$5,Dados!$A$2:$A$57,0))="","—",INDEX(Dados!$T$2:$T$57,MATCH($A9&amp;"|"&amp;J$5,Dados!$A$2:$A$57,0))),"—")</f>
        <v>Abaixo do limite de alerta</v>
      </c>
    </row>
    <row r="10" spans="1:12" x14ac:dyDescent="0.25">
      <c r="A10" s="8" t="s">
        <v>22</v>
      </c>
      <c r="B10" s="9" t="s">
        <v>21</v>
      </c>
      <c r="C10" s="10">
        <f>IFERROR(IF(INDEX(Dados!$K$2:$K$57,MATCH($A10&amp;"|"&amp;C$5,Dados!$A$2:$A$57,0))="","",INDEX(Dados!$K$2:$K$57,MATCH($A10&amp;"|"&amp;C$5,Dados!$A$2:$A$57,0))),"")</f>
        <v>4.5338861453698056E-3</v>
      </c>
      <c r="D10" s="10">
        <f>IFERROR(IF(INDEX(Dados!$K$2:$K$57,MATCH($A10&amp;"|"&amp;D$5,Dados!$A$2:$A$57,0))="","",INDEX(Dados!$K$2:$K$57,MATCH($A10&amp;"|"&amp;D$5,Dados!$A$2:$A$57,0))),"")</f>
        <v>4.485277340804136E-3</v>
      </c>
      <c r="E10" s="10">
        <f>IFERROR(IF(INDEX(Dados!$K$2:$K$57,MATCH($A10&amp;"|"&amp;E$5,Dados!$A$2:$A$57,0))="","",INDEX(Dados!$K$2:$K$57,MATCH($A10&amp;"|"&amp;E$5,Dados!$A$2:$A$57,0))),"")</f>
        <v>4.4568076830258868E-3</v>
      </c>
      <c r="F10" s="10">
        <f>IFERROR(IF(INDEX(Dados!$K$2:$K$57,MATCH($A10&amp;"|"&amp;F$5,Dados!$A$2:$A$57,0))="","",INDEX(Dados!$K$2:$K$57,MATCH($A10&amp;"|"&amp;F$5,Dados!$A$2:$A$57,0))),"")</f>
        <v>4.4105743161211861E-3</v>
      </c>
      <c r="G10" s="10">
        <f>IFERROR(IF(INDEX(Dados!$K$2:$K$57,MATCH($A10&amp;"|"&amp;G$5,Dados!$A$2:$A$57,0))="","",INDEX(Dados!$K$2:$K$57,MATCH($A10&amp;"|"&amp;G$5,Dados!$A$2:$A$57,0))),"")</f>
        <v>4.442649248071074E-3</v>
      </c>
      <c r="H10" s="10">
        <f>IFERROR(IF(INDEX(Dados!$K$2:$K$57,MATCH($A10&amp;"|"&amp;H$5,Dados!$A$2:$A$57,0))="","",INDEX(Dados!$K$2:$K$57,MATCH($A10&amp;"|"&amp;H$5,Dados!$A$2:$A$57,0))),"")</f>
        <v>4.4576725746245183E-3</v>
      </c>
      <c r="I10" s="10">
        <f>IFERROR(IF(INDEX(Dados!$K$2:$K$57,MATCH($A10&amp;"|"&amp;I$5,Dados!$A$2:$A$57,0))="","",INDEX(Dados!$K$2:$K$57,MATCH($A10&amp;"|"&amp;I$5,Dados!$A$2:$A$57,0))),"")</f>
        <v>4.4939078459678497E-3</v>
      </c>
      <c r="J10" s="10">
        <f>IFERROR(IF(INDEX(Dados!$K$2:$K$57,MATCH($A10&amp;"|"&amp;J$5,Dados!$A$2:$A$57,0))="","",INDEX(Dados!$K$2:$K$57,MATCH($A10&amp;"|"&amp;J$5,Dados!$A$2:$A$57,0))),"")</f>
        <v>4.551950073517377E-3</v>
      </c>
      <c r="K10" s="10">
        <f>IFERROR(IF(INDEX(Dados!$N$2:$N$57,MATCH($A10&amp;"|"&amp;J$5,Dados!$A$2:$A$57,0))=0,"—",INDEX(Dados!$N$2:$N$57,MATCH($A10&amp;"|"&amp;J$5,Dados!$A$2:$A$57,0))),"—")</f>
        <v>5.5000000000000014E-3</v>
      </c>
      <c r="L10" s="9" t="str">
        <f>IFERROR(IF(INDEX(Dados!$T$2:$T$57,MATCH($A10&amp;"|"&amp;J$5,Dados!$A$2:$A$57,0))="","—",INDEX(Dados!$T$2:$T$57,MATCH($A10&amp;"|"&amp;J$5,Dados!$A$2:$A$57,0))),"—")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IFERROR(IF(INDEX(Dados!$K$2:$K$57,MATCH($A11&amp;"|"&amp;C$5,Dados!$A$2:$A$57,0))="","",INDEX(Dados!$K$2:$K$57,MATCH($A11&amp;"|"&amp;C$5,Dados!$A$2:$A$57,0))),"")</f>
        <v>3.0421400682206735E-3</v>
      </c>
      <c r="D11" s="10">
        <f>IFERROR(IF(INDEX(Dados!$K$2:$K$57,MATCH($A11&amp;"|"&amp;D$5,Dados!$A$2:$A$57,0))="","",INDEX(Dados!$K$2:$K$57,MATCH($A11&amp;"|"&amp;D$5,Dados!$A$2:$A$57,0))),"")</f>
        <v>3.1362364036469506E-3</v>
      </c>
      <c r="E11" s="10">
        <f>IFERROR(IF(INDEX(Dados!$K$2:$K$57,MATCH($A11&amp;"|"&amp;E$5,Dados!$A$2:$A$57,0))="","",INDEX(Dados!$K$2:$K$57,MATCH($A11&amp;"|"&amp;E$5,Dados!$A$2:$A$57,0))),"")</f>
        <v>3.2683709557264945E-3</v>
      </c>
      <c r="F11" s="10">
        <f>IFERROR(IF(INDEX(Dados!$K$2:$K$57,MATCH($A11&amp;"|"&amp;F$5,Dados!$A$2:$A$57,0))="","",INDEX(Dados!$K$2:$K$57,MATCH($A11&amp;"|"&amp;F$5,Dados!$A$2:$A$57,0))),"")</f>
        <v>3.4539306677469528E-3</v>
      </c>
      <c r="G11" s="10">
        <f>IFERROR(IF(INDEX(Dados!$K$2:$K$57,MATCH($A11&amp;"|"&amp;G$5,Dados!$A$2:$A$57,0))="","",INDEX(Dados!$K$2:$K$57,MATCH($A11&amp;"|"&amp;G$5,Dados!$A$2:$A$57,0))),"")</f>
        <v>3.4944412105048931E-3</v>
      </c>
      <c r="H11" s="10">
        <f>IFERROR(IF(INDEX(Dados!$K$2:$K$57,MATCH($A11&amp;"|"&amp;H$5,Dados!$A$2:$A$57,0))="","",INDEX(Dados!$K$2:$K$57,MATCH($A11&amp;"|"&amp;H$5,Dados!$A$2:$A$57,0))),"")</f>
        <v>3.6184052403096219E-3</v>
      </c>
      <c r="I11" s="10">
        <f>IFERROR(IF(INDEX(Dados!$K$2:$K$57,MATCH($A11&amp;"|"&amp;I$5,Dados!$A$2:$A$57,0))="","",INDEX(Dados!$K$2:$K$57,MATCH($A11&amp;"|"&amp;I$5,Dados!$A$2:$A$57,0))),"")</f>
        <v>3.6637347383864632E-3</v>
      </c>
      <c r="J11" s="10">
        <f>IFERROR(IF(INDEX(Dados!$K$2:$K$57,MATCH($A11&amp;"|"&amp;J$5,Dados!$A$2:$A$57,0))="","",INDEX(Dados!$K$2:$K$57,MATCH($A11&amp;"|"&amp;J$5,Dados!$A$2:$A$57,0))),"")</f>
        <v>3.6148071235593657E-3</v>
      </c>
      <c r="K11" s="10" t="str">
        <f>IFERROR(IF(INDEX(Dados!$N$2:$N$57,MATCH($A11&amp;"|"&amp;J$5,Dados!$A$2:$A$57,0))=0,"—",INDEX(Dados!$N$2:$N$57,MATCH($A11&amp;"|"&amp;J$5,Dados!$A$2:$A$57,0))),"—")</f>
        <v>—</v>
      </c>
      <c r="L11" s="9" t="str">
        <f>IFERROR(IF(INDEX(Dados!$T$2:$T$57,MATCH($A11&amp;"|"&amp;J$5,Dados!$A$2:$A$57,0))="","—",INDEX(Dados!$T$2:$T$57,MATCH($A11&amp;"|"&amp;J$5,Dados!$A$2:$A$57,0))),"—")</f>
        <v>Sem limite próprio na LRF</v>
      </c>
    </row>
    <row r="12" spans="1:12" x14ac:dyDescent="0.25">
      <c r="A12" s="8" t="s">
        <v>24</v>
      </c>
      <c r="B12" s="9" t="s">
        <v>24</v>
      </c>
      <c r="C12" s="10">
        <f>IFERROR(IF(INDEX(Dados!$K$2:$K$57,MATCH($A12&amp;"|"&amp;C$5,Dados!$A$2:$A$57,0))="","",INDEX(Dados!$K$2:$K$57,MATCH($A12&amp;"|"&amp;C$5,Dados!$A$2:$A$57,0))),"")</f>
        <v>1.7069847726539935E-2</v>
      </c>
      <c r="D12" s="10">
        <f>IFERROR(IF(INDEX(Dados!$K$2:$K$57,MATCH($A12&amp;"|"&amp;D$5,Dados!$A$2:$A$57,0))="","",INDEX(Dados!$K$2:$K$57,MATCH($A12&amp;"|"&amp;D$5,Dados!$A$2:$A$57,0))),"")</f>
        <v>1.7310949028825687E-2</v>
      </c>
      <c r="E12" s="10">
        <f>IFERROR(IF(INDEX(Dados!$K$2:$K$57,MATCH($A12&amp;"|"&amp;E$5,Dados!$A$2:$A$57,0))="","",INDEX(Dados!$K$2:$K$57,MATCH($A12&amp;"|"&amp;E$5,Dados!$A$2:$A$57,0))),"")</f>
        <v>1.8059332563408123E-2</v>
      </c>
      <c r="F12" s="10">
        <f>IFERROR(IF(INDEX(Dados!$K$2:$K$57,MATCH($A12&amp;"|"&amp;F$5,Dados!$A$2:$A$57,0))="","",INDEX(Dados!$K$2:$K$57,MATCH($A12&amp;"|"&amp;F$5,Dados!$A$2:$A$57,0))),"")</f>
        <v>1.8301527682081258E-2</v>
      </c>
      <c r="G12" s="10">
        <f>IFERROR(IF(INDEX(Dados!$K$2:$K$57,MATCH($A12&amp;"|"&amp;G$5,Dados!$A$2:$A$57,0))="","",INDEX(Dados!$K$2:$K$57,MATCH($A12&amp;"|"&amp;G$5,Dados!$A$2:$A$57,0))),"")</f>
        <v>1.8545353795645477E-2</v>
      </c>
      <c r="H12" s="10">
        <f>IFERROR(IF(INDEX(Dados!$K$2:$K$57,MATCH($A12&amp;"|"&amp;H$5,Dados!$A$2:$A$57,0))="","",INDEX(Dados!$K$2:$K$57,MATCH($A12&amp;"|"&amp;H$5,Dados!$A$2:$A$57,0))),"")</f>
        <v>1.8343270896641561E-2</v>
      </c>
      <c r="I12" s="10">
        <f>IFERROR(IF(INDEX(Dados!$K$2:$K$57,MATCH($A12&amp;"|"&amp;I$5,Dados!$A$2:$A$57,0))="","",INDEX(Dados!$K$2:$K$57,MATCH($A12&amp;"|"&amp;I$5,Dados!$A$2:$A$57,0))),"")</f>
        <v>1.8394152605747501E-2</v>
      </c>
      <c r="J12" s="10">
        <f>IFERROR(IF(INDEX(Dados!$K$2:$K$57,MATCH($A12&amp;"|"&amp;J$5,Dados!$A$2:$A$57,0))="","",INDEX(Dados!$K$2:$K$57,MATCH($A12&amp;"|"&amp;J$5,Dados!$A$2:$A$57,0))),"")</f>
        <v>1.7723643981641498E-2</v>
      </c>
      <c r="K12" s="10">
        <f>IFERROR(IF(INDEX(Dados!$N$2:$N$57,MATCH($A12&amp;"|"&amp;J$5,Dados!$A$2:$A$57,0))=0,"—",INDEX(Dados!$N$2:$N$57,MATCH($A12&amp;"|"&amp;J$5,Dados!$A$2:$A$57,0))),"—")</f>
        <v>0.02</v>
      </c>
      <c r="L12" s="9" t="str">
        <f>IFERROR(IF(INDEX(Dados!$T$2:$T$57,MATCH($A12&amp;"|"&amp;J$5,Dados!$A$2:$A$57,0))="","—",INDEX(Dados!$T$2:$T$57,MATCH($A12&amp;"|"&amp;J$5,Dados!$A$2:$A$57,0))),"—")</f>
        <v>Abaixo do limite de alerta</v>
      </c>
    </row>
    <row r="13" spans="1:12" x14ac:dyDescent="0.25">
      <c r="A13" s="3" t="s">
        <v>25</v>
      </c>
      <c r="B13" s="11" t="s">
        <v>26</v>
      </c>
      <c r="C13" s="12">
        <f>IFERROR(INDEX(Dados!$J$2:$J$57,MATCH("Governo|"&amp;C$5,Dados!$A$2:$A$57,0))/1000000,"")</f>
        <v>38995.918133179999</v>
      </c>
      <c r="D13" s="12">
        <f>IFERROR(INDEX(Dados!$J$2:$J$57,MATCH("Governo|"&amp;D$5,Dados!$A$2:$A$57,0))/1000000,"")</f>
        <v>40864.991803860001</v>
      </c>
      <c r="E13" s="12">
        <f>IFERROR(INDEX(Dados!$J$2:$J$57,MATCH("Governo|"&amp;E$5,Dados!$A$2:$A$57,0))/1000000,"")</f>
        <v>42238.430239419999</v>
      </c>
      <c r="F13" s="12">
        <f>IFERROR(INDEX(Dados!$J$2:$J$57,MATCH("Governo|"&amp;F$5,Dados!$A$2:$A$57,0))/1000000,"")</f>
        <v>43644.6720479</v>
      </c>
      <c r="G13" s="12">
        <f>IFERROR(INDEX(Dados!$J$2:$J$57,MATCH("Governo|"&amp;G$5,Dados!$A$2:$A$57,0))/1000000,"")</f>
        <v>44545.81684249</v>
      </c>
      <c r="H13" s="12">
        <f>IFERROR(INDEX(Dados!$J$2:$J$57,MATCH("Governo|"&amp;H$5,Dados!$A$2:$A$57,0))/1000000,"")</f>
        <v>45360.605189139998</v>
      </c>
      <c r="I13" s="12">
        <f>IFERROR(INDEX(Dados!$J$2:$J$57,MATCH("Governo|"&amp;I$5,Dados!$A$2:$A$57,0))/1000000,"")</f>
        <v>46172.503734400001</v>
      </c>
      <c r="J13" s="12">
        <f>IFERROR(INDEX(Dados!$J$2:$J$57,MATCH("Governo|"&amp;J$5,Dados!$A$2:$A$57,0))/1000000,"")</f>
        <v>46946.528149170001</v>
      </c>
    </row>
    <row r="15" spans="1:12" x14ac:dyDescent="0.25">
      <c r="A15" s="3" t="s">
        <v>27</v>
      </c>
    </row>
    <row r="16" spans="1:12" ht="44.1" customHeight="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</row>
    <row r="17" spans="1:10" x14ac:dyDescent="0.25">
      <c r="A17" s="5" t="s">
        <v>15</v>
      </c>
      <c r="B17" s="6" t="s">
        <v>16</v>
      </c>
      <c r="C17" s="13">
        <f>IFERROR(IF(INDEX(Dados!$I$2:$I$57,MATCH($A17&amp;"|"&amp;C$16,Dados!$A$2:$A$57,0))="","",INDEX(Dados!$I$2:$I$57,MATCH($A17&amp;"|"&amp;C$16,Dados!$A$2:$A$57,0))/1000000),"")</f>
        <v>17138.446401549998</v>
      </c>
      <c r="D17" s="13">
        <f>IFERROR(IF(INDEX(Dados!$I$2:$I$57,MATCH($A17&amp;"|"&amp;D$16,Dados!$A$2:$A$57,0))="","",INDEX(Dados!$I$2:$I$57,MATCH($A17&amp;"|"&amp;D$16,Dados!$A$2:$A$57,0))/1000000),"")</f>
        <v>17087.26436741</v>
      </c>
      <c r="E17" s="13">
        <f>IFERROR(IF(INDEX(Dados!$I$2:$I$57,MATCH($A17&amp;"|"&amp;E$16,Dados!$A$2:$A$57,0))="","",INDEX(Dados!$I$2:$I$57,MATCH($A17&amp;"|"&amp;E$16,Dados!$A$2:$A$57,0))/1000000),"")</f>
        <v>17612.043485390001</v>
      </c>
      <c r="F17" s="13">
        <f>IFERROR(IF(INDEX(Dados!$I$2:$I$57,MATCH($A17&amp;"|"&amp;F$16,Dados!$A$2:$A$57,0))="","",INDEX(Dados!$I$2:$I$57,MATCH($A17&amp;"|"&amp;F$16,Dados!$A$2:$A$57,0))/1000000),"")</f>
        <v>17035.037357950001</v>
      </c>
      <c r="G17" s="13">
        <f>IFERROR(IF(INDEX(Dados!$I$2:$I$57,MATCH($A17&amp;"|"&amp;G$16,Dados!$A$2:$A$57,0))="","",INDEX(Dados!$I$2:$I$57,MATCH($A17&amp;"|"&amp;G$16,Dados!$A$2:$A$57,0))/1000000),"")</f>
        <v>17755.983476990001</v>
      </c>
      <c r="H17" s="13">
        <f>IFERROR(IF(INDEX(Dados!$I$2:$I$57,MATCH($A17&amp;"|"&amp;H$16,Dados!$A$2:$A$57,0))="","",INDEX(Dados!$I$2:$I$57,MATCH($A17&amp;"|"&amp;H$16,Dados!$A$2:$A$57,0))/1000000),"")</f>
        <v>18124.22565746</v>
      </c>
      <c r="I17" s="13">
        <f>IFERROR(IF(INDEX(Dados!$I$2:$I$57,MATCH($A17&amp;"|"&amp;I$16,Dados!$A$2:$A$57,0))="","",INDEX(Dados!$I$2:$I$57,MATCH($A17&amp;"|"&amp;I$16,Dados!$A$2:$A$57,0))/1000000),"")</f>
        <v>18597.42425109</v>
      </c>
      <c r="J17" s="13">
        <f>IFERROR(IF(INDEX(Dados!$I$2:$I$57,MATCH($A17&amp;"|"&amp;J$16,Dados!$A$2:$A$57,0))="","",INDEX(Dados!$I$2:$I$57,MATCH($A17&amp;"|"&amp;J$16,Dados!$A$2:$A$57,0))/1000000),"")</f>
        <v>19051.185061439999</v>
      </c>
    </row>
    <row r="18" spans="1:10" x14ac:dyDescent="0.25">
      <c r="A18" s="8" t="s">
        <v>17</v>
      </c>
      <c r="B18" s="9" t="s">
        <v>18</v>
      </c>
      <c r="C18" s="14">
        <f>IFERROR(IF(INDEX(Dados!$I$2:$I$57,MATCH($A18&amp;"|"&amp;C$16,Dados!$A$2:$A$57,0))="","",INDEX(Dados!$I$2:$I$57,MATCH($A18&amp;"|"&amp;C$16,Dados!$A$2:$A$57,0))/1000000),"")</f>
        <v>521.11210116000007</v>
      </c>
      <c r="D18" s="14">
        <f>IFERROR(IF(INDEX(Dados!$I$2:$I$57,MATCH($A18&amp;"|"&amp;D$16,Dados!$A$2:$A$57,0))="","",INDEX(Dados!$I$2:$I$57,MATCH($A18&amp;"|"&amp;D$16,Dados!$A$2:$A$57,0))/1000000),"")</f>
        <v>542.78750642999989</v>
      </c>
      <c r="E18" s="14">
        <f>IFERROR(IF(INDEX(Dados!$I$2:$I$57,MATCH($A18&amp;"|"&amp;E$16,Dados!$A$2:$A$57,0))="","",INDEX(Dados!$I$2:$I$57,MATCH($A18&amp;"|"&amp;E$16,Dados!$A$2:$A$57,0))/1000000),"")</f>
        <v>553.66368488000001</v>
      </c>
      <c r="F18" s="14">
        <f>IFERROR(IF(INDEX(Dados!$I$2:$I$57,MATCH($A18&amp;"|"&amp;F$16,Dados!$A$2:$A$57,0))="","",INDEX(Dados!$I$2:$I$57,MATCH($A18&amp;"|"&amp;F$16,Dados!$A$2:$A$57,0))/1000000),"")</f>
        <v>553.02691941</v>
      </c>
      <c r="G18" s="14">
        <f>IFERROR(IF(INDEX(Dados!$I$2:$I$57,MATCH($A18&amp;"|"&amp;G$16,Dados!$A$2:$A$57,0))="","",INDEX(Dados!$I$2:$I$57,MATCH($A18&amp;"|"&amp;G$16,Dados!$A$2:$A$57,0))/1000000),"")</f>
        <v>570.42322176999994</v>
      </c>
      <c r="H18" s="14">
        <f>IFERROR(IF(INDEX(Dados!$I$2:$I$57,MATCH($A18&amp;"|"&amp;H$16,Dados!$A$2:$A$57,0))="","",INDEX(Dados!$I$2:$I$57,MATCH($A18&amp;"|"&amp;H$16,Dados!$A$2:$A$57,0))/1000000),"")</f>
        <v>597.37823021999998</v>
      </c>
      <c r="I18" s="14">
        <f>IFERROR(IF(INDEX(Dados!$I$2:$I$57,MATCH($A18&amp;"|"&amp;I$16,Dados!$A$2:$A$57,0))="","",INDEX(Dados!$I$2:$I$57,MATCH($A18&amp;"|"&amp;I$16,Dados!$A$2:$A$57,0))/1000000),"")</f>
        <v>608.40270009000005</v>
      </c>
      <c r="J18" s="14">
        <f>IFERROR(IF(INDEX(Dados!$I$2:$I$57,MATCH($A18&amp;"|"&amp;J$16,Dados!$A$2:$A$57,0))="","",INDEX(Dados!$I$2:$I$57,MATCH($A18&amp;"|"&amp;J$16,Dados!$A$2:$A$57,0))/1000000),"")</f>
        <v>618.26525774000004</v>
      </c>
    </row>
    <row r="19" spans="1:10" x14ac:dyDescent="0.25">
      <c r="A19" s="8" t="s">
        <v>19</v>
      </c>
      <c r="B19" s="9" t="s">
        <v>20</v>
      </c>
      <c r="C19" s="14">
        <f>IFERROR(IF(INDEX(Dados!$I$2:$I$57,MATCH($A19&amp;"|"&amp;C$16,Dados!$A$2:$A$57,0))="","",INDEX(Dados!$I$2:$I$57,MATCH($A19&amp;"|"&amp;C$16,Dados!$A$2:$A$57,0))/1000000),"")</f>
        <v>1801.5928992899999</v>
      </c>
      <c r="D19" s="14">
        <f>IFERROR(IF(INDEX(Dados!$I$2:$I$57,MATCH($A19&amp;"|"&amp;D$16,Dados!$A$2:$A$57,0))="","",INDEX(Dados!$I$2:$I$57,MATCH($A19&amp;"|"&amp;D$16,Dados!$A$2:$A$57,0))/1000000),"")</f>
        <v>1925.09556918</v>
      </c>
      <c r="E19" s="14">
        <f>IFERROR(IF(INDEX(Dados!$I$2:$I$57,MATCH($A19&amp;"|"&amp;E$16,Dados!$A$2:$A$57,0))="","",INDEX(Dados!$I$2:$I$57,MATCH($A19&amp;"|"&amp;E$16,Dados!$A$2:$A$57,0))/1000000),"")</f>
        <v>2066.04681553</v>
      </c>
      <c r="F19" s="14">
        <f>IFERROR(IF(INDEX(Dados!$I$2:$I$57,MATCH($A19&amp;"|"&amp;F$16,Dados!$A$2:$A$57,0))="","",INDEX(Dados!$I$2:$I$57,MATCH($A19&amp;"|"&amp;F$16,Dados!$A$2:$A$57,0))/1000000),"")</f>
        <v>2230.2264067600004</v>
      </c>
      <c r="G19" s="14">
        <f>IFERROR(IF(INDEX(Dados!$I$2:$I$57,MATCH($A19&amp;"|"&amp;G$16,Dados!$A$2:$A$57,0))="","",INDEX(Dados!$I$2:$I$57,MATCH($A19&amp;"|"&amp;G$16,Dados!$A$2:$A$57,0))/1000000),"")</f>
        <v>2407.6522137600004</v>
      </c>
      <c r="H19" s="14">
        <f>IFERROR(IF(INDEX(Dados!$I$2:$I$57,MATCH($A19&amp;"|"&amp;H$16,Dados!$A$2:$A$57,0))="","",INDEX(Dados!$I$2:$I$57,MATCH($A19&amp;"|"&amp;H$16,Dados!$A$2:$A$57,0))/1000000),"")</f>
        <v>2528.5253289499997</v>
      </c>
      <c r="I19" s="14">
        <f>IFERROR(IF(INDEX(Dados!$I$2:$I$57,MATCH($A19&amp;"|"&amp;I$16,Dados!$A$2:$A$57,0))="","",INDEX(Dados!$I$2:$I$57,MATCH($A19&amp;"|"&amp;I$16,Dados!$A$2:$A$57,0))/1000000),"")</f>
        <v>2571.1026544299998</v>
      </c>
      <c r="J19" s="14">
        <f>IFERROR(IF(INDEX(Dados!$I$2:$I$57,MATCH($A19&amp;"|"&amp;J$16,Dados!$A$2:$A$57,0))="","",INDEX(Dados!$I$2:$I$57,MATCH($A19&amp;"|"&amp;J$16,Dados!$A$2:$A$57,0))/1000000),"")</f>
        <v>2563.3694428200001</v>
      </c>
    </row>
    <row r="20" spans="1:10" x14ac:dyDescent="0.25">
      <c r="A20" s="8" t="s">
        <v>21</v>
      </c>
      <c r="B20" s="9" t="s">
        <v>21</v>
      </c>
      <c r="C20" s="14">
        <f>IFERROR(IF(INDEX(Dados!$I$2:$I$57,MATCH($A20&amp;"|"&amp;C$16,Dados!$A$2:$A$57,0))="","",INDEX(Dados!$I$2:$I$57,MATCH($A20&amp;"|"&amp;C$16,Dados!$A$2:$A$57,0))/1000000),"")</f>
        <v>329.95292626999998</v>
      </c>
      <c r="D20" s="14">
        <f>IFERROR(IF(INDEX(Dados!$I$2:$I$57,MATCH($A20&amp;"|"&amp;D$16,Dados!$A$2:$A$57,0))="","",INDEX(Dados!$I$2:$I$57,MATCH($A20&amp;"|"&amp;D$16,Dados!$A$2:$A$57,0))/1000000),"")</f>
        <v>341.03660983999998</v>
      </c>
      <c r="E20" s="14">
        <f>IFERROR(IF(INDEX(Dados!$I$2:$I$57,MATCH($A20&amp;"|"&amp;E$16,Dados!$A$2:$A$57,0))="","",INDEX(Dados!$I$2:$I$57,MATCH($A20&amp;"|"&amp;E$16,Dados!$A$2:$A$57,0))/1000000),"")</f>
        <v>352.96417310999999</v>
      </c>
      <c r="F20" s="14">
        <f>IFERROR(IF(INDEX(Dados!$I$2:$I$57,MATCH($A20&amp;"|"&amp;F$16,Dados!$A$2:$A$57,0))="","",INDEX(Dados!$I$2:$I$57,MATCH($A20&amp;"|"&amp;F$16,Dados!$A$2:$A$57,0))/1000000),"")</f>
        <v>380.44767608999996</v>
      </c>
      <c r="G20" s="14">
        <f>IFERROR(IF(INDEX(Dados!$I$2:$I$57,MATCH($A20&amp;"|"&amp;G$16,Dados!$A$2:$A$57,0))="","",INDEX(Dados!$I$2:$I$57,MATCH($A20&amp;"|"&amp;G$16,Dados!$A$2:$A$57,0))/1000000),"")</f>
        <v>404.17722326000001</v>
      </c>
      <c r="H20" s="14">
        <f>IFERROR(IF(INDEX(Dados!$I$2:$I$57,MATCH($A20&amp;"|"&amp;H$16,Dados!$A$2:$A$57,0))="","",INDEX(Dados!$I$2:$I$57,MATCH($A20&amp;"|"&amp;H$16,Dados!$A$2:$A$57,0))/1000000),"")</f>
        <v>426.18109641000001</v>
      </c>
      <c r="I20" s="14">
        <f>IFERROR(IF(INDEX(Dados!$I$2:$I$57,MATCH($A20&amp;"|"&amp;I$16,Dados!$A$2:$A$57,0))="","",INDEX(Dados!$I$2:$I$57,MATCH($A20&amp;"|"&amp;I$16,Dados!$A$2:$A$57,0))/1000000),"")</f>
        <v>438.85624424999997</v>
      </c>
      <c r="J20" s="14">
        <f>IFERROR(IF(INDEX(Dados!$I$2:$I$57,MATCH($A20&amp;"|"&amp;J$16,Dados!$A$2:$A$57,0))="","",INDEX(Dados!$I$2:$I$57,MATCH($A20&amp;"|"&amp;J$16,Dados!$A$2:$A$57,0))/1000000),"")</f>
        <v>446.82017217000003</v>
      </c>
    </row>
    <row r="21" spans="1:10" x14ac:dyDescent="0.25">
      <c r="A21" s="8" t="s">
        <v>22</v>
      </c>
      <c r="B21" s="9" t="s">
        <v>21</v>
      </c>
      <c r="C21" s="14">
        <f>IFERROR(IF(INDEX(Dados!$I$2:$I$57,MATCH($A21&amp;"|"&amp;C$16,Dados!$A$2:$A$57,0))="","",INDEX(Dados!$I$2:$I$57,MATCH($A21&amp;"|"&amp;C$16,Dados!$A$2:$A$57,0))/1000000),"")</f>
        <v>176.80305294999999</v>
      </c>
      <c r="D21" s="14">
        <f>IFERROR(IF(INDEX(Dados!$I$2:$I$57,MATCH($A21&amp;"|"&amp;D$16,Dados!$A$2:$A$57,0))="","",INDEX(Dados!$I$2:$I$57,MATCH($A21&amp;"|"&amp;D$16,Dados!$A$2:$A$57,0))/1000000),"")</f>
        <v>183.29082177000001</v>
      </c>
      <c r="E21" s="14">
        <f>IFERROR(IF(INDEX(Dados!$I$2:$I$57,MATCH($A21&amp;"|"&amp;E$16,Dados!$A$2:$A$57,0))="","",INDEX(Dados!$I$2:$I$57,MATCH($A21&amp;"|"&amp;E$16,Dados!$A$2:$A$57,0))/1000000),"")</f>
        <v>188.24856041000001</v>
      </c>
      <c r="F21" s="14">
        <f>IFERROR(IF(INDEX(Dados!$I$2:$I$57,MATCH($A21&amp;"|"&amp;F$16,Dados!$A$2:$A$57,0))="","",INDEX(Dados!$I$2:$I$57,MATCH($A21&amp;"|"&amp;F$16,Dados!$A$2:$A$57,0))/1000000),"")</f>
        <v>192.49806956999998</v>
      </c>
      <c r="G21" s="14">
        <f>IFERROR(IF(INDEX(Dados!$I$2:$I$57,MATCH($A21&amp;"|"&amp;G$16,Dados!$A$2:$A$57,0))="","",INDEX(Dados!$I$2:$I$57,MATCH($A21&amp;"|"&amp;G$16,Dados!$A$2:$A$57,0))/1000000),"")</f>
        <v>197.9014397</v>
      </c>
      <c r="H21" s="14">
        <f>IFERROR(IF(INDEX(Dados!$I$2:$I$57,MATCH($A21&amp;"|"&amp;H$16,Dados!$A$2:$A$57,0))="","",INDEX(Dados!$I$2:$I$57,MATCH($A21&amp;"|"&amp;H$16,Dados!$A$2:$A$57,0))/1000000),"")</f>
        <v>202.20272571999999</v>
      </c>
      <c r="I21" s="14">
        <f>IFERROR(IF(INDEX(Dados!$I$2:$I$57,MATCH($A21&amp;"|"&amp;I$16,Dados!$A$2:$A$57,0))="","",INDEX(Dados!$I$2:$I$57,MATCH($A21&amp;"|"&amp;I$16,Dados!$A$2:$A$57,0))/1000000),"")</f>
        <v>207.49497680000002</v>
      </c>
      <c r="J21" s="14">
        <f>IFERROR(IF(INDEX(Dados!$I$2:$I$57,MATCH($A21&amp;"|"&amp;J$16,Dados!$A$2:$A$57,0))="","",INDEX(Dados!$I$2:$I$57,MATCH($A21&amp;"|"&amp;J$16,Dados!$A$2:$A$57,0))/1000000),"")</f>
        <v>213.69825226</v>
      </c>
    </row>
    <row r="22" spans="1:10" x14ac:dyDescent="0.25">
      <c r="A22" s="8" t="s">
        <v>23</v>
      </c>
      <c r="B22" s="9" t="s">
        <v>23</v>
      </c>
      <c r="C22" s="14">
        <f>IFERROR(IF(INDEX(Dados!$I$2:$I$57,MATCH($A22&amp;"|"&amp;C$16,Dados!$A$2:$A$57,0))="","",INDEX(Dados!$I$2:$I$57,MATCH($A22&amp;"|"&amp;C$16,Dados!$A$2:$A$57,0))/1000000),"")</f>
        <v>118.63104505</v>
      </c>
      <c r="D22" s="14">
        <f>IFERROR(IF(INDEX(Dados!$I$2:$I$57,MATCH($A22&amp;"|"&amp;D$16,Dados!$A$2:$A$57,0))="","",INDEX(Dados!$I$2:$I$57,MATCH($A22&amp;"|"&amp;D$16,Dados!$A$2:$A$57,0))/1000000),"")</f>
        <v>128.16227493</v>
      </c>
      <c r="E22" s="14">
        <f>IFERROR(IF(INDEX(Dados!$I$2:$I$57,MATCH($A22&amp;"|"&amp;E$16,Dados!$A$2:$A$57,0))="","",INDEX(Dados!$I$2:$I$57,MATCH($A22&amp;"|"&amp;E$16,Dados!$A$2:$A$57,0))/1000000),"")</f>
        <v>138.05085861000001</v>
      </c>
      <c r="F22" s="14">
        <f>IFERROR(IF(INDEX(Dados!$I$2:$I$57,MATCH($A22&amp;"|"&amp;F$16,Dados!$A$2:$A$57,0))="","",INDEX(Dados!$I$2:$I$57,MATCH($A22&amp;"|"&amp;F$16,Dados!$A$2:$A$57,0))/1000000),"")</f>
        <v>150.74567127</v>
      </c>
      <c r="G22" s="14">
        <f>IFERROR(IF(INDEX(Dados!$I$2:$I$57,MATCH($A22&amp;"|"&amp;G$16,Dados!$A$2:$A$57,0))="","",INDEX(Dados!$I$2:$I$57,MATCH($A22&amp;"|"&amp;G$16,Dados!$A$2:$A$57,0))/1000000),"")</f>
        <v>155.66273813000001</v>
      </c>
      <c r="H22" s="14">
        <f>IFERROR(IF(INDEX(Dados!$I$2:$I$57,MATCH($A22&amp;"|"&amp;H$16,Dados!$A$2:$A$57,0))="","",INDEX(Dados!$I$2:$I$57,MATCH($A22&amp;"|"&amp;H$16,Dados!$A$2:$A$57,0))/1000000),"")</f>
        <v>164.13305152000001</v>
      </c>
      <c r="I22" s="14">
        <f>IFERROR(IF(INDEX(Dados!$I$2:$I$57,MATCH($A22&amp;"|"&amp;I$16,Dados!$A$2:$A$57,0))="","",INDEX(Dados!$I$2:$I$57,MATCH($A22&amp;"|"&amp;I$16,Dados!$A$2:$A$57,0))/1000000),"")</f>
        <v>169.16380588999999</v>
      </c>
      <c r="J22" s="14">
        <f>IFERROR(IF(INDEX(Dados!$I$2:$I$57,MATCH($A22&amp;"|"&amp;J$16,Dados!$A$2:$A$57,0))="","",INDEX(Dados!$I$2:$I$57,MATCH($A22&amp;"|"&amp;J$16,Dados!$A$2:$A$57,0))/1000000),"")</f>
        <v>169.70264437999998</v>
      </c>
    </row>
    <row r="23" spans="1:10" x14ac:dyDescent="0.25">
      <c r="A23" s="8" t="s">
        <v>24</v>
      </c>
      <c r="B23" s="9" t="s">
        <v>24</v>
      </c>
      <c r="C23" s="14">
        <f>IFERROR(IF(INDEX(Dados!$I$2:$I$57,MATCH($A23&amp;"|"&amp;C$16,Dados!$A$2:$A$57,0))="","",INDEX(Dados!$I$2:$I$57,MATCH($A23&amp;"|"&amp;C$16,Dados!$A$2:$A$57,0))/1000000),"")</f>
        <v>665.65438448999998</v>
      </c>
      <c r="D23" s="14">
        <f>IFERROR(IF(INDEX(Dados!$I$2:$I$57,MATCH($A23&amp;"|"&amp;D$16,Dados!$A$2:$A$57,0))="","",INDEX(Dados!$I$2:$I$57,MATCH($A23&amp;"|"&amp;D$16,Dados!$A$2:$A$57,0))/1000000),"")</f>
        <v>707.41179017999991</v>
      </c>
      <c r="E23" s="14">
        <f>IFERROR(IF(INDEX(Dados!$I$2:$I$57,MATCH($A23&amp;"|"&amp;E$16,Dados!$A$2:$A$57,0))="","",INDEX(Dados!$I$2:$I$57,MATCH($A23&amp;"|"&amp;E$16,Dados!$A$2:$A$57,0))/1000000),"")</f>
        <v>762.79785864999997</v>
      </c>
      <c r="F23" s="14">
        <f>IFERROR(IF(INDEX(Dados!$I$2:$I$57,MATCH($A23&amp;"|"&amp;F$16,Dados!$A$2:$A$57,0))="","",INDEX(Dados!$I$2:$I$57,MATCH($A23&amp;"|"&amp;F$16,Dados!$A$2:$A$57,0))/1000000),"")</f>
        <v>798.76417365999998</v>
      </c>
      <c r="G23" s="14">
        <f>IFERROR(IF(INDEX(Dados!$I$2:$I$57,MATCH($A23&amp;"|"&amp;G$16,Dados!$A$2:$A$57,0))="","",INDEX(Dados!$I$2:$I$57,MATCH($A23&amp;"|"&amp;G$16,Dados!$A$2:$A$57,0))/1000000),"")</f>
        <v>826.11793346000002</v>
      </c>
      <c r="H23" s="14">
        <f>IFERROR(IF(INDEX(Dados!$I$2:$I$57,MATCH($A23&amp;"|"&amp;H$16,Dados!$A$2:$A$57,0))="","",INDEX(Dados!$I$2:$I$57,MATCH($A23&amp;"|"&amp;H$16,Dados!$A$2:$A$57,0))/1000000),"")</f>
        <v>832.06186902000002</v>
      </c>
      <c r="I23" s="14">
        <f>IFERROR(IF(INDEX(Dados!$I$2:$I$57,MATCH($A23&amp;"|"&amp;I$16,Dados!$A$2:$A$57,0))="","",INDEX(Dados!$I$2:$I$57,MATCH($A23&amp;"|"&amp;I$16,Dados!$A$2:$A$57,0))/1000000),"")</f>
        <v>849.30407988000002</v>
      </c>
      <c r="J23" s="14">
        <f>IFERROR(IF(INDEX(Dados!$I$2:$I$57,MATCH($A23&amp;"|"&amp;J$16,Dados!$A$2:$A$57,0))="","",INDEX(Dados!$I$2:$I$57,MATCH($A23&amp;"|"&amp;J$16,Dados!$A$2:$A$57,0))/1000000),"")</f>
        <v>832.06355109000003</v>
      </c>
    </row>
    <row r="25" spans="1:10" x14ac:dyDescent="0.25">
      <c r="A2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29</v>
      </c>
      <c r="B1" s="4" t="s">
        <v>3</v>
      </c>
      <c r="C1" s="4" t="s">
        <v>4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48</v>
      </c>
      <c r="E2" s="9" t="s">
        <v>49</v>
      </c>
      <c r="F2" s="9">
        <v>1</v>
      </c>
      <c r="G2" s="9" t="s">
        <v>5</v>
      </c>
      <c r="H2" s="9" t="s">
        <v>50</v>
      </c>
      <c r="I2" s="15">
        <v>17138446401.549999</v>
      </c>
      <c r="J2" s="15">
        <v>38995918133.18</v>
      </c>
      <c r="K2" s="10">
        <f t="shared" ref="K2:K33" si="1">IF(OR(I2="",J2="",J2=0),"",I2/J2)</f>
        <v>0.43949334243184829</v>
      </c>
      <c r="L2" s="16">
        <v>0.4395</v>
      </c>
      <c r="M2" s="9" t="str">
        <f t="shared" ref="M2:M33" si="2">IF(L2="","Não declarado",IF(K2="","Sem dado",IF(ABS(K2-L2)&lt;=0.00005,"Sim","Não")))</f>
        <v>Sim</v>
      </c>
      <c r="N2" s="16">
        <v>0.48599999999999999</v>
      </c>
      <c r="O2" s="16">
        <v>0.4617</v>
      </c>
      <c r="P2" s="16">
        <v>0.43740000000000001</v>
      </c>
      <c r="Q2" s="15">
        <v>18952016212.720001</v>
      </c>
      <c r="R2" s="15">
        <v>18004415402.080002</v>
      </c>
      <c r="S2" s="15">
        <v>17056814591.450001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de alerta</v>
      </c>
      <c r="U2" s="9" t="s">
        <v>51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48</v>
      </c>
      <c r="E3" s="9" t="s">
        <v>49</v>
      </c>
      <c r="F3" s="9">
        <v>2</v>
      </c>
      <c r="G3" s="9" t="s">
        <v>6</v>
      </c>
      <c r="H3" s="9" t="s">
        <v>52</v>
      </c>
      <c r="I3" s="15">
        <v>17087264367.41</v>
      </c>
      <c r="J3" s="15">
        <v>40864991803.860001</v>
      </c>
      <c r="K3" s="10">
        <f t="shared" si="1"/>
        <v>0.41813942969630014</v>
      </c>
      <c r="L3" s="16">
        <v>0.41810000000000003</v>
      </c>
      <c r="M3" s="9" t="str">
        <f t="shared" si="2"/>
        <v>Sim</v>
      </c>
      <c r="N3" s="16">
        <v>0.48599999999999999</v>
      </c>
      <c r="O3" s="16">
        <v>0.4617</v>
      </c>
      <c r="P3" s="16">
        <v>0.43740000000000001</v>
      </c>
      <c r="Q3" s="15">
        <v>19860386016.669998</v>
      </c>
      <c r="R3" s="15">
        <v>18867366715.84</v>
      </c>
      <c r="S3" s="15">
        <v>17874347415</v>
      </c>
      <c r="T3" s="9" t="str">
        <f t="shared" si="3"/>
        <v>Abaixo do limite de alerta</v>
      </c>
      <c r="U3" s="9" t="s">
        <v>51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48</v>
      </c>
      <c r="E4" s="9" t="s">
        <v>49</v>
      </c>
      <c r="F4" s="9">
        <v>3</v>
      </c>
      <c r="G4" s="9" t="s">
        <v>7</v>
      </c>
      <c r="H4" s="9" t="s">
        <v>53</v>
      </c>
      <c r="I4" s="15">
        <v>17612043485.389999</v>
      </c>
      <c r="J4" s="15">
        <v>42238430239.419998</v>
      </c>
      <c r="K4" s="10">
        <f t="shared" si="1"/>
        <v>0.41696728276973583</v>
      </c>
      <c r="L4" s="16">
        <v>0.41699999999999998</v>
      </c>
      <c r="M4" s="9" t="str">
        <f t="shared" si="2"/>
        <v>Sim</v>
      </c>
      <c r="N4" s="16">
        <v>0.48599999999999999</v>
      </c>
      <c r="O4" s="16">
        <v>0.4617</v>
      </c>
      <c r="P4" s="16">
        <v>0.43740000000000001</v>
      </c>
      <c r="Q4" s="15">
        <v>20527877096.349998</v>
      </c>
      <c r="R4" s="15">
        <v>19501483241.529999</v>
      </c>
      <c r="S4" s="15">
        <v>18475089386.720001</v>
      </c>
      <c r="T4" s="9" t="str">
        <f t="shared" si="3"/>
        <v>Abaixo do limite de alerta</v>
      </c>
      <c r="U4" s="9" t="s">
        <v>51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48</v>
      </c>
      <c r="E5" s="9" t="s">
        <v>54</v>
      </c>
      <c r="F5" s="9">
        <v>1</v>
      </c>
      <c r="G5" s="9" t="s">
        <v>8</v>
      </c>
      <c r="H5" s="9" t="s">
        <v>55</v>
      </c>
      <c r="I5" s="15">
        <v>17035037357.950001</v>
      </c>
      <c r="J5" s="15">
        <v>43644672047.900002</v>
      </c>
      <c r="K5" s="10">
        <f t="shared" si="1"/>
        <v>0.39031195696130006</v>
      </c>
      <c r="L5" s="16">
        <v>0.39029999999999998</v>
      </c>
      <c r="M5" s="9" t="str">
        <f t="shared" si="2"/>
        <v>Sim</v>
      </c>
      <c r="N5" s="16">
        <v>0.48599999999999999</v>
      </c>
      <c r="O5" s="16">
        <v>0.4617</v>
      </c>
      <c r="P5" s="16">
        <v>0.43740000000000001</v>
      </c>
      <c r="Q5" s="15">
        <v>21211310615.27</v>
      </c>
      <c r="R5" s="15">
        <v>20150745084.509998</v>
      </c>
      <c r="S5" s="15">
        <v>19090179553.740002</v>
      </c>
      <c r="T5" s="9" t="str">
        <f t="shared" si="3"/>
        <v>Abaixo do limite de alerta</v>
      </c>
      <c r="U5" s="9" t="s">
        <v>51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48</v>
      </c>
      <c r="E6" s="9" t="s">
        <v>54</v>
      </c>
      <c r="F6" s="9">
        <v>2</v>
      </c>
      <c r="G6" s="9" t="s">
        <v>9</v>
      </c>
      <c r="H6" s="9" t="s">
        <v>56</v>
      </c>
      <c r="I6" s="15">
        <v>17755983476.990002</v>
      </c>
      <c r="J6" s="15">
        <v>44545816842.489998</v>
      </c>
      <c r="K6" s="10">
        <f t="shared" si="1"/>
        <v>0.39860046881110212</v>
      </c>
      <c r="L6" s="16">
        <v>0.39860000000000001</v>
      </c>
      <c r="M6" s="9" t="str">
        <f t="shared" si="2"/>
        <v>Sim</v>
      </c>
      <c r="N6" s="16">
        <v>0.48599999999999999</v>
      </c>
      <c r="O6" s="16">
        <v>0.4617</v>
      </c>
      <c r="P6" s="16">
        <v>0.43740000000000001</v>
      </c>
      <c r="Q6" s="15">
        <v>21649266985.450001</v>
      </c>
      <c r="R6" s="15">
        <v>20566803636.18</v>
      </c>
      <c r="S6" s="15">
        <v>19484340286.91</v>
      </c>
      <c r="T6" s="9" t="str">
        <f t="shared" si="3"/>
        <v>Abaixo do limite de alerta</v>
      </c>
      <c r="U6" s="9" t="s">
        <v>51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48</v>
      </c>
      <c r="E7" s="9" t="s">
        <v>54</v>
      </c>
      <c r="F7" s="9">
        <v>3</v>
      </c>
      <c r="G7" s="9" t="s">
        <v>10</v>
      </c>
      <c r="H7" s="9" t="s">
        <v>57</v>
      </c>
      <c r="I7" s="15">
        <v>18124225657.459999</v>
      </c>
      <c r="J7" s="15">
        <v>45360605189.139999</v>
      </c>
      <c r="K7" s="10">
        <f t="shared" si="1"/>
        <v>0.39955872682666954</v>
      </c>
      <c r="L7" s="16">
        <v>0.39960000000000001</v>
      </c>
      <c r="M7" s="9" t="str">
        <f t="shared" si="2"/>
        <v>Sim</v>
      </c>
      <c r="N7" s="16">
        <v>0.48599999999999999</v>
      </c>
      <c r="O7" s="16">
        <v>0.4617</v>
      </c>
      <c r="P7" s="16">
        <v>0.43740000000000001</v>
      </c>
      <c r="Q7" s="15">
        <v>22045254121.919998</v>
      </c>
      <c r="R7" s="15">
        <v>20942991415.82</v>
      </c>
      <c r="S7" s="15">
        <v>19840728709.73</v>
      </c>
      <c r="T7" s="9" t="str">
        <f t="shared" si="3"/>
        <v>Abaixo do limite de alerta</v>
      </c>
      <c r="U7" s="9" t="s">
        <v>51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48</v>
      </c>
      <c r="E8" s="9" t="s">
        <v>58</v>
      </c>
      <c r="F8" s="9">
        <v>1</v>
      </c>
      <c r="G8" s="9" t="s">
        <v>11</v>
      </c>
      <c r="H8" s="9" t="s">
        <v>59</v>
      </c>
      <c r="I8" s="15">
        <v>18597424251.09</v>
      </c>
      <c r="J8" s="15">
        <v>46172503734.400002</v>
      </c>
      <c r="K8" s="10">
        <f t="shared" si="1"/>
        <v>0.40278136871391534</v>
      </c>
      <c r="L8" s="16">
        <v>0.40279999999999999</v>
      </c>
      <c r="M8" s="9" t="str">
        <f t="shared" si="2"/>
        <v>Sim</v>
      </c>
      <c r="N8" s="16">
        <v>0.48599999999999999</v>
      </c>
      <c r="O8" s="16">
        <v>0.4617</v>
      </c>
      <c r="P8" s="16">
        <v>0.43740000000000001</v>
      </c>
      <c r="Q8" s="15">
        <v>22439836814.91</v>
      </c>
      <c r="R8" s="15">
        <v>21317844974.16</v>
      </c>
      <c r="S8" s="15">
        <v>20195853133.419998</v>
      </c>
      <c r="T8" s="9" t="str">
        <f t="shared" si="3"/>
        <v>Abaixo do limite de alerta</v>
      </c>
      <c r="U8" s="9" t="s">
        <v>51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48</v>
      </c>
      <c r="E9" s="9" t="s">
        <v>58</v>
      </c>
      <c r="F9" s="9">
        <v>2</v>
      </c>
      <c r="G9" s="9" t="s">
        <v>12</v>
      </c>
      <c r="H9" s="9" t="s">
        <v>60</v>
      </c>
      <c r="I9" s="15">
        <v>19051185061.439999</v>
      </c>
      <c r="J9" s="15">
        <v>46946528149.169998</v>
      </c>
      <c r="K9" s="10">
        <f t="shared" si="1"/>
        <v>0.4058060481257722</v>
      </c>
      <c r="L9" s="16">
        <v>0.40579999999999999</v>
      </c>
      <c r="M9" s="9" t="str">
        <f t="shared" si="2"/>
        <v>Sim</v>
      </c>
      <c r="N9" s="16">
        <v>0.48599999999999999</v>
      </c>
      <c r="O9" s="16">
        <v>0.4617</v>
      </c>
      <c r="P9" s="16">
        <v>0.43740000000000001</v>
      </c>
      <c r="Q9" s="15">
        <v>22816012680.490002</v>
      </c>
      <c r="R9" s="15">
        <v>21675212046.470001</v>
      </c>
      <c r="S9" s="15">
        <v>20534411412.439999</v>
      </c>
      <c r="T9" s="9" t="str">
        <f t="shared" si="3"/>
        <v>Abaixo do limite de alerta</v>
      </c>
      <c r="U9" s="9" t="s">
        <v>51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61</v>
      </c>
      <c r="E10" s="9" t="s">
        <v>49</v>
      </c>
      <c r="F10" s="9">
        <v>1</v>
      </c>
      <c r="G10" s="9" t="s">
        <v>5</v>
      </c>
      <c r="H10" s="9" t="s">
        <v>50</v>
      </c>
      <c r="I10" s="15">
        <v>521112101.16000003</v>
      </c>
      <c r="J10" s="15">
        <v>38995918133.18</v>
      </c>
      <c r="K10" s="10">
        <f t="shared" si="1"/>
        <v>1.336324738861854E-2</v>
      </c>
      <c r="L10" s="16">
        <v>1.34E-2</v>
      </c>
      <c r="M10" s="9" t="str">
        <f t="shared" si="2"/>
        <v>Sim</v>
      </c>
      <c r="N10" s="16">
        <v>1.4999999999999999E-2</v>
      </c>
      <c r="O10" s="16">
        <v>1.43E-2</v>
      </c>
      <c r="P10" s="16">
        <v>1.35E-2</v>
      </c>
      <c r="Q10" s="15">
        <v>584938771.99000001</v>
      </c>
      <c r="R10" s="15">
        <v>555691833.38999999</v>
      </c>
      <c r="S10" s="15">
        <v>526444894.79000002</v>
      </c>
      <c r="T10" s="9" t="str">
        <f t="shared" si="3"/>
        <v>Abaixo do limite de alerta</v>
      </c>
      <c r="U10" s="9" t="s">
        <v>51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61</v>
      </c>
      <c r="E11" s="9" t="s">
        <v>49</v>
      </c>
      <c r="F11" s="9">
        <v>2</v>
      </c>
      <c r="G11" s="9" t="s">
        <v>6</v>
      </c>
      <c r="H11" s="9" t="s">
        <v>52</v>
      </c>
      <c r="I11" s="15">
        <v>542787506.42999995</v>
      </c>
      <c r="J11" s="15">
        <v>40864991803.860001</v>
      </c>
      <c r="K11" s="10">
        <f t="shared" si="1"/>
        <v>1.3282457244460517E-2</v>
      </c>
      <c r="L11" s="16">
        <v>1.3299999999999999E-2</v>
      </c>
      <c r="M11" s="9" t="str">
        <f t="shared" si="2"/>
        <v>Sim</v>
      </c>
      <c r="N11" s="16">
        <v>1.4999999999999999E-2</v>
      </c>
      <c r="O11" s="16">
        <v>1.43E-2</v>
      </c>
      <c r="P11" s="16">
        <v>1.35E-2</v>
      </c>
      <c r="Q11" s="15">
        <v>612974877.05999994</v>
      </c>
      <c r="R11" s="15">
        <v>582326133.21000004</v>
      </c>
      <c r="S11" s="15">
        <v>551677389.35000002</v>
      </c>
      <c r="T11" s="9" t="str">
        <f t="shared" si="3"/>
        <v>Abaixo do limite de alerta</v>
      </c>
      <c r="U11" s="9" t="s">
        <v>51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61</v>
      </c>
      <c r="E12" s="9" t="s">
        <v>49</v>
      </c>
      <c r="F12" s="9">
        <v>3</v>
      </c>
      <c r="G12" s="9" t="s">
        <v>7</v>
      </c>
      <c r="H12" s="9" t="s">
        <v>53</v>
      </c>
      <c r="I12" s="15">
        <v>553663684.88</v>
      </c>
      <c r="J12" s="15">
        <v>42238430239.419998</v>
      </c>
      <c r="K12" s="10">
        <f t="shared" si="1"/>
        <v>1.3108055430603584E-2</v>
      </c>
      <c r="L12" s="16">
        <v>1.3100000000000001E-2</v>
      </c>
      <c r="M12" s="9" t="str">
        <f t="shared" si="2"/>
        <v>Sim</v>
      </c>
      <c r="N12" s="16">
        <v>1.4999999999999999E-2</v>
      </c>
      <c r="O12" s="16">
        <v>1.43E-2</v>
      </c>
      <c r="P12" s="16">
        <v>1.35E-2</v>
      </c>
      <c r="Q12" s="15">
        <v>633576453.59000003</v>
      </c>
      <c r="R12" s="15">
        <v>601897630.90999997</v>
      </c>
      <c r="S12" s="15">
        <v>570218808.23000002</v>
      </c>
      <c r="T12" s="9" t="str">
        <f t="shared" si="3"/>
        <v>Abaixo do limite de alerta</v>
      </c>
      <c r="U12" s="9" t="s">
        <v>51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61</v>
      </c>
      <c r="E13" s="9" t="s">
        <v>54</v>
      </c>
      <c r="F13" s="9">
        <v>1</v>
      </c>
      <c r="G13" s="9" t="s">
        <v>8</v>
      </c>
      <c r="H13" s="9" t="s">
        <v>55</v>
      </c>
      <c r="I13" s="15">
        <v>553026919.40999997</v>
      </c>
      <c r="J13" s="15">
        <v>43644672047.900002</v>
      </c>
      <c r="K13" s="10">
        <f t="shared" si="1"/>
        <v>1.2671120974469765E-2</v>
      </c>
      <c r="L13" s="16">
        <v>1.2699999999999999E-2</v>
      </c>
      <c r="M13" s="9" t="str">
        <f t="shared" si="2"/>
        <v>Sim</v>
      </c>
      <c r="N13" s="16">
        <v>1.4999999999999999E-2</v>
      </c>
      <c r="O13" s="16">
        <v>1.43E-2</v>
      </c>
      <c r="P13" s="16">
        <v>1.35E-2</v>
      </c>
      <c r="Q13" s="15">
        <v>654670080.72000003</v>
      </c>
      <c r="R13" s="15">
        <v>621936576.67999995</v>
      </c>
      <c r="S13" s="15">
        <v>589203072.64999998</v>
      </c>
      <c r="T13" s="9" t="str">
        <f t="shared" si="3"/>
        <v>Abaixo do limite de alerta</v>
      </c>
      <c r="U13" s="9" t="s">
        <v>51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61</v>
      </c>
      <c r="E14" s="9" t="s">
        <v>54</v>
      </c>
      <c r="F14" s="9">
        <v>2</v>
      </c>
      <c r="G14" s="9" t="s">
        <v>9</v>
      </c>
      <c r="H14" s="9" t="s">
        <v>56</v>
      </c>
      <c r="I14" s="15">
        <v>570423221.76999998</v>
      </c>
      <c r="J14" s="15">
        <v>44545816842.489998</v>
      </c>
      <c r="K14" s="10">
        <f t="shared" si="1"/>
        <v>1.2805315116051529E-2</v>
      </c>
      <c r="L14" s="16">
        <v>1.2800000000000001E-2</v>
      </c>
      <c r="M14" s="9" t="str">
        <f t="shared" si="2"/>
        <v>Sim</v>
      </c>
      <c r="N14" s="16">
        <v>1.4999999999999999E-2</v>
      </c>
      <c r="O14" s="16">
        <v>1.43E-2</v>
      </c>
      <c r="P14" s="16">
        <v>1.35E-2</v>
      </c>
      <c r="Q14" s="15">
        <v>668187252.63999999</v>
      </c>
      <c r="R14" s="15">
        <v>634777890.00999999</v>
      </c>
      <c r="S14" s="15">
        <v>601368527.38</v>
      </c>
      <c r="T14" s="9" t="str">
        <f t="shared" si="3"/>
        <v>Abaixo do limite de alerta</v>
      </c>
      <c r="U14" s="9" t="s">
        <v>51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61</v>
      </c>
      <c r="E15" s="9" t="s">
        <v>54</v>
      </c>
      <c r="F15" s="9">
        <v>3</v>
      </c>
      <c r="G15" s="9" t="s">
        <v>10</v>
      </c>
      <c r="H15" s="9" t="s">
        <v>57</v>
      </c>
      <c r="I15" s="15">
        <v>597378230.22000003</v>
      </c>
      <c r="J15" s="15">
        <v>45360605189.139999</v>
      </c>
      <c r="K15" s="10">
        <f t="shared" si="1"/>
        <v>1.3169538363280506E-2</v>
      </c>
      <c r="L15" s="16">
        <v>1.32E-2</v>
      </c>
      <c r="M15" s="9" t="str">
        <f t="shared" si="2"/>
        <v>Sim</v>
      </c>
      <c r="N15" s="16">
        <v>1.4999999999999999E-2</v>
      </c>
      <c r="O15" s="16">
        <v>1.43E-2</v>
      </c>
      <c r="P15" s="16">
        <v>1.35E-2</v>
      </c>
      <c r="Q15" s="15">
        <v>680409077.84000003</v>
      </c>
      <c r="R15" s="15">
        <v>646388623.95000005</v>
      </c>
      <c r="S15" s="15">
        <v>612368170.05999994</v>
      </c>
      <c r="T15" s="9" t="str">
        <f t="shared" si="3"/>
        <v>Abaixo do limite de alerta</v>
      </c>
      <c r="U15" s="9" t="s">
        <v>51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61</v>
      </c>
      <c r="E16" s="9" t="s">
        <v>58</v>
      </c>
      <c r="F16" s="9">
        <v>1</v>
      </c>
      <c r="G16" s="9" t="s">
        <v>11</v>
      </c>
      <c r="H16" s="9" t="s">
        <v>59</v>
      </c>
      <c r="I16" s="15">
        <v>608402700.09000003</v>
      </c>
      <c r="J16" s="15">
        <v>46172503734.400002</v>
      </c>
      <c r="K16" s="10">
        <f t="shared" si="1"/>
        <v>1.3176731840008936E-2</v>
      </c>
      <c r="L16" s="16">
        <v>1.32E-2</v>
      </c>
      <c r="M16" s="9" t="str">
        <f t="shared" si="2"/>
        <v>Sim</v>
      </c>
      <c r="N16" s="16">
        <v>1.4999999999999999E-2</v>
      </c>
      <c r="O16" s="16">
        <v>1.43E-2</v>
      </c>
      <c r="P16" s="16">
        <v>1.35E-2</v>
      </c>
      <c r="Q16" s="15">
        <v>692587556.01999998</v>
      </c>
      <c r="R16" s="15">
        <v>657958178.22000003</v>
      </c>
      <c r="S16" s="15">
        <v>623328800.41999996</v>
      </c>
      <c r="T16" s="9" t="str">
        <f t="shared" si="3"/>
        <v>Abaixo do limite de alerta</v>
      </c>
      <c r="U16" s="9" t="s">
        <v>51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61</v>
      </c>
      <c r="E17" s="9" t="s">
        <v>58</v>
      </c>
      <c r="F17" s="9">
        <v>2</v>
      </c>
      <c r="G17" s="9" t="s">
        <v>12</v>
      </c>
      <c r="H17" s="9" t="s">
        <v>60</v>
      </c>
      <c r="I17" s="15">
        <v>618265257.74000001</v>
      </c>
      <c r="J17" s="15">
        <v>46946528149.169998</v>
      </c>
      <c r="K17" s="10">
        <f t="shared" si="1"/>
        <v>1.3169562949905397E-2</v>
      </c>
      <c r="L17" s="16">
        <v>1.32E-2</v>
      </c>
      <c r="M17" s="9" t="str">
        <f t="shared" si="2"/>
        <v>Sim</v>
      </c>
      <c r="N17" s="16">
        <v>1.4999999999999999E-2</v>
      </c>
      <c r="O17" s="16">
        <v>1.43E-2</v>
      </c>
      <c r="P17" s="16">
        <v>1.35E-2</v>
      </c>
      <c r="Q17" s="15">
        <v>704197922.24000001</v>
      </c>
      <c r="R17" s="15">
        <v>668988026.13</v>
      </c>
      <c r="S17" s="15">
        <v>633778130.01999998</v>
      </c>
      <c r="T17" s="9" t="str">
        <f t="shared" si="3"/>
        <v>Abaixo do limite de alerta</v>
      </c>
      <c r="U17" s="9" t="s">
        <v>51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62</v>
      </c>
      <c r="E18" s="9" t="s">
        <v>49</v>
      </c>
      <c r="F18" s="9">
        <v>1</v>
      </c>
      <c r="G18" s="9" t="s">
        <v>5</v>
      </c>
      <c r="H18" s="9" t="s">
        <v>50</v>
      </c>
      <c r="I18" s="15">
        <v>1801592899.29</v>
      </c>
      <c r="J18" s="15">
        <v>38995918133.18</v>
      </c>
      <c r="K18" s="10">
        <f t="shared" si="1"/>
        <v>4.6199525117914836E-2</v>
      </c>
      <c r="L18" s="16">
        <v>4.6199999999999998E-2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2339755087.9899998</v>
      </c>
      <c r="R18" s="15">
        <v>2222767333.5900002</v>
      </c>
      <c r="S18" s="15">
        <v>2105779579.1900001</v>
      </c>
      <c r="T18" s="9" t="str">
        <f t="shared" si="3"/>
        <v>Abaixo do limite de alerta</v>
      </c>
      <c r="U18" s="9" t="s">
        <v>51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62</v>
      </c>
      <c r="E19" s="9" t="s">
        <v>49</v>
      </c>
      <c r="F19" s="9">
        <v>2</v>
      </c>
      <c r="G19" s="9" t="s">
        <v>6</v>
      </c>
      <c r="H19" s="9" t="s">
        <v>52</v>
      </c>
      <c r="I19" s="15">
        <v>1925095569.1800001</v>
      </c>
      <c r="J19" s="15">
        <v>40864991803.860001</v>
      </c>
      <c r="K19" s="10">
        <f t="shared" si="1"/>
        <v>4.7108673811067807E-2</v>
      </c>
      <c r="L19" s="16">
        <v>4.7100000000000003E-2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2451899508.23</v>
      </c>
      <c r="R19" s="15">
        <v>2329304532.8200002</v>
      </c>
      <c r="S19" s="15">
        <v>2206709557.4099998</v>
      </c>
      <c r="T19" s="9" t="str">
        <f t="shared" si="3"/>
        <v>Abaixo do limite de alerta</v>
      </c>
      <c r="U19" s="9" t="s">
        <v>51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62</v>
      </c>
      <c r="E20" s="9" t="s">
        <v>49</v>
      </c>
      <c r="F20" s="9">
        <v>3</v>
      </c>
      <c r="G20" s="9" t="s">
        <v>7</v>
      </c>
      <c r="H20" s="9" t="s">
        <v>53</v>
      </c>
      <c r="I20" s="15">
        <v>2066046815.53</v>
      </c>
      <c r="J20" s="15">
        <v>42238430239.419998</v>
      </c>
      <c r="K20" s="10">
        <f t="shared" si="1"/>
        <v>4.8913910953106723E-2</v>
      </c>
      <c r="L20" s="16">
        <v>4.8899999999999999E-2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2534305814.3699999</v>
      </c>
      <c r="R20" s="15">
        <v>2407590523.6500001</v>
      </c>
      <c r="S20" s="15">
        <v>2280875232.9299998</v>
      </c>
      <c r="T20" s="9" t="str">
        <f t="shared" si="3"/>
        <v>Abaixo do limite de alerta</v>
      </c>
      <c r="U20" s="9" t="s">
        <v>51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62</v>
      </c>
      <c r="E21" s="9" t="s">
        <v>54</v>
      </c>
      <c r="F21" s="9">
        <v>1</v>
      </c>
      <c r="G21" s="9" t="s">
        <v>8</v>
      </c>
      <c r="H21" s="9" t="s">
        <v>55</v>
      </c>
      <c r="I21" s="15">
        <v>2230226406.7600002</v>
      </c>
      <c r="J21" s="15">
        <v>43644672047.900002</v>
      </c>
      <c r="K21" s="10">
        <f t="shared" si="1"/>
        <v>5.1099625730085176E-2</v>
      </c>
      <c r="L21" s="16">
        <v>5.1100000000000013E-2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2618680322.8699999</v>
      </c>
      <c r="R21" s="15">
        <v>2487746306.73</v>
      </c>
      <c r="S21" s="15">
        <v>2356812290.5799999</v>
      </c>
      <c r="T21" s="9" t="str">
        <f t="shared" si="3"/>
        <v>Abaixo do limite de alerta</v>
      </c>
      <c r="U21" s="9" t="s">
        <v>51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62</v>
      </c>
      <c r="E22" s="9" t="s">
        <v>54</v>
      </c>
      <c r="F22" s="9">
        <v>2</v>
      </c>
      <c r="G22" s="9" t="s">
        <v>9</v>
      </c>
      <c r="H22" s="9" t="s">
        <v>56</v>
      </c>
      <c r="I22" s="15">
        <v>2407652213.7600002</v>
      </c>
      <c r="J22" s="15">
        <v>44545816842.489998</v>
      </c>
      <c r="K22" s="10">
        <f t="shared" si="1"/>
        <v>5.4048895820526584E-2</v>
      </c>
      <c r="L22" s="16">
        <v>5.4000000000000013E-2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2672749010.5500002</v>
      </c>
      <c r="R22" s="15">
        <v>2539111560.02</v>
      </c>
      <c r="S22" s="15">
        <v>2405474109.5</v>
      </c>
      <c r="T22" s="9" t="str">
        <f t="shared" si="3"/>
        <v>Acima do limite de alerta</v>
      </c>
      <c r="U22" s="9" t="s">
        <v>51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62</v>
      </c>
      <c r="E23" s="9" t="s">
        <v>54</v>
      </c>
      <c r="F23" s="9">
        <v>3</v>
      </c>
      <c r="G23" s="9" t="s">
        <v>10</v>
      </c>
      <c r="H23" s="9" t="s">
        <v>57</v>
      </c>
      <c r="I23" s="15">
        <v>2528525328.9499998</v>
      </c>
      <c r="J23" s="15">
        <v>45360605189.139999</v>
      </c>
      <c r="K23" s="10">
        <f t="shared" si="1"/>
        <v>5.5742760009634226E-2</v>
      </c>
      <c r="L23" s="16">
        <v>5.57E-2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2721636311.3499999</v>
      </c>
      <c r="R23" s="15">
        <v>2585554495.7800002</v>
      </c>
      <c r="S23" s="15">
        <v>2449472680.2199998</v>
      </c>
      <c r="T23" s="9" t="str">
        <f t="shared" si="3"/>
        <v>Acima do limite de alerta</v>
      </c>
      <c r="U23" s="9" t="s">
        <v>51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62</v>
      </c>
      <c r="E24" s="9" t="s">
        <v>58</v>
      </c>
      <c r="F24" s="9">
        <v>1</v>
      </c>
      <c r="G24" s="9" t="s">
        <v>11</v>
      </c>
      <c r="H24" s="9" t="s">
        <v>59</v>
      </c>
      <c r="I24" s="15">
        <v>2571102654.4299998</v>
      </c>
      <c r="J24" s="15">
        <v>46172503734.400002</v>
      </c>
      <c r="K24" s="10">
        <f t="shared" si="1"/>
        <v>5.5684713768606953E-2</v>
      </c>
      <c r="L24" s="16">
        <v>5.57E-2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2770350224.0599999</v>
      </c>
      <c r="R24" s="15">
        <v>2631832712.8600001</v>
      </c>
      <c r="S24" s="15">
        <v>2493315201.6500001</v>
      </c>
      <c r="T24" s="9" t="str">
        <f t="shared" si="3"/>
        <v>Acima do limite de alerta</v>
      </c>
      <c r="U24" s="9" t="s">
        <v>51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62</v>
      </c>
      <c r="E25" s="9" t="s">
        <v>58</v>
      </c>
      <c r="F25" s="9">
        <v>2</v>
      </c>
      <c r="G25" s="9" t="s">
        <v>12</v>
      </c>
      <c r="H25" s="9" t="s">
        <v>60</v>
      </c>
      <c r="I25" s="15">
        <v>2563369442.8200002</v>
      </c>
      <c r="J25" s="15">
        <v>46946528149.169998</v>
      </c>
      <c r="K25" s="10">
        <f t="shared" si="1"/>
        <v>5.4601895898990345E-2</v>
      </c>
      <c r="L25" s="16">
        <v>5.4600000000000003E-2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2816791688.9499998</v>
      </c>
      <c r="R25" s="15">
        <v>2675952104.5</v>
      </c>
      <c r="S25" s="15">
        <v>2535112520.0599999</v>
      </c>
      <c r="T25" s="9" t="str">
        <f t="shared" si="3"/>
        <v>Acima do limite de alerta</v>
      </c>
      <c r="U25" s="9" t="s">
        <v>51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63</v>
      </c>
      <c r="E26" s="9" t="s">
        <v>49</v>
      </c>
      <c r="F26" s="9">
        <v>1</v>
      </c>
      <c r="G26" s="9" t="s">
        <v>5</v>
      </c>
      <c r="H26" s="9" t="s">
        <v>50</v>
      </c>
      <c r="I26" s="15">
        <v>329952926.26999998</v>
      </c>
      <c r="J26" s="15">
        <v>38995918133.18</v>
      </c>
      <c r="K26" s="10">
        <f t="shared" si="1"/>
        <v>8.4612170213081046E-3</v>
      </c>
      <c r="L26" s="16">
        <v>8.5000000000000006E-3</v>
      </c>
      <c r="M26" s="9" t="str">
        <f t="shared" si="2"/>
        <v>Sim</v>
      </c>
      <c r="N26" s="16">
        <v>1.35E-2</v>
      </c>
      <c r="O26" s="16">
        <v>1.2800000000000001E-2</v>
      </c>
      <c r="P26" s="16">
        <v>1.2200000000000001E-2</v>
      </c>
      <c r="Q26" s="15">
        <v>526444894.80000001</v>
      </c>
      <c r="R26" s="15">
        <v>500122650.06</v>
      </c>
      <c r="S26" s="15">
        <v>473800405.31999999</v>
      </c>
      <c r="T26" s="9" t="str">
        <f t="shared" si="3"/>
        <v>Abaixo do limite de alerta</v>
      </c>
      <c r="U26" s="9" t="s">
        <v>51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63</v>
      </c>
      <c r="E27" s="9" t="s">
        <v>49</v>
      </c>
      <c r="F27" s="9">
        <v>2</v>
      </c>
      <c r="G27" s="9" t="s">
        <v>6</v>
      </c>
      <c r="H27" s="9" t="s">
        <v>52</v>
      </c>
      <c r="I27" s="15">
        <v>341036609.83999997</v>
      </c>
      <c r="J27" s="15">
        <v>40864991803.860001</v>
      </c>
      <c r="K27" s="10">
        <f t="shared" si="1"/>
        <v>8.3454466717349622E-3</v>
      </c>
      <c r="L27" s="16">
        <v>8.3000000000000001E-3</v>
      </c>
      <c r="M27" s="9" t="str">
        <f t="shared" si="2"/>
        <v>Sim</v>
      </c>
      <c r="N27" s="16">
        <v>1.35E-2</v>
      </c>
      <c r="O27" s="16">
        <v>1.2800000000000001E-2</v>
      </c>
      <c r="P27" s="16">
        <v>1.2200000000000001E-2</v>
      </c>
      <c r="Q27" s="15">
        <v>551677389.35000002</v>
      </c>
      <c r="R27" s="15">
        <v>524093519.88</v>
      </c>
      <c r="S27" s="15">
        <v>496509650.42000002</v>
      </c>
      <c r="T27" s="9" t="str">
        <f t="shared" si="3"/>
        <v>Abaixo do limite de alerta</v>
      </c>
      <c r="U27" s="9" t="s">
        <v>51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63</v>
      </c>
      <c r="E28" s="9" t="s">
        <v>49</v>
      </c>
      <c r="F28" s="9">
        <v>3</v>
      </c>
      <c r="G28" s="9" t="s">
        <v>7</v>
      </c>
      <c r="H28" s="9" t="s">
        <v>53</v>
      </c>
      <c r="I28" s="15">
        <v>352964173.11000001</v>
      </c>
      <c r="J28" s="15">
        <v>42238430239.419998</v>
      </c>
      <c r="K28" s="10">
        <f t="shared" si="1"/>
        <v>8.3564699518730683E-3</v>
      </c>
      <c r="L28" s="16">
        <v>8.3999999999999995E-3</v>
      </c>
      <c r="M28" s="9" t="str">
        <f t="shared" si="2"/>
        <v>Sim</v>
      </c>
      <c r="N28" s="16">
        <v>1.35E-2</v>
      </c>
      <c r="O28" s="16">
        <v>1.2800000000000001E-2</v>
      </c>
      <c r="P28" s="16">
        <v>1.2200000000000001E-2</v>
      </c>
      <c r="Q28" s="15">
        <v>570218808.23000002</v>
      </c>
      <c r="R28" s="15">
        <v>541707867.82000005</v>
      </c>
      <c r="S28" s="15">
        <v>513196927.41000003</v>
      </c>
      <c r="T28" s="9" t="str">
        <f t="shared" si="3"/>
        <v>Abaixo do limite de alerta</v>
      </c>
      <c r="U28" s="9" t="s">
        <v>51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63</v>
      </c>
      <c r="E29" s="9" t="s">
        <v>54</v>
      </c>
      <c r="F29" s="9">
        <v>1</v>
      </c>
      <c r="G29" s="9" t="s">
        <v>8</v>
      </c>
      <c r="H29" s="9" t="s">
        <v>55</v>
      </c>
      <c r="I29" s="15">
        <v>380447676.08999997</v>
      </c>
      <c r="J29" s="15">
        <v>43644672047.900002</v>
      </c>
      <c r="K29" s="10">
        <f t="shared" si="1"/>
        <v>8.7169328634766428E-3</v>
      </c>
      <c r="L29" s="16">
        <v>8.6999999999999994E-3</v>
      </c>
      <c r="M29" s="9" t="str">
        <f t="shared" si="2"/>
        <v>Sim</v>
      </c>
      <c r="N29" s="16">
        <v>1.35E-2</v>
      </c>
      <c r="O29" s="16">
        <v>1.2800000000000001E-2</v>
      </c>
      <c r="P29" s="16">
        <v>1.2200000000000001E-2</v>
      </c>
      <c r="Q29" s="15">
        <v>589203072.64999998</v>
      </c>
      <c r="R29" s="15">
        <v>559742919.01999998</v>
      </c>
      <c r="S29" s="15">
        <v>530282765.38999999</v>
      </c>
      <c r="T29" s="9" t="str">
        <f t="shared" si="3"/>
        <v>Abaixo do limite de alerta</v>
      </c>
      <c r="U29" s="9" t="s">
        <v>51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63</v>
      </c>
      <c r="E30" s="9" t="s">
        <v>54</v>
      </c>
      <c r="F30" s="9">
        <v>2</v>
      </c>
      <c r="G30" s="9" t="s">
        <v>9</v>
      </c>
      <c r="H30" s="9" t="s">
        <v>56</v>
      </c>
      <c r="I30" s="15">
        <v>404177223.25999999</v>
      </c>
      <c r="J30" s="15">
        <v>44545816842.489998</v>
      </c>
      <c r="K30" s="10">
        <f t="shared" si="1"/>
        <v>9.0732924415581895E-3</v>
      </c>
      <c r="L30" s="16">
        <v>9.1000000000000004E-3</v>
      </c>
      <c r="M30" s="9" t="str">
        <f t="shared" si="2"/>
        <v>Sim</v>
      </c>
      <c r="N30" s="16">
        <v>1.35E-2</v>
      </c>
      <c r="O30" s="16">
        <v>1.2800000000000001E-2</v>
      </c>
      <c r="P30" s="16">
        <v>1.2200000000000001E-2</v>
      </c>
      <c r="Q30" s="15">
        <v>601368527.37</v>
      </c>
      <c r="R30" s="15">
        <v>571300101</v>
      </c>
      <c r="S30" s="15">
        <v>541231674.63</v>
      </c>
      <c r="T30" s="9" t="str">
        <f t="shared" si="3"/>
        <v>Abaixo do limite de alerta</v>
      </c>
      <c r="U30" s="9" t="s">
        <v>51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63</v>
      </c>
      <c r="E31" s="9" t="s">
        <v>54</v>
      </c>
      <c r="F31" s="9">
        <v>3</v>
      </c>
      <c r="G31" s="9" t="s">
        <v>10</v>
      </c>
      <c r="H31" s="9" t="s">
        <v>57</v>
      </c>
      <c r="I31" s="15">
        <v>426181096.41000003</v>
      </c>
      <c r="J31" s="15">
        <v>45360605189.139999</v>
      </c>
      <c r="K31" s="10">
        <f t="shared" si="1"/>
        <v>9.3954014641769827E-3</v>
      </c>
      <c r="L31" s="16">
        <v>9.3999999999999986E-3</v>
      </c>
      <c r="M31" s="9" t="str">
        <f t="shared" si="2"/>
        <v>Sim</v>
      </c>
      <c r="N31" s="16">
        <v>1.35E-2</v>
      </c>
      <c r="O31" s="16">
        <v>1.2800000000000001E-2</v>
      </c>
      <c r="P31" s="16">
        <v>1.2200000000000001E-2</v>
      </c>
      <c r="Q31" s="15">
        <v>612368170.04999995</v>
      </c>
      <c r="R31" s="15">
        <v>581749761.54999995</v>
      </c>
      <c r="S31" s="15">
        <v>551131353.04999995</v>
      </c>
      <c r="T31" s="9" t="str">
        <f t="shared" si="3"/>
        <v>Abaixo do limite de alerta</v>
      </c>
      <c r="U31" s="9" t="s">
        <v>51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63</v>
      </c>
      <c r="E32" s="9" t="s">
        <v>58</v>
      </c>
      <c r="F32" s="9">
        <v>1</v>
      </c>
      <c r="G32" s="9" t="s">
        <v>11</v>
      </c>
      <c r="H32" s="9" t="s">
        <v>59</v>
      </c>
      <c r="I32" s="15">
        <v>438856244.25</v>
      </c>
      <c r="J32" s="15">
        <v>46172503734.400002</v>
      </c>
      <c r="K32" s="10">
        <f t="shared" si="1"/>
        <v>9.5047097028666868E-3</v>
      </c>
      <c r="L32" s="16">
        <v>9.4999999999999998E-3</v>
      </c>
      <c r="M32" s="9" t="str">
        <f t="shared" si="2"/>
        <v>Sim</v>
      </c>
      <c r="N32" s="16">
        <v>1.35E-2</v>
      </c>
      <c r="O32" s="16">
        <v>1.2800000000000001E-2</v>
      </c>
      <c r="P32" s="16">
        <v>1.2200000000000001E-2</v>
      </c>
      <c r="Q32" s="15">
        <v>623328800.40999997</v>
      </c>
      <c r="R32" s="15">
        <v>592162360.38999999</v>
      </c>
      <c r="S32" s="15">
        <v>560995920.37</v>
      </c>
      <c r="T32" s="9" t="str">
        <f t="shared" si="3"/>
        <v>Abaixo do limite de alerta</v>
      </c>
      <c r="U32" s="9" t="s">
        <v>51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63</v>
      </c>
      <c r="E33" s="9" t="s">
        <v>58</v>
      </c>
      <c r="F33" s="9">
        <v>2</v>
      </c>
      <c r="G33" s="9" t="s">
        <v>12</v>
      </c>
      <c r="H33" s="9" t="s">
        <v>60</v>
      </c>
      <c r="I33" s="15">
        <v>446820172.17000002</v>
      </c>
      <c r="J33" s="15">
        <v>46946528149.169998</v>
      </c>
      <c r="K33" s="10">
        <f t="shared" si="1"/>
        <v>9.5176403833368388E-3</v>
      </c>
      <c r="L33" s="16">
        <v>9.4999999999999998E-3</v>
      </c>
      <c r="M33" s="9" t="str">
        <f t="shared" si="2"/>
        <v>Sim</v>
      </c>
      <c r="N33" s="16">
        <v>1.35E-2</v>
      </c>
      <c r="O33" s="16">
        <v>1.2800000000000001E-2</v>
      </c>
      <c r="P33" s="16">
        <v>1.2200000000000001E-2</v>
      </c>
      <c r="Q33" s="15">
        <v>633778130.00999999</v>
      </c>
      <c r="R33" s="15">
        <v>602089223.50999999</v>
      </c>
      <c r="S33" s="15">
        <v>570400317.00999999</v>
      </c>
      <c r="T33" s="9" t="str">
        <f t="shared" si="3"/>
        <v>Abaixo do limite de alerta</v>
      </c>
      <c r="U33" s="9" t="s">
        <v>51</v>
      </c>
    </row>
    <row r="34" spans="1:21" x14ac:dyDescent="0.25">
      <c r="A34" s="9" t="str">
        <f t="shared" ref="A34:A65" si="4">B34&amp;"|"&amp;G34</f>
        <v>Tribunal de Contas dos Municípios|1º quad. 2024</v>
      </c>
      <c r="B34" s="9" t="s">
        <v>22</v>
      </c>
      <c r="C34" s="9" t="s">
        <v>21</v>
      </c>
      <c r="D34" s="9" t="s">
        <v>64</v>
      </c>
      <c r="E34" s="9" t="s">
        <v>49</v>
      </c>
      <c r="F34" s="9">
        <v>1</v>
      </c>
      <c r="G34" s="9" t="s">
        <v>5</v>
      </c>
      <c r="H34" s="9" t="s">
        <v>50</v>
      </c>
      <c r="I34" s="15">
        <v>176803052.94999999</v>
      </c>
      <c r="J34" s="15">
        <v>38995918133.18</v>
      </c>
      <c r="K34" s="10">
        <f t="shared" ref="K34:K65" si="5">IF(OR(I34="",J34="",J34=0),"",I34/J34)</f>
        <v>4.5338861453698056E-3</v>
      </c>
      <c r="L34" s="16">
        <v>4.5000000000000014E-3</v>
      </c>
      <c r="M34" s="9" t="str">
        <f t="shared" ref="M34:M65" si="6">IF(L34="","Não declarado",IF(K34="","Sem dado",IF(ABS(K34-L34)&lt;=0.00005,"Sim","Não")))</f>
        <v>Sim</v>
      </c>
      <c r="N34" s="16">
        <v>5.5000000000000014E-3</v>
      </c>
      <c r="O34" s="16">
        <v>5.1999999999999998E-3</v>
      </c>
      <c r="P34" s="16">
        <v>5.0000000000000001E-3</v>
      </c>
      <c r="Q34" s="15">
        <v>214477549.72999999</v>
      </c>
      <c r="R34" s="15">
        <v>203753672.24000001</v>
      </c>
      <c r="S34" s="15">
        <v>193029794.75999999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51</v>
      </c>
    </row>
    <row r="35" spans="1:21" x14ac:dyDescent="0.25">
      <c r="A35" s="9" t="str">
        <f t="shared" si="4"/>
        <v>Tribunal de Contas dos Municípios|2º quad. 2024</v>
      </c>
      <c r="B35" s="9" t="s">
        <v>22</v>
      </c>
      <c r="C35" s="9" t="s">
        <v>21</v>
      </c>
      <c r="D35" s="9" t="s">
        <v>64</v>
      </c>
      <c r="E35" s="9" t="s">
        <v>49</v>
      </c>
      <c r="F35" s="9">
        <v>2</v>
      </c>
      <c r="G35" s="9" t="s">
        <v>6</v>
      </c>
      <c r="H35" s="9" t="s">
        <v>52</v>
      </c>
      <c r="I35" s="15">
        <v>183290821.77000001</v>
      </c>
      <c r="J35" s="15">
        <v>40864991803.860001</v>
      </c>
      <c r="K35" s="10">
        <f t="shared" si="5"/>
        <v>4.485277340804136E-3</v>
      </c>
      <c r="L35" s="16">
        <v>4.5000000000000014E-3</v>
      </c>
      <c r="M35" s="9" t="str">
        <f t="shared" si="6"/>
        <v>Sim</v>
      </c>
      <c r="N35" s="16">
        <v>5.5000000000000014E-3</v>
      </c>
      <c r="O35" s="16">
        <v>5.1999999999999998E-3</v>
      </c>
      <c r="P35" s="16">
        <v>5.0000000000000001E-3</v>
      </c>
      <c r="Q35" s="15">
        <v>224757454.91999999</v>
      </c>
      <c r="R35" s="15">
        <v>213519582.16999999</v>
      </c>
      <c r="S35" s="15">
        <v>202281709.43000001</v>
      </c>
      <c r="T35" s="9" t="str">
        <f t="shared" si="7"/>
        <v>Abaixo do limite de alerta</v>
      </c>
      <c r="U35" s="9" t="s">
        <v>51</v>
      </c>
    </row>
    <row r="36" spans="1:21" x14ac:dyDescent="0.25">
      <c r="A36" s="9" t="str">
        <f t="shared" si="4"/>
        <v>Tribunal de Contas dos Municípios|3º quad. 2024</v>
      </c>
      <c r="B36" s="9" t="s">
        <v>22</v>
      </c>
      <c r="C36" s="9" t="s">
        <v>21</v>
      </c>
      <c r="D36" s="9" t="s">
        <v>64</v>
      </c>
      <c r="E36" s="9" t="s">
        <v>49</v>
      </c>
      <c r="F36" s="9">
        <v>3</v>
      </c>
      <c r="G36" s="9" t="s">
        <v>7</v>
      </c>
      <c r="H36" s="9" t="s">
        <v>53</v>
      </c>
      <c r="I36" s="15">
        <v>188248560.41</v>
      </c>
      <c r="J36" s="15">
        <v>42238430239.419998</v>
      </c>
      <c r="K36" s="10">
        <f t="shared" si="5"/>
        <v>4.4568076830258868E-3</v>
      </c>
      <c r="L36" s="16">
        <v>4.5000000000000014E-3</v>
      </c>
      <c r="M36" s="9" t="str">
        <f t="shared" si="6"/>
        <v>Sim</v>
      </c>
      <c r="N36" s="16">
        <v>5.5000000000000014E-3</v>
      </c>
      <c r="O36" s="16">
        <v>5.1999999999999998E-3</v>
      </c>
      <c r="P36" s="16">
        <v>5.0000000000000001E-3</v>
      </c>
      <c r="Q36" s="15">
        <v>232311366.31999999</v>
      </c>
      <c r="R36" s="15">
        <v>220695798</v>
      </c>
      <c r="S36" s="15">
        <v>209080229.69</v>
      </c>
      <c r="T36" s="9" t="str">
        <f t="shared" si="7"/>
        <v>Abaixo do limite de alerta</v>
      </c>
      <c r="U36" s="9" t="s">
        <v>51</v>
      </c>
    </row>
    <row r="37" spans="1:21" x14ac:dyDescent="0.25">
      <c r="A37" s="9" t="str">
        <f t="shared" si="4"/>
        <v>Tribunal de Contas dos Municípios|1º quad. 2025</v>
      </c>
      <c r="B37" s="9" t="s">
        <v>22</v>
      </c>
      <c r="C37" s="9" t="s">
        <v>21</v>
      </c>
      <c r="D37" s="9" t="s">
        <v>64</v>
      </c>
      <c r="E37" s="9" t="s">
        <v>54</v>
      </c>
      <c r="F37" s="9">
        <v>1</v>
      </c>
      <c r="G37" s="9" t="s">
        <v>8</v>
      </c>
      <c r="H37" s="9" t="s">
        <v>55</v>
      </c>
      <c r="I37" s="15">
        <v>192498069.56999999</v>
      </c>
      <c r="J37" s="15">
        <v>43644672047.900002</v>
      </c>
      <c r="K37" s="10">
        <f t="shared" si="5"/>
        <v>4.4105743161211861E-3</v>
      </c>
      <c r="L37" s="16">
        <v>4.4000000000000003E-3</v>
      </c>
      <c r="M37" s="9" t="str">
        <f t="shared" si="6"/>
        <v>Sim</v>
      </c>
      <c r="N37" s="16">
        <v>5.5000000000000014E-3</v>
      </c>
      <c r="O37" s="16">
        <v>5.1999999999999998E-3</v>
      </c>
      <c r="P37" s="16">
        <v>5.0000000000000001E-3</v>
      </c>
      <c r="Q37" s="15">
        <v>240045696.25999999</v>
      </c>
      <c r="R37" s="15">
        <v>228043411.44999999</v>
      </c>
      <c r="S37" s="15">
        <v>216041126.63</v>
      </c>
      <c r="T37" s="9" t="str">
        <f t="shared" si="7"/>
        <v>Abaixo do limite de alerta</v>
      </c>
      <c r="U37" s="9" t="s">
        <v>51</v>
      </c>
    </row>
    <row r="38" spans="1:21" x14ac:dyDescent="0.25">
      <c r="A38" s="9" t="str">
        <f t="shared" si="4"/>
        <v>Tribunal de Contas dos Municípios|2º quad. 2025</v>
      </c>
      <c r="B38" s="9" t="s">
        <v>22</v>
      </c>
      <c r="C38" s="9" t="s">
        <v>21</v>
      </c>
      <c r="D38" s="9" t="s">
        <v>64</v>
      </c>
      <c r="E38" s="9" t="s">
        <v>54</v>
      </c>
      <c r="F38" s="9">
        <v>2</v>
      </c>
      <c r="G38" s="9" t="s">
        <v>9</v>
      </c>
      <c r="H38" s="9" t="s">
        <v>56</v>
      </c>
      <c r="I38" s="15">
        <v>197901439.69999999</v>
      </c>
      <c r="J38" s="15">
        <v>44545816842.489998</v>
      </c>
      <c r="K38" s="10">
        <f t="shared" si="5"/>
        <v>4.442649248071074E-3</v>
      </c>
      <c r="L38" s="16">
        <v>4.4000000000000003E-3</v>
      </c>
      <c r="M38" s="9" t="str">
        <f t="shared" si="6"/>
        <v>Sim</v>
      </c>
      <c r="N38" s="16">
        <v>5.5000000000000014E-3</v>
      </c>
      <c r="O38" s="16">
        <v>5.1999999999999998E-3</v>
      </c>
      <c r="P38" s="16">
        <v>5.0000000000000001E-3</v>
      </c>
      <c r="Q38" s="15">
        <v>245001992.63</v>
      </c>
      <c r="R38" s="15">
        <v>232751893</v>
      </c>
      <c r="S38" s="15">
        <v>220501793.37</v>
      </c>
      <c r="T38" s="9" t="str">
        <f t="shared" si="7"/>
        <v>Abaixo do limite de alerta</v>
      </c>
      <c r="U38" s="9" t="s">
        <v>51</v>
      </c>
    </row>
    <row r="39" spans="1:21" x14ac:dyDescent="0.25">
      <c r="A39" s="9" t="str">
        <f t="shared" si="4"/>
        <v>Tribunal de Contas dos Municípios|3º quad. 2025</v>
      </c>
      <c r="B39" s="9" t="s">
        <v>22</v>
      </c>
      <c r="C39" s="9" t="s">
        <v>21</v>
      </c>
      <c r="D39" s="9" t="s">
        <v>64</v>
      </c>
      <c r="E39" s="9" t="s">
        <v>54</v>
      </c>
      <c r="F39" s="9">
        <v>3</v>
      </c>
      <c r="G39" s="9" t="s">
        <v>10</v>
      </c>
      <c r="H39" s="9" t="s">
        <v>57</v>
      </c>
      <c r="I39" s="15">
        <v>202202725.72</v>
      </c>
      <c r="J39" s="15">
        <v>45360605189.139999</v>
      </c>
      <c r="K39" s="10">
        <f t="shared" si="5"/>
        <v>4.4576725746245183E-3</v>
      </c>
      <c r="L39" s="16">
        <v>4.5000000000000014E-3</v>
      </c>
      <c r="M39" s="9" t="str">
        <f t="shared" si="6"/>
        <v>Sim</v>
      </c>
      <c r="N39" s="16">
        <v>5.5000000000000014E-3</v>
      </c>
      <c r="O39" s="16">
        <v>5.1999999999999998E-3</v>
      </c>
      <c r="P39" s="16">
        <v>5.0000000000000001E-3</v>
      </c>
      <c r="Q39" s="15">
        <v>249483328.53999999</v>
      </c>
      <c r="R39" s="15">
        <v>237009162.11000001</v>
      </c>
      <c r="S39" s="15">
        <v>224534995.69</v>
      </c>
      <c r="T39" s="9" t="str">
        <f t="shared" si="7"/>
        <v>Abaixo do limite de alerta</v>
      </c>
      <c r="U39" s="9" t="s">
        <v>51</v>
      </c>
    </row>
    <row r="40" spans="1:21" x14ac:dyDescent="0.25">
      <c r="A40" s="9" t="str">
        <f t="shared" si="4"/>
        <v>Tribunal de Contas dos Municípios|1º quad. 2026</v>
      </c>
      <c r="B40" s="9" t="s">
        <v>22</v>
      </c>
      <c r="C40" s="9" t="s">
        <v>21</v>
      </c>
      <c r="D40" s="9" t="s">
        <v>64</v>
      </c>
      <c r="E40" s="9" t="s">
        <v>58</v>
      </c>
      <c r="F40" s="9">
        <v>1</v>
      </c>
      <c r="G40" s="9" t="s">
        <v>11</v>
      </c>
      <c r="H40" s="9" t="s">
        <v>59</v>
      </c>
      <c r="I40" s="15">
        <v>207494976.80000001</v>
      </c>
      <c r="J40" s="15">
        <v>46172503734.400002</v>
      </c>
      <c r="K40" s="10">
        <f t="shared" si="5"/>
        <v>4.4939078459678497E-3</v>
      </c>
      <c r="L40" s="16">
        <v>4.5000000000000014E-3</v>
      </c>
      <c r="M40" s="9" t="str">
        <f t="shared" si="6"/>
        <v>Sim</v>
      </c>
      <c r="N40" s="16">
        <v>5.5000000000000014E-3</v>
      </c>
      <c r="O40" s="16">
        <v>5.1999999999999998E-3</v>
      </c>
      <c r="P40" s="16">
        <v>5.0000000000000001E-3</v>
      </c>
      <c r="Q40" s="15">
        <v>253948770.53999999</v>
      </c>
      <c r="R40" s="15">
        <v>241251332.00999999</v>
      </c>
      <c r="S40" s="15">
        <v>228553893.49000001</v>
      </c>
      <c r="T40" s="9" t="str">
        <f t="shared" si="7"/>
        <v>Abaixo do limite de alerta</v>
      </c>
      <c r="U40" s="9" t="s">
        <v>51</v>
      </c>
    </row>
    <row r="41" spans="1:21" x14ac:dyDescent="0.25">
      <c r="A41" s="9" t="str">
        <f t="shared" si="4"/>
        <v>Tribunal de Contas dos Municípios|2º quad. 2026</v>
      </c>
      <c r="B41" s="9" t="s">
        <v>22</v>
      </c>
      <c r="C41" s="9" t="s">
        <v>21</v>
      </c>
      <c r="D41" s="9" t="s">
        <v>64</v>
      </c>
      <c r="E41" s="9" t="s">
        <v>58</v>
      </c>
      <c r="F41" s="9">
        <v>2</v>
      </c>
      <c r="G41" s="9" t="s">
        <v>12</v>
      </c>
      <c r="H41" s="9" t="s">
        <v>60</v>
      </c>
      <c r="I41" s="15">
        <v>213698252.25999999</v>
      </c>
      <c r="J41" s="15">
        <v>46946528149.169998</v>
      </c>
      <c r="K41" s="10">
        <f t="shared" si="5"/>
        <v>4.551950073517377E-3</v>
      </c>
      <c r="L41" s="16">
        <v>4.5999999999999999E-3</v>
      </c>
      <c r="M41" s="9" t="str">
        <f t="shared" si="6"/>
        <v>Sim</v>
      </c>
      <c r="N41" s="16">
        <v>5.5000000000000014E-3</v>
      </c>
      <c r="O41" s="16">
        <v>5.1999999999999998E-3</v>
      </c>
      <c r="P41" s="16">
        <v>5.0000000000000001E-3</v>
      </c>
      <c r="Q41" s="15">
        <v>258205904.81999999</v>
      </c>
      <c r="R41" s="15">
        <v>245295609.58000001</v>
      </c>
      <c r="S41" s="15">
        <v>232385314.34</v>
      </c>
      <c r="T41" s="9" t="str">
        <f t="shared" si="7"/>
        <v>Abaixo do limite de alerta</v>
      </c>
      <c r="U41" s="9" t="s">
        <v>51</v>
      </c>
    </row>
    <row r="42" spans="1:21" x14ac:dyDescent="0.25">
      <c r="A42" s="9" t="str">
        <f t="shared" si="4"/>
        <v>Defensoria Pública|1º quad. 2024</v>
      </c>
      <c r="B42" s="9" t="s">
        <v>23</v>
      </c>
      <c r="C42" s="9" t="s">
        <v>23</v>
      </c>
      <c r="D42" s="9" t="s">
        <v>65</v>
      </c>
      <c r="E42" s="9" t="s">
        <v>49</v>
      </c>
      <c r="F42" s="9">
        <v>1</v>
      </c>
      <c r="G42" s="9" t="s">
        <v>5</v>
      </c>
      <c r="H42" s="9" t="s">
        <v>50</v>
      </c>
      <c r="I42" s="15">
        <v>118631045.05</v>
      </c>
      <c r="J42" s="15">
        <v>38995918133.18</v>
      </c>
      <c r="K42" s="10">
        <f t="shared" si="5"/>
        <v>3.0421400682206735E-3</v>
      </c>
      <c r="L42" s="10"/>
      <c r="M42" s="9" t="str">
        <f t="shared" si="6"/>
        <v>Não declarado</v>
      </c>
      <c r="N42" s="10"/>
      <c r="O42" s="10"/>
      <c r="P42" s="10"/>
      <c r="Q42" s="17"/>
      <c r="R42" s="17"/>
      <c r="S42" s="17"/>
      <c r="T42" s="9" t="str">
        <f t="shared" si="7"/>
        <v>Sem limite próprio na LRF</v>
      </c>
      <c r="U42" s="9" t="s">
        <v>66</v>
      </c>
    </row>
    <row r="43" spans="1:21" x14ac:dyDescent="0.25">
      <c r="A43" s="9" t="str">
        <f t="shared" si="4"/>
        <v>Defensoria Pública|2º quad. 2024</v>
      </c>
      <c r="B43" s="9" t="s">
        <v>23</v>
      </c>
      <c r="C43" s="9" t="s">
        <v>23</v>
      </c>
      <c r="D43" s="9" t="s">
        <v>65</v>
      </c>
      <c r="E43" s="9" t="s">
        <v>49</v>
      </c>
      <c r="F43" s="9">
        <v>2</v>
      </c>
      <c r="G43" s="9" t="s">
        <v>6</v>
      </c>
      <c r="H43" s="9" t="s">
        <v>52</v>
      </c>
      <c r="I43" s="15">
        <v>128162274.93000001</v>
      </c>
      <c r="J43" s="15">
        <v>40864991803.860001</v>
      </c>
      <c r="K43" s="10">
        <f t="shared" si="5"/>
        <v>3.1362364036469506E-3</v>
      </c>
      <c r="L43" s="10"/>
      <c r="M43" s="9" t="str">
        <f t="shared" si="6"/>
        <v>Não declarado</v>
      </c>
      <c r="N43" s="10"/>
      <c r="O43" s="10"/>
      <c r="P43" s="10"/>
      <c r="Q43" s="17"/>
      <c r="R43" s="17"/>
      <c r="S43" s="17"/>
      <c r="T43" s="9" t="str">
        <f t="shared" si="7"/>
        <v>Sem limite próprio na LRF</v>
      </c>
      <c r="U43" s="9" t="s">
        <v>66</v>
      </c>
    </row>
    <row r="44" spans="1:21" x14ac:dyDescent="0.25">
      <c r="A44" s="9" t="str">
        <f t="shared" si="4"/>
        <v>Defensoria Pública|3º quad. 2024</v>
      </c>
      <c r="B44" s="9" t="s">
        <v>23</v>
      </c>
      <c r="C44" s="9" t="s">
        <v>23</v>
      </c>
      <c r="D44" s="9" t="s">
        <v>65</v>
      </c>
      <c r="E44" s="9" t="s">
        <v>49</v>
      </c>
      <c r="F44" s="9">
        <v>3</v>
      </c>
      <c r="G44" s="9" t="s">
        <v>7</v>
      </c>
      <c r="H44" s="9" t="s">
        <v>53</v>
      </c>
      <c r="I44" s="15">
        <v>138050858.61000001</v>
      </c>
      <c r="J44" s="15">
        <v>42238430239.419998</v>
      </c>
      <c r="K44" s="10">
        <f t="shared" si="5"/>
        <v>3.2683709557264945E-3</v>
      </c>
      <c r="L44" s="10"/>
      <c r="M44" s="9" t="str">
        <f t="shared" si="6"/>
        <v>Não declarado</v>
      </c>
      <c r="N44" s="10"/>
      <c r="O44" s="10"/>
      <c r="P44" s="10"/>
      <c r="Q44" s="17"/>
      <c r="R44" s="17"/>
      <c r="S44" s="17"/>
      <c r="T44" s="9" t="str">
        <f t="shared" si="7"/>
        <v>Sem limite próprio na LRF</v>
      </c>
      <c r="U44" s="9" t="s">
        <v>66</v>
      </c>
    </row>
    <row r="45" spans="1:21" x14ac:dyDescent="0.25">
      <c r="A45" s="9" t="str">
        <f t="shared" si="4"/>
        <v>Defensoria Pública|1º quad. 2025</v>
      </c>
      <c r="B45" s="9" t="s">
        <v>23</v>
      </c>
      <c r="C45" s="9" t="s">
        <v>23</v>
      </c>
      <c r="D45" s="9" t="s">
        <v>65</v>
      </c>
      <c r="E45" s="9" t="s">
        <v>54</v>
      </c>
      <c r="F45" s="9">
        <v>1</v>
      </c>
      <c r="G45" s="9" t="s">
        <v>8</v>
      </c>
      <c r="H45" s="9" t="s">
        <v>55</v>
      </c>
      <c r="I45" s="15">
        <v>150745671.27000001</v>
      </c>
      <c r="J45" s="15">
        <v>43644672047.900002</v>
      </c>
      <c r="K45" s="10">
        <f t="shared" si="5"/>
        <v>3.4539306677469528E-3</v>
      </c>
      <c r="L45" s="10"/>
      <c r="M45" s="9" t="str">
        <f t="shared" si="6"/>
        <v>Não declarado</v>
      </c>
      <c r="N45" s="10"/>
      <c r="O45" s="10"/>
      <c r="P45" s="10"/>
      <c r="Q45" s="17"/>
      <c r="R45" s="17"/>
      <c r="S45" s="17"/>
      <c r="T45" s="9" t="str">
        <f t="shared" si="7"/>
        <v>Sem limite próprio na LRF</v>
      </c>
      <c r="U45" s="9" t="s">
        <v>66</v>
      </c>
    </row>
    <row r="46" spans="1:21" x14ac:dyDescent="0.25">
      <c r="A46" s="9" t="str">
        <f t="shared" si="4"/>
        <v>Defensoria Pública|2º quad. 2025</v>
      </c>
      <c r="B46" s="9" t="s">
        <v>23</v>
      </c>
      <c r="C46" s="9" t="s">
        <v>23</v>
      </c>
      <c r="D46" s="9" t="s">
        <v>65</v>
      </c>
      <c r="E46" s="9" t="s">
        <v>54</v>
      </c>
      <c r="F46" s="9">
        <v>2</v>
      </c>
      <c r="G46" s="9" t="s">
        <v>9</v>
      </c>
      <c r="H46" s="9" t="s">
        <v>56</v>
      </c>
      <c r="I46" s="15">
        <v>155662738.13</v>
      </c>
      <c r="J46" s="15">
        <v>44545816842.489998</v>
      </c>
      <c r="K46" s="10">
        <f t="shared" si="5"/>
        <v>3.4944412105048931E-3</v>
      </c>
      <c r="L46" s="10"/>
      <c r="M46" s="9" t="str">
        <f t="shared" si="6"/>
        <v>Não declarado</v>
      </c>
      <c r="N46" s="10"/>
      <c r="O46" s="10"/>
      <c r="P46" s="10"/>
      <c r="Q46" s="17"/>
      <c r="R46" s="17"/>
      <c r="S46" s="17"/>
      <c r="T46" s="9" t="str">
        <f t="shared" si="7"/>
        <v>Sem limite próprio na LRF</v>
      </c>
      <c r="U46" s="9" t="s">
        <v>66</v>
      </c>
    </row>
    <row r="47" spans="1:21" x14ac:dyDescent="0.25">
      <c r="A47" s="9" t="str">
        <f t="shared" si="4"/>
        <v>Defensoria Pública|3º quad. 2025</v>
      </c>
      <c r="B47" s="9" t="s">
        <v>23</v>
      </c>
      <c r="C47" s="9" t="s">
        <v>23</v>
      </c>
      <c r="D47" s="9" t="s">
        <v>65</v>
      </c>
      <c r="E47" s="9" t="s">
        <v>54</v>
      </c>
      <c r="F47" s="9">
        <v>3</v>
      </c>
      <c r="G47" s="9" t="s">
        <v>10</v>
      </c>
      <c r="H47" s="9" t="s">
        <v>57</v>
      </c>
      <c r="I47" s="15">
        <v>164133051.52000001</v>
      </c>
      <c r="J47" s="15">
        <v>45360605189.139999</v>
      </c>
      <c r="K47" s="10">
        <f t="shared" si="5"/>
        <v>3.6184052403096219E-3</v>
      </c>
      <c r="L47" s="10"/>
      <c r="M47" s="9" t="str">
        <f t="shared" si="6"/>
        <v>Não declarado</v>
      </c>
      <c r="N47" s="10"/>
      <c r="O47" s="10"/>
      <c r="P47" s="10"/>
      <c r="Q47" s="17"/>
      <c r="R47" s="17"/>
      <c r="S47" s="17"/>
      <c r="T47" s="9" t="str">
        <f t="shared" si="7"/>
        <v>Sem limite próprio na LRF</v>
      </c>
      <c r="U47" s="9" t="s">
        <v>66</v>
      </c>
    </row>
    <row r="48" spans="1:21" x14ac:dyDescent="0.25">
      <c r="A48" s="9" t="str">
        <f t="shared" si="4"/>
        <v>Defensoria Pública|1º quad. 2026</v>
      </c>
      <c r="B48" s="9" t="s">
        <v>23</v>
      </c>
      <c r="C48" s="9" t="s">
        <v>23</v>
      </c>
      <c r="D48" s="9" t="s">
        <v>65</v>
      </c>
      <c r="E48" s="9" t="s">
        <v>58</v>
      </c>
      <c r="F48" s="9">
        <v>1</v>
      </c>
      <c r="G48" s="9" t="s">
        <v>11</v>
      </c>
      <c r="H48" s="9" t="s">
        <v>59</v>
      </c>
      <c r="I48" s="15">
        <v>169163805.88999999</v>
      </c>
      <c r="J48" s="15">
        <v>46172503734.400002</v>
      </c>
      <c r="K48" s="10">
        <f t="shared" si="5"/>
        <v>3.6637347383864632E-3</v>
      </c>
      <c r="L48" s="10"/>
      <c r="M48" s="9" t="str">
        <f t="shared" si="6"/>
        <v>Não declarado</v>
      </c>
      <c r="N48" s="10"/>
      <c r="O48" s="10"/>
      <c r="P48" s="10"/>
      <c r="Q48" s="17"/>
      <c r="R48" s="17"/>
      <c r="S48" s="17"/>
      <c r="T48" s="9" t="str">
        <f t="shared" si="7"/>
        <v>Sem limite próprio na LRF</v>
      </c>
      <c r="U48" s="9" t="s">
        <v>66</v>
      </c>
    </row>
    <row r="49" spans="1:21" x14ac:dyDescent="0.25">
      <c r="A49" s="9" t="str">
        <f t="shared" si="4"/>
        <v>Defensoria Pública|2º quad. 2026</v>
      </c>
      <c r="B49" s="9" t="s">
        <v>23</v>
      </c>
      <c r="C49" s="9" t="s">
        <v>23</v>
      </c>
      <c r="D49" s="9" t="s">
        <v>65</v>
      </c>
      <c r="E49" s="9" t="s">
        <v>58</v>
      </c>
      <c r="F49" s="9">
        <v>2</v>
      </c>
      <c r="G49" s="9" t="s">
        <v>12</v>
      </c>
      <c r="H49" s="9" t="s">
        <v>60</v>
      </c>
      <c r="I49" s="15">
        <v>169702644.38</v>
      </c>
      <c r="J49" s="15">
        <v>46946528149.169998</v>
      </c>
      <c r="K49" s="10">
        <f t="shared" si="5"/>
        <v>3.6148071235593657E-3</v>
      </c>
      <c r="L49" s="10"/>
      <c r="M49" s="9" t="str">
        <f t="shared" si="6"/>
        <v>Não declarado</v>
      </c>
      <c r="N49" s="10"/>
      <c r="O49" s="10"/>
      <c r="P49" s="10"/>
      <c r="Q49" s="17"/>
      <c r="R49" s="17"/>
      <c r="S49" s="17"/>
      <c r="T49" s="9" t="str">
        <f t="shared" si="7"/>
        <v>Sem limite próprio na LRF</v>
      </c>
      <c r="U49" s="9" t="s">
        <v>66</v>
      </c>
    </row>
    <row r="50" spans="1:21" x14ac:dyDescent="0.25">
      <c r="A50" s="9" t="str">
        <f t="shared" si="4"/>
        <v>Ministério Público|1º quad. 2024</v>
      </c>
      <c r="B50" s="9" t="s">
        <v>24</v>
      </c>
      <c r="C50" s="9" t="s">
        <v>24</v>
      </c>
      <c r="D50" s="9" t="s">
        <v>67</v>
      </c>
      <c r="E50" s="9" t="s">
        <v>49</v>
      </c>
      <c r="F50" s="9">
        <v>1</v>
      </c>
      <c r="G50" s="9" t="s">
        <v>5</v>
      </c>
      <c r="H50" s="9" t="s">
        <v>50</v>
      </c>
      <c r="I50" s="15">
        <v>665654384.49000001</v>
      </c>
      <c r="J50" s="15">
        <v>38995918133.18</v>
      </c>
      <c r="K50" s="10">
        <f t="shared" si="5"/>
        <v>1.7069847726539935E-2</v>
      </c>
      <c r="L50" s="16">
        <v>1.7100000000000001E-2</v>
      </c>
      <c r="M50" s="9" t="str">
        <f t="shared" si="6"/>
        <v>Sim</v>
      </c>
      <c r="N50" s="16">
        <v>0.02</v>
      </c>
      <c r="O50" s="16">
        <v>1.9E-2</v>
      </c>
      <c r="P50" s="16">
        <v>1.7999999999999999E-2</v>
      </c>
      <c r="Q50" s="15">
        <v>779918362.65999997</v>
      </c>
      <c r="R50" s="15">
        <v>740922444.52999997</v>
      </c>
      <c r="S50" s="15">
        <v>701926526.38999999</v>
      </c>
      <c r="T50" s="9" t="str">
        <f t="shared" si="7"/>
        <v>Abaixo do limite de alerta</v>
      </c>
      <c r="U50" s="9" t="s">
        <v>51</v>
      </c>
    </row>
    <row r="51" spans="1:21" x14ac:dyDescent="0.25">
      <c r="A51" s="9" t="str">
        <f t="shared" si="4"/>
        <v>Ministério Público|2º quad. 2024</v>
      </c>
      <c r="B51" s="9" t="s">
        <v>24</v>
      </c>
      <c r="C51" s="9" t="s">
        <v>24</v>
      </c>
      <c r="D51" s="9" t="s">
        <v>67</v>
      </c>
      <c r="E51" s="9" t="s">
        <v>49</v>
      </c>
      <c r="F51" s="9">
        <v>2</v>
      </c>
      <c r="G51" s="9" t="s">
        <v>6</v>
      </c>
      <c r="H51" s="9" t="s">
        <v>52</v>
      </c>
      <c r="I51" s="15">
        <v>707411790.17999995</v>
      </c>
      <c r="J51" s="15">
        <v>40864991803.860001</v>
      </c>
      <c r="K51" s="10">
        <f t="shared" si="5"/>
        <v>1.7310949028825687E-2</v>
      </c>
      <c r="L51" s="16">
        <v>1.7299999999999999E-2</v>
      </c>
      <c r="M51" s="9" t="str">
        <f t="shared" si="6"/>
        <v>Sim</v>
      </c>
      <c r="N51" s="16">
        <v>0.02</v>
      </c>
      <c r="O51" s="16">
        <v>1.9E-2</v>
      </c>
      <c r="P51" s="16">
        <v>1.7999999999999999E-2</v>
      </c>
      <c r="Q51" s="15">
        <v>817299836.07000005</v>
      </c>
      <c r="R51" s="15">
        <v>776434844.26999998</v>
      </c>
      <c r="S51" s="15">
        <v>735569852.46000004</v>
      </c>
      <c r="T51" s="9" t="str">
        <f t="shared" si="7"/>
        <v>Abaixo do limite de alerta</v>
      </c>
      <c r="U51" s="9" t="s">
        <v>51</v>
      </c>
    </row>
    <row r="52" spans="1:21" x14ac:dyDescent="0.25">
      <c r="A52" s="9" t="str">
        <f t="shared" si="4"/>
        <v>Ministério Público|3º quad. 2024</v>
      </c>
      <c r="B52" s="9" t="s">
        <v>24</v>
      </c>
      <c r="C52" s="9" t="s">
        <v>24</v>
      </c>
      <c r="D52" s="9" t="s">
        <v>67</v>
      </c>
      <c r="E52" s="9" t="s">
        <v>49</v>
      </c>
      <c r="F52" s="9">
        <v>3</v>
      </c>
      <c r="G52" s="9" t="s">
        <v>7</v>
      </c>
      <c r="H52" s="9" t="s">
        <v>53</v>
      </c>
      <c r="I52" s="15">
        <v>762797858.64999998</v>
      </c>
      <c r="J52" s="15">
        <v>42238430239.419998</v>
      </c>
      <c r="K52" s="10">
        <f t="shared" si="5"/>
        <v>1.8059332563408123E-2</v>
      </c>
      <c r="L52" s="16">
        <v>1.8100000000000002E-2</v>
      </c>
      <c r="M52" s="9" t="str">
        <f t="shared" si="6"/>
        <v>Sim</v>
      </c>
      <c r="N52" s="16">
        <v>0.02</v>
      </c>
      <c r="O52" s="16">
        <v>1.9E-2</v>
      </c>
      <c r="P52" s="16">
        <v>1.7999999999999999E-2</v>
      </c>
      <c r="Q52" s="15">
        <v>844768604.78999996</v>
      </c>
      <c r="R52" s="15">
        <v>802530174.54999995</v>
      </c>
      <c r="S52" s="15">
        <v>760291744.30999994</v>
      </c>
      <c r="T52" s="9" t="str">
        <f t="shared" si="7"/>
        <v>Acima do limite de alerta</v>
      </c>
      <c r="U52" s="9" t="s">
        <v>51</v>
      </c>
    </row>
    <row r="53" spans="1:21" x14ac:dyDescent="0.25">
      <c r="A53" s="9" t="str">
        <f t="shared" si="4"/>
        <v>Ministério Público|1º quad. 2025</v>
      </c>
      <c r="B53" s="9" t="s">
        <v>24</v>
      </c>
      <c r="C53" s="9" t="s">
        <v>24</v>
      </c>
      <c r="D53" s="9" t="s">
        <v>67</v>
      </c>
      <c r="E53" s="9" t="s">
        <v>54</v>
      </c>
      <c r="F53" s="9">
        <v>1</v>
      </c>
      <c r="G53" s="9" t="s">
        <v>8</v>
      </c>
      <c r="H53" s="9" t="s">
        <v>55</v>
      </c>
      <c r="I53" s="15">
        <v>798764173.65999997</v>
      </c>
      <c r="J53" s="15">
        <v>43644672047.900002</v>
      </c>
      <c r="K53" s="10">
        <f t="shared" si="5"/>
        <v>1.8301527682081258E-2</v>
      </c>
      <c r="L53" s="16">
        <v>1.83E-2</v>
      </c>
      <c r="M53" s="9" t="str">
        <f t="shared" si="6"/>
        <v>Sim</v>
      </c>
      <c r="N53" s="16">
        <v>0.02</v>
      </c>
      <c r="O53" s="16">
        <v>1.9E-2</v>
      </c>
      <c r="P53" s="16">
        <v>1.7999999999999999E-2</v>
      </c>
      <c r="Q53" s="15">
        <v>872893440.96000004</v>
      </c>
      <c r="R53" s="15">
        <v>829248768.90999997</v>
      </c>
      <c r="S53" s="15">
        <v>785604096.86000001</v>
      </c>
      <c r="T53" s="9" t="str">
        <f t="shared" si="7"/>
        <v>Acima do limite de alerta</v>
      </c>
      <c r="U53" s="9" t="s">
        <v>51</v>
      </c>
    </row>
    <row r="54" spans="1:21" x14ac:dyDescent="0.25">
      <c r="A54" s="9" t="str">
        <f t="shared" si="4"/>
        <v>Ministério Público|2º quad. 2025</v>
      </c>
      <c r="B54" s="9" t="s">
        <v>24</v>
      </c>
      <c r="C54" s="9" t="s">
        <v>24</v>
      </c>
      <c r="D54" s="9" t="s">
        <v>67</v>
      </c>
      <c r="E54" s="9" t="s">
        <v>54</v>
      </c>
      <c r="F54" s="9">
        <v>2</v>
      </c>
      <c r="G54" s="9" t="s">
        <v>9</v>
      </c>
      <c r="H54" s="9" t="s">
        <v>56</v>
      </c>
      <c r="I54" s="15">
        <v>826117933.46000004</v>
      </c>
      <c r="J54" s="15">
        <v>44545816842.489998</v>
      </c>
      <c r="K54" s="10">
        <f t="shared" si="5"/>
        <v>1.8545353795645477E-2</v>
      </c>
      <c r="L54" s="16">
        <v>1.8499999999999999E-2</v>
      </c>
      <c r="M54" s="9" t="str">
        <f t="shared" si="6"/>
        <v>Sim</v>
      </c>
      <c r="N54" s="16">
        <v>0.02</v>
      </c>
      <c r="O54" s="16">
        <v>1.9E-2</v>
      </c>
      <c r="P54" s="16">
        <v>1.7999999999999999E-2</v>
      </c>
      <c r="Q54" s="15">
        <v>890916336.84000003</v>
      </c>
      <c r="R54" s="15">
        <v>846370520</v>
      </c>
      <c r="S54" s="15">
        <v>801824703.15999997</v>
      </c>
      <c r="T54" s="9" t="str">
        <f t="shared" si="7"/>
        <v>Acima do limite de alerta</v>
      </c>
      <c r="U54" s="9" t="s">
        <v>51</v>
      </c>
    </row>
    <row r="55" spans="1:21" x14ac:dyDescent="0.25">
      <c r="A55" s="9" t="str">
        <f t="shared" si="4"/>
        <v>Ministério Público|3º quad. 2025</v>
      </c>
      <c r="B55" s="9" t="s">
        <v>24</v>
      </c>
      <c r="C55" s="9" t="s">
        <v>24</v>
      </c>
      <c r="D55" s="9" t="s">
        <v>67</v>
      </c>
      <c r="E55" s="9" t="s">
        <v>54</v>
      </c>
      <c r="F55" s="9">
        <v>3</v>
      </c>
      <c r="G55" s="9" t="s">
        <v>10</v>
      </c>
      <c r="H55" s="9" t="s">
        <v>57</v>
      </c>
      <c r="I55" s="15">
        <v>832061869.01999998</v>
      </c>
      <c r="J55" s="15">
        <v>45360605189.139999</v>
      </c>
      <c r="K55" s="10">
        <f t="shared" si="5"/>
        <v>1.8343270896641561E-2</v>
      </c>
      <c r="L55" s="16">
        <v>1.83E-2</v>
      </c>
      <c r="M55" s="9" t="str">
        <f t="shared" si="6"/>
        <v>Sim</v>
      </c>
      <c r="N55" s="16">
        <v>0.02</v>
      </c>
      <c r="O55" s="16">
        <v>1.9E-2</v>
      </c>
      <c r="P55" s="16">
        <v>1.7999999999999999E-2</v>
      </c>
      <c r="Q55" s="15">
        <v>907212103.77999997</v>
      </c>
      <c r="R55" s="15">
        <v>861851498.59000003</v>
      </c>
      <c r="S55" s="15">
        <v>816490893.39999998</v>
      </c>
      <c r="T55" s="9" t="str">
        <f t="shared" si="7"/>
        <v>Acima do limite de alerta</v>
      </c>
      <c r="U55" s="9" t="s">
        <v>51</v>
      </c>
    </row>
    <row r="56" spans="1:21" x14ac:dyDescent="0.25">
      <c r="A56" s="9" t="str">
        <f t="shared" si="4"/>
        <v>Ministério Público|1º quad. 2026</v>
      </c>
      <c r="B56" s="9" t="s">
        <v>24</v>
      </c>
      <c r="C56" s="9" t="s">
        <v>24</v>
      </c>
      <c r="D56" s="9" t="s">
        <v>67</v>
      </c>
      <c r="E56" s="9" t="s">
        <v>58</v>
      </c>
      <c r="F56" s="9">
        <v>1</v>
      </c>
      <c r="G56" s="9" t="s">
        <v>11</v>
      </c>
      <c r="H56" s="9" t="s">
        <v>59</v>
      </c>
      <c r="I56" s="15">
        <v>849304079.88</v>
      </c>
      <c r="J56" s="15">
        <v>46172503734.400002</v>
      </c>
      <c r="K56" s="10">
        <f t="shared" si="5"/>
        <v>1.8394152605747501E-2</v>
      </c>
      <c r="L56" s="16">
        <v>1.84E-2</v>
      </c>
      <c r="M56" s="9" t="str">
        <f t="shared" si="6"/>
        <v>Sim</v>
      </c>
      <c r="N56" s="16">
        <v>0.02</v>
      </c>
      <c r="O56" s="16">
        <v>1.9E-2</v>
      </c>
      <c r="P56" s="16">
        <v>1.7999999999999999E-2</v>
      </c>
      <c r="Q56" s="15">
        <v>923450074.67999995</v>
      </c>
      <c r="R56" s="15">
        <v>877277570.95000005</v>
      </c>
      <c r="S56" s="15">
        <v>831105067.21000004</v>
      </c>
      <c r="T56" s="9" t="str">
        <f t="shared" si="7"/>
        <v>Acima do limite de alerta</v>
      </c>
      <c r="U56" s="9" t="s">
        <v>51</v>
      </c>
    </row>
    <row r="57" spans="1:21" x14ac:dyDescent="0.25">
      <c r="A57" s="9" t="str">
        <f t="shared" si="4"/>
        <v>Ministério Público|2º quad. 2026</v>
      </c>
      <c r="B57" s="9" t="s">
        <v>24</v>
      </c>
      <c r="C57" s="9" t="s">
        <v>24</v>
      </c>
      <c r="D57" s="9" t="s">
        <v>67</v>
      </c>
      <c r="E57" s="9" t="s">
        <v>58</v>
      </c>
      <c r="F57" s="9">
        <v>2</v>
      </c>
      <c r="G57" s="9" t="s">
        <v>12</v>
      </c>
      <c r="H57" s="9" t="s">
        <v>60</v>
      </c>
      <c r="I57" s="15">
        <v>832063551.09000003</v>
      </c>
      <c r="J57" s="15">
        <v>46946528149.169998</v>
      </c>
      <c r="K57" s="10">
        <f t="shared" si="5"/>
        <v>1.7723643981641498E-2</v>
      </c>
      <c r="L57" s="16">
        <v>1.77E-2</v>
      </c>
      <c r="M57" s="9" t="str">
        <f t="shared" si="6"/>
        <v>Sim</v>
      </c>
      <c r="N57" s="16">
        <v>0.02</v>
      </c>
      <c r="O57" s="16">
        <v>1.9E-2</v>
      </c>
      <c r="P57" s="16">
        <v>1.7999999999999999E-2</v>
      </c>
      <c r="Q57" s="15">
        <v>938930562.98000002</v>
      </c>
      <c r="R57" s="15">
        <v>891984034.83000004</v>
      </c>
      <c r="S57" s="15">
        <v>845037506.67999995</v>
      </c>
      <c r="T57" s="9" t="str">
        <f t="shared" si="7"/>
        <v>Abaixo do limite de alerta</v>
      </c>
      <c r="U57" s="9" t="s">
        <v>51</v>
      </c>
    </row>
  </sheetData>
  <autoFilter ref="A1:U5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68</v>
      </c>
    </row>
    <row r="3" spans="1:2" ht="30" customHeight="1" x14ac:dyDescent="0.25">
      <c r="A3" s="18" t="s">
        <v>69</v>
      </c>
      <c r="B3" s="19" t="s">
        <v>70</v>
      </c>
    </row>
    <row r="4" spans="1:2" ht="15" customHeight="1" x14ac:dyDescent="0.25">
      <c r="A4" s="18" t="s">
        <v>71</v>
      </c>
      <c r="B4" s="19" t="s">
        <v>72</v>
      </c>
    </row>
    <row r="5" spans="1:2" ht="30" customHeight="1" x14ac:dyDescent="0.25">
      <c r="A5" s="18" t="s">
        <v>73</v>
      </c>
      <c r="B5" s="19" t="s">
        <v>74</v>
      </c>
    </row>
    <row r="6" spans="1:2" ht="30" customHeight="1" x14ac:dyDescent="0.25">
      <c r="A6" s="18" t="s">
        <v>75</v>
      </c>
      <c r="B6" s="19" t="s">
        <v>76</v>
      </c>
    </row>
    <row r="7" spans="1:2" ht="30" customHeight="1" x14ac:dyDescent="0.25">
      <c r="A7" s="18" t="s">
        <v>77</v>
      </c>
      <c r="B7" s="19" t="s">
        <v>78</v>
      </c>
    </row>
    <row r="8" spans="1:2" ht="60" customHeight="1" x14ac:dyDescent="0.25">
      <c r="A8" s="18" t="s">
        <v>79</v>
      </c>
      <c r="B8" s="19" t="s">
        <v>80</v>
      </c>
    </row>
    <row r="9" spans="1:2" ht="45" customHeight="1" x14ac:dyDescent="0.25">
      <c r="A9" s="18" t="s">
        <v>81</v>
      </c>
      <c r="B9" s="19" t="s">
        <v>82</v>
      </c>
    </row>
    <row r="10" spans="1:2" ht="15" customHeight="1" x14ac:dyDescent="0.25">
      <c r="A10" s="18" t="s">
        <v>83</v>
      </c>
      <c r="B10" s="1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2026-10-15T09:56:21Z</dcterms:created>
  <dcterms:modified xsi:type="dcterms:W3CDTF">2026-10-15T09:56:58Z</dcterms:modified>
</cp:coreProperties>
</file>