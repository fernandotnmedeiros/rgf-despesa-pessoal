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9A84EB83C10B898DAFA91AD0BDC8551F5700D1E9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2" l="1"/>
  <c r="A73" i="2"/>
  <c r="K72" i="2"/>
  <c r="A72" i="2"/>
  <c r="K71" i="2"/>
  <c r="A71" i="2"/>
  <c r="K70" i="2"/>
  <c r="A70" i="2"/>
  <c r="K69" i="2"/>
  <c r="A69" i="2"/>
  <c r="K68" i="2"/>
  <c r="A68" i="2"/>
  <c r="K67" i="2"/>
  <c r="A67" i="2"/>
  <c r="K66" i="2"/>
  <c r="A66" i="2"/>
  <c r="M65" i="2"/>
  <c r="K65" i="2"/>
  <c r="T65" i="2" s="1"/>
  <c r="A65" i="2"/>
  <c r="M64" i="2"/>
  <c r="K64" i="2"/>
  <c r="T64" i="2" s="1"/>
  <c r="A64" i="2"/>
  <c r="M63" i="2"/>
  <c r="K63" i="2"/>
  <c r="T63" i="2" s="1"/>
  <c r="A63" i="2"/>
  <c r="M62" i="2"/>
  <c r="K62" i="2"/>
  <c r="T62" i="2" s="1"/>
  <c r="A62" i="2"/>
  <c r="M61" i="2"/>
  <c r="K61" i="2"/>
  <c r="T61" i="2" s="1"/>
  <c r="A61" i="2"/>
  <c r="M60" i="2"/>
  <c r="K60" i="2"/>
  <c r="T60" i="2" s="1"/>
  <c r="A60" i="2"/>
  <c r="M59" i="2"/>
  <c r="K59" i="2"/>
  <c r="T59" i="2" s="1"/>
  <c r="A59" i="2"/>
  <c r="M58" i="2"/>
  <c r="K58" i="2"/>
  <c r="T58" i="2" s="1"/>
  <c r="A58" i="2"/>
  <c r="K57" i="2"/>
  <c r="A57" i="2"/>
  <c r="K56" i="2"/>
  <c r="A56" i="2"/>
  <c r="K55" i="2"/>
  <c r="A55" i="2"/>
  <c r="K54" i="2"/>
  <c r="A54" i="2"/>
  <c r="K53" i="2"/>
  <c r="A53" i="2"/>
  <c r="K52" i="2"/>
  <c r="A52" i="2"/>
  <c r="K51" i="2"/>
  <c r="A51" i="2"/>
  <c r="K50" i="2"/>
  <c r="A50" i="2"/>
  <c r="K49" i="2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K41" i="2"/>
  <c r="A41" i="2"/>
  <c r="K40" i="2"/>
  <c r="A40" i="2"/>
  <c r="K39" i="2"/>
  <c r="A39" i="2"/>
  <c r="K38" i="2"/>
  <c r="A38" i="2"/>
  <c r="K37" i="2"/>
  <c r="A37" i="2"/>
  <c r="K36" i="2"/>
  <c r="A36" i="2"/>
  <c r="K35" i="2"/>
  <c r="A35" i="2"/>
  <c r="K34" i="2"/>
  <c r="A34" i="2"/>
  <c r="M33" i="2"/>
  <c r="K33" i="2"/>
  <c r="T33" i="2" s="1"/>
  <c r="A33" i="2"/>
  <c r="M32" i="2"/>
  <c r="K32" i="2"/>
  <c r="T32" i="2" s="1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M25" i="2"/>
  <c r="K25" i="2"/>
  <c r="T25" i="2" s="1"/>
  <c r="A25" i="2"/>
  <c r="M24" i="2"/>
  <c r="K24" i="2"/>
  <c r="T24" i="2" s="1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H24" i="1"/>
  <c r="G24" i="1"/>
  <c r="F24" i="1"/>
  <c r="E24" i="1"/>
  <c r="D24" i="1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D22" i="1"/>
  <c r="C22" i="1"/>
  <c r="J21" i="1"/>
  <c r="I21" i="1"/>
  <c r="H21" i="1"/>
  <c r="G21" i="1"/>
  <c r="F21" i="1"/>
  <c r="E21" i="1"/>
  <c r="D21" i="1"/>
  <c r="C21" i="1"/>
  <c r="J20" i="1"/>
  <c r="I19" i="1"/>
  <c r="H19" i="1"/>
  <c r="G19" i="1"/>
  <c r="F19" i="1"/>
  <c r="E19" i="1"/>
  <c r="D19" i="1"/>
  <c r="C19" i="1"/>
  <c r="J15" i="1"/>
  <c r="I15" i="1"/>
  <c r="H15" i="1"/>
  <c r="G15" i="1"/>
  <c r="F15" i="1"/>
  <c r="E15" i="1"/>
  <c r="D15" i="1"/>
  <c r="C15" i="1"/>
  <c r="K14" i="1"/>
  <c r="J14" i="1"/>
  <c r="I14" i="1"/>
  <c r="G13" i="1"/>
  <c r="F13" i="1"/>
  <c r="E13" i="1"/>
  <c r="D13" i="1"/>
  <c r="C13" i="1"/>
  <c r="K12" i="1"/>
  <c r="J12" i="1"/>
  <c r="I12" i="1"/>
  <c r="H12" i="1"/>
  <c r="G12" i="1"/>
  <c r="F12" i="1"/>
  <c r="E12" i="1"/>
  <c r="D12" i="1"/>
  <c r="C12" i="1"/>
  <c r="K11" i="1"/>
  <c r="J11" i="1"/>
  <c r="I11" i="1"/>
  <c r="H11" i="1"/>
  <c r="G11" i="1"/>
  <c r="F11" i="1"/>
  <c r="E11" i="1"/>
  <c r="D11" i="1"/>
  <c r="C11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3" i="1" l="1"/>
  <c r="L9" i="1"/>
  <c r="L8" i="1"/>
  <c r="T45" i="2"/>
  <c r="M45" i="2"/>
  <c r="M16" i="2"/>
  <c r="T16" i="2"/>
  <c r="C24" i="1"/>
  <c r="I20" i="1"/>
  <c r="H20" i="1"/>
  <c r="G20" i="1"/>
  <c r="F20" i="1"/>
  <c r="E20" i="1"/>
  <c r="D20" i="1"/>
  <c r="C20" i="1"/>
  <c r="J19" i="1"/>
  <c r="H14" i="1"/>
  <c r="G14" i="1"/>
  <c r="F14" i="1"/>
  <c r="E14" i="1"/>
  <c r="D14" i="1"/>
  <c r="C14" i="1"/>
  <c r="K13" i="1"/>
  <c r="J13" i="1"/>
  <c r="I13" i="1"/>
  <c r="H13" i="1"/>
  <c r="T73" i="2"/>
  <c r="L14" i="1" s="1"/>
  <c r="M73" i="2"/>
  <c r="T72" i="2"/>
  <c r="M72" i="2"/>
  <c r="T71" i="2"/>
  <c r="M71" i="2"/>
  <c r="T70" i="2"/>
  <c r="M70" i="2"/>
  <c r="T69" i="2"/>
  <c r="M69" i="2"/>
  <c r="T68" i="2"/>
  <c r="M68" i="2"/>
  <c r="T67" i="2"/>
  <c r="M67" i="2"/>
  <c r="T66" i="2"/>
  <c r="M66" i="2"/>
  <c r="T57" i="2"/>
  <c r="L12" i="1" s="1"/>
  <c r="M57" i="2"/>
  <c r="T56" i="2"/>
  <c r="M56" i="2"/>
  <c r="T55" i="2"/>
  <c r="M55" i="2"/>
  <c r="T54" i="2"/>
  <c r="M54" i="2"/>
  <c r="T53" i="2"/>
  <c r="M53" i="2"/>
  <c r="T52" i="2"/>
  <c r="M52" i="2"/>
  <c r="T51" i="2"/>
  <c r="M51" i="2"/>
  <c r="T50" i="2"/>
  <c r="M50" i="2"/>
  <c r="T49" i="2"/>
  <c r="L11" i="1" s="1"/>
  <c r="M49" i="2"/>
  <c r="T48" i="2"/>
  <c r="M48" i="2"/>
  <c r="T47" i="2"/>
  <c r="M47" i="2"/>
  <c r="T46" i="2"/>
  <c r="M46" i="2"/>
  <c r="T44" i="2"/>
  <c r="M44" i="2"/>
  <c r="T43" i="2"/>
  <c r="M43" i="2"/>
  <c r="M42" i="2"/>
  <c r="T42" i="2"/>
  <c r="T41" i="2"/>
  <c r="L10" i="1" s="1"/>
  <c r="M41" i="2"/>
  <c r="M40" i="2"/>
  <c r="T40" i="2"/>
  <c r="M39" i="2"/>
  <c r="T39" i="2"/>
  <c r="M38" i="2"/>
  <c r="T38" i="2"/>
  <c r="M37" i="2"/>
  <c r="T37" i="2"/>
  <c r="T36" i="2"/>
  <c r="M36" i="2"/>
  <c r="T35" i="2"/>
  <c r="M35" i="2"/>
  <c r="M34" i="2"/>
  <c r="T34" i="2"/>
  <c r="M31" i="2"/>
  <c r="T31" i="2"/>
  <c r="M30" i="2"/>
  <c r="T30" i="2"/>
  <c r="M29" i="2"/>
  <c r="T29" i="2"/>
  <c r="T28" i="2"/>
  <c r="M28" i="2"/>
  <c r="T27" i="2"/>
  <c r="M27" i="2"/>
  <c r="M26" i="2"/>
  <c r="T26" i="2"/>
  <c r="T23" i="2"/>
  <c r="M23" i="2"/>
  <c r="M22" i="2"/>
  <c r="T22" i="2"/>
  <c r="M21" i="2"/>
  <c r="T21" i="2"/>
  <c r="M20" i="2"/>
  <c r="T20" i="2"/>
  <c r="T19" i="2"/>
  <c r="M19" i="2"/>
  <c r="T18" i="2"/>
  <c r="M18" i="2"/>
  <c r="M17" i="2"/>
  <c r="T17" i="2"/>
  <c r="L7" i="1" s="1"/>
  <c r="D25" i="1"/>
  <c r="C25" i="1"/>
  <c r="J24" i="1"/>
  <c r="E26" i="1"/>
  <c r="D27" i="1"/>
  <c r="J27" i="1"/>
  <c r="I27" i="1"/>
  <c r="H27" i="1"/>
  <c r="G27" i="1"/>
  <c r="F27" i="1"/>
  <c r="E27" i="1"/>
  <c r="I24" i="1"/>
  <c r="C27" i="1"/>
  <c r="J26" i="1"/>
  <c r="I26" i="1"/>
  <c r="H26" i="1"/>
  <c r="G26" i="1"/>
  <c r="F26" i="1"/>
  <c r="D26" i="1"/>
  <c r="C26" i="1"/>
  <c r="J25" i="1"/>
  <c r="I25" i="1"/>
  <c r="H25" i="1"/>
  <c r="G25" i="1"/>
  <c r="F25" i="1"/>
  <c r="E25" i="1"/>
  <c r="T15" i="2"/>
  <c r="M15" i="2"/>
  <c r="M14" i="2"/>
  <c r="T14" i="2"/>
  <c r="T13" i="2"/>
  <c r="M13" i="2"/>
  <c r="T12" i="2"/>
  <c r="M12" i="2"/>
  <c r="T11" i="2"/>
  <c r="M11" i="2"/>
  <c r="T10" i="2"/>
  <c r="M10" i="2"/>
  <c r="T9" i="2"/>
  <c r="L6" i="1" s="1"/>
  <c r="M9" i="2"/>
  <c r="T8" i="2"/>
  <c r="M8" i="2"/>
  <c r="T7" i="2"/>
  <c r="M7" i="2"/>
  <c r="T6" i="2"/>
  <c r="M6" i="2"/>
  <c r="T5" i="2"/>
  <c r="M5" i="2"/>
  <c r="T4" i="2"/>
  <c r="M4" i="2"/>
  <c r="T3" i="2"/>
  <c r="M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<sst xmlns="http://schemas.openxmlformats.org/spreadsheetml/2006/main" count="603" uniqueCount="88">
  <si>
    <t>Despesa total com pessoal - Pará (PA)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</si>
  <si>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</si>
  <si>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</si>
  <si>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</si>
  <si>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</si>
  <si>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</si>
  <si>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</si>
  <si>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</si>
  <si>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</si>
  <si>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</si>
  <si>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</si>
  <si>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</si>
  <si>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</si>
  <si>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</si>
  <si>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</si>
  <si>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</si>
  <si>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</si>
  <si>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</si>
  <si>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</si>
  <si>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Ministério Público de Contas</t>
  </si>
  <si>
    <t>Ministério Público de Contas dos Municípios do Pará</t>
  </si>
  <si>
    <t>Tribunal de Justiça</t>
  </si>
  <si>
    <t>Poder Judiciário</t>
  </si>
  <si>
    <t>Tribunal de Contas</t>
  </si>
  <si>
    <t>Tribunal de Contas dos Municípios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</si>
  <si>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</si>
  <si>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</si>
  <si>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</si>
  <si>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</si>
  <si>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</si>
  <si>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</si>
  <si>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</si>
  <si>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</si>
  <si>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</si>
  <si>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</si>
  <si>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</si>
  <si>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</si>
  <si>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</si>
  <si>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</si>
  <si>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</si>
  <si>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</si>
  <si>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</si>
  <si>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</si>
  <si>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</si>
  <si>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</si>
  <si>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</si>
  <si>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</si>
  <si>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</si>
  <si>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</si>
  <si>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</si>
  <si>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do Pará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</si>
  <si>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</si>
  <si>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</si>
  <si>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</si>
  <si>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</si>
  <si>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</si>
  <si>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</si>
  <si>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</si>
  <si>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</si>
  <si>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</si>
  <si>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</si>
  <si>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</si>
  <si>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</si>
  <si>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do Pará</t>
  </si>
  <si>
    <t>Ministério Público de Contas do Estado do Pará</t>
  </si>
  <si>
    <t>Tribunal de Justiça do Estado do Pará</t>
  </si>
  <si>
    <t>Tribunal de Contas do Estado do Pará</t>
  </si>
  <si>
    <t>Tribunal de Contas dos Municípios do Estado do Pará</t>
  </si>
  <si>
    <t>Defensoria Pública do Estado do Pará</t>
  </si>
  <si>
    <t>Calculado (despesa líquida / RCL Ajustada do Executivo)</t>
  </si>
  <si>
    <t>Ministério Público do Estado do Pará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</si>
  <si>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</si>
  <si>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</si>
  <si>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</si>
  <si>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</si>
  <si>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Pará (PA).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</si>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</sst>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IFERROR(IF(INDEX(Dados!$K$2:$K$73,MATCH($A6&amp;"|"&amp;C$5,Dados!$A$2:$A$73,0))="","",INDEX(Dados!$K$2:$K$73,MATCH($A6&amp;"|"&amp;C$5,Dados!$A$2:$A$73,0))),"")</f>
        <v>0.41626179712424066</v>
      </c>
      <c r="D6" s="7">
        <f>IFERROR(IF(INDEX(Dados!$K$2:$K$73,MATCH($A6&amp;"|"&amp;D$5,Dados!$A$2:$A$73,0))="","",INDEX(Dados!$K$2:$K$73,MATCH($A6&amp;"|"&amp;D$5,Dados!$A$2:$A$73,0))),"")</f>
        <v>0.40980482739202118</v>
      </c>
      <c r="E6" s="7">
        <f>IFERROR(IF(INDEX(Dados!$K$2:$K$73,MATCH($A6&amp;"|"&amp;E$5,Dados!$A$2:$A$73,0))="","",INDEX(Dados!$K$2:$K$73,MATCH($A6&amp;"|"&amp;E$5,Dados!$A$2:$A$73,0))),"")</f>
        <v>0.40552790309045778</v>
      </c>
      <c r="F6" s="7">
        <f>IFERROR(IF(INDEX(Dados!$K$2:$K$73,MATCH($A6&amp;"|"&amp;F$5,Dados!$A$2:$A$73,0))="","",INDEX(Dados!$K$2:$K$73,MATCH($A6&amp;"|"&amp;F$5,Dados!$A$2:$A$73,0))),"")</f>
        <v>0.40532696311739985</v>
      </c>
      <c r="G6" s="7">
        <f>IFERROR(IF(INDEX(Dados!$K$2:$K$73,MATCH($A6&amp;"|"&amp;G$5,Dados!$A$2:$A$73,0))="","",INDEX(Dados!$K$2:$K$73,MATCH($A6&amp;"|"&amp;G$5,Dados!$A$2:$A$73,0))),"")</f>
        <v>0.39476685772068348</v>
      </c>
      <c r="H6" s="7">
        <f>IFERROR(IF(INDEX(Dados!$K$2:$K$73,MATCH($A6&amp;"|"&amp;H$5,Dados!$A$2:$A$73,0))="","",INDEX(Dados!$K$2:$K$73,MATCH($A6&amp;"|"&amp;H$5,Dados!$A$2:$A$73,0))),"")</f>
        <v>0.38070318250890017</v>
      </c>
      <c r="I6" s="7">
        <f>IFERROR(IF(INDEX(Dados!$K$2:$K$73,MATCH($A6&amp;"|"&amp;I$5,Dados!$A$2:$A$73,0))="","",INDEX(Dados!$K$2:$K$73,MATCH($A6&amp;"|"&amp;I$5,Dados!$A$2:$A$73,0))),"")</f>
        <v>0.36720051095165707</v>
      </c>
      <c r="J6" s="7">
        <f>IFERROR(IF(INDEX(Dados!$K$2:$K$73,MATCH($A6&amp;"|"&amp;J$5,Dados!$A$2:$A$73,0))="","",INDEX(Dados!$K$2:$K$73,MATCH($A6&amp;"|"&amp;J$5,Dados!$A$2:$A$73,0))),"")</f>
        <v>0.37635118947008533</v>
      </c>
      <c r="K6" s="7">
        <f>IFERROR(IF(INDEX(Dados!$N$2:$N$73,MATCH($A6&amp;"|"&amp;J$5,Dados!$A$2:$A$73,0))=0,"—",INDEX(Dados!$N$2:$N$73,MATCH($A6&amp;"|"&amp;J$5,Dados!$A$2:$A$73,0))),"—")</f>
        <v>0.48599999999999999</v>
      </c>
      <c r="L6" s="6" t="str">
        <f>IFERROR(IF(INDEX(Dados!$T$2:$T$73,MATCH($A6&amp;"|"&amp;J$5,Dados!$A$2:$A$73,0))="","—",INDEX(Dados!$T$2:$T$73,MATCH($A6&amp;"|"&amp;J$5,Dados!$A$2:$A$73,0))),"—")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IFERROR(IF(INDEX(Dados!$K$2:$K$73,MATCH($A7&amp;"|"&amp;C$5,Dados!$A$2:$A$73,0))="","",INDEX(Dados!$K$2:$K$73,MATCH($A7&amp;"|"&amp;C$5,Dados!$A$2:$A$73,0))),"")</f>
        <v>1.3242119948503803E-2</v>
      </c>
      <c r="D7" s="10">
        <f>IFERROR(IF(INDEX(Dados!$K$2:$K$73,MATCH($A7&amp;"|"&amp;D$5,Dados!$A$2:$A$73,0))="","",INDEX(Dados!$K$2:$K$73,MATCH($A7&amp;"|"&amp;D$5,Dados!$A$2:$A$73,0))),"")</f>
        <v>1.278497959378856E-2</v>
      </c>
      <c r="E7" s="10">
        <f>IFERROR(IF(INDEX(Dados!$K$2:$K$73,MATCH($A7&amp;"|"&amp;E$5,Dados!$A$2:$A$73,0))="","",INDEX(Dados!$K$2:$K$73,MATCH($A7&amp;"|"&amp;E$5,Dados!$A$2:$A$73,0))),"")</f>
        <v>1.2465594209487774E-2</v>
      </c>
      <c r="F7" s="10">
        <f>IFERROR(IF(INDEX(Dados!$K$2:$K$73,MATCH($A7&amp;"|"&amp;F$5,Dados!$A$2:$A$73,0))="","",INDEX(Dados!$K$2:$K$73,MATCH($A7&amp;"|"&amp;F$5,Dados!$A$2:$A$73,0))),"")</f>
        <v>1.2796047733926189E-2</v>
      </c>
      <c r="G7" s="10">
        <f>IFERROR(IF(INDEX(Dados!$K$2:$K$73,MATCH($A7&amp;"|"&amp;G$5,Dados!$A$2:$A$73,0))="","",INDEX(Dados!$K$2:$K$73,MATCH($A7&amp;"|"&amp;G$5,Dados!$A$2:$A$73,0))),"")</f>
        <v>1.2487995528413644E-2</v>
      </c>
      <c r="H7" s="10">
        <f>IFERROR(IF(INDEX(Dados!$K$2:$K$73,MATCH($A7&amp;"|"&amp;H$5,Dados!$A$2:$A$73,0))="","",INDEX(Dados!$K$2:$K$73,MATCH($A7&amp;"|"&amp;H$5,Dados!$A$2:$A$73,0))),"")</f>
        <v>1.2547632470652921E-2</v>
      </c>
      <c r="I7" s="10">
        <f>IFERROR(IF(INDEX(Dados!$K$2:$K$73,MATCH($A7&amp;"|"&amp;I$5,Dados!$A$2:$A$73,0))="","",INDEX(Dados!$K$2:$K$73,MATCH($A7&amp;"|"&amp;I$5,Dados!$A$2:$A$73,0))),"")</f>
        <v>1.2420849614651818E-2</v>
      </c>
      <c r="J7" s="10">
        <f>IFERROR(IF(INDEX(Dados!$K$2:$K$73,MATCH($A7&amp;"|"&amp;J$5,Dados!$A$2:$A$73,0))="","",INDEX(Dados!$K$2:$K$73,MATCH($A7&amp;"|"&amp;J$5,Dados!$A$2:$A$73,0))),"")</f>
        <v>1.2660895932929321E-2</v>
      </c>
      <c r="K7" s="10">
        <f>IFERROR(IF(INDEX(Dados!$N$2:$N$73,MATCH($A7&amp;"|"&amp;J$5,Dados!$A$2:$A$73,0))=0,"—",INDEX(Dados!$N$2:$N$73,MATCH($A7&amp;"|"&amp;J$5,Dados!$A$2:$A$73,0))),"—")</f>
        <v>1.5599999999999999E-2</v>
      </c>
      <c r="L7" s="9" t="str">
        <f>IFERROR(IF(INDEX(Dados!$T$2:$T$73,MATCH($A7&amp;"|"&amp;J$5,Dados!$A$2:$A$73,0))="","—",INDEX(Dados!$T$2:$T$73,MATCH($A7&amp;"|"&amp;J$5,Dados!$A$2:$A$73,0))),"—")</f>
        <v>Abaixo do limite de alerta</v>
      </c>
    </row>
    <row r="8" spans="1:12" x14ac:dyDescent="0.25">
      <c r="A8" s="8" t="s">
        <v>19</v>
      </c>
      <c r="B8" s="9" t="s">
        <v>18</v>
      </c>
      <c r="C8" s="10">
        <f>IFERROR(IF(INDEX(Dados!$K$2:$K$73,MATCH($A8&amp;"|"&amp;C$5,Dados!$A$2:$A$73,0))="","",INDEX(Dados!$K$2:$K$73,MATCH($A8&amp;"|"&amp;C$5,Dados!$A$2:$A$73,0))),"")</f>
        <v>1.1618133484790909E-3</v>
      </c>
      <c r="D8" s="10">
        <f>IFERROR(IF(INDEX(Dados!$K$2:$K$73,MATCH($A8&amp;"|"&amp;D$5,Dados!$A$2:$A$73,0))="","",INDEX(Dados!$K$2:$K$73,MATCH($A8&amp;"|"&amp;D$5,Dados!$A$2:$A$73,0))),"")</f>
        <v>1.1324303014538337E-3</v>
      </c>
      <c r="E8" s="10">
        <f>IFERROR(IF(INDEX(Dados!$K$2:$K$73,MATCH($A8&amp;"|"&amp;E$5,Dados!$A$2:$A$73,0))="","",INDEX(Dados!$K$2:$K$73,MATCH($A8&amp;"|"&amp;E$5,Dados!$A$2:$A$73,0))),"")</f>
        <v>1.2254357128225037E-3</v>
      </c>
      <c r="F8" s="10">
        <f>IFERROR(IF(INDEX(Dados!$K$2:$K$73,MATCH($A8&amp;"|"&amp;F$5,Dados!$A$2:$A$73,0))="","",INDEX(Dados!$K$2:$K$73,MATCH($A8&amp;"|"&amp;F$5,Dados!$A$2:$A$73,0))),"")</f>
        <v>1.2932387265280067E-3</v>
      </c>
      <c r="G8" s="10">
        <f>IFERROR(IF(INDEX(Dados!$K$2:$K$73,MATCH($A8&amp;"|"&amp;G$5,Dados!$A$2:$A$73,0))="","",INDEX(Dados!$K$2:$K$73,MATCH($A8&amp;"|"&amp;G$5,Dados!$A$2:$A$73,0))),"")</f>
        <v>1.5318716451158437E-3</v>
      </c>
      <c r="H8" s="10">
        <f>IFERROR(IF(INDEX(Dados!$K$2:$K$73,MATCH($A8&amp;"|"&amp;H$5,Dados!$A$2:$A$73,0))="","",INDEX(Dados!$K$2:$K$73,MATCH($A8&amp;"|"&amp;H$5,Dados!$A$2:$A$73,0))),"")</f>
        <v>1.6083207184865958E-3</v>
      </c>
      <c r="I8" s="10" t="str">
        <f>IFERROR(IF(INDEX(Dados!$K$2:$K$73,MATCH($A8&amp;"|"&amp;I$5,Dados!$A$2:$A$73,0))="","",INDEX(Dados!$K$2:$K$73,MATCH($A8&amp;"|"&amp;I$5,Dados!$A$2:$A$73,0))),"")</f>
        <v/>
      </c>
      <c r="J8" s="10" t="str">
        <f>IFERROR(IF(INDEX(Dados!$K$2:$K$73,MATCH($A8&amp;"|"&amp;J$5,Dados!$A$2:$A$73,0))="","",INDEX(Dados!$K$2:$K$73,MATCH($A8&amp;"|"&amp;J$5,Dados!$A$2:$A$73,0))),"")</f>
        <v/>
      </c>
      <c r="K8" s="10" t="str">
        <f>IFERROR(IF(INDEX(Dados!$N$2:$N$73,MATCH($A8&amp;"|"&amp;J$5,Dados!$A$2:$A$73,0))=0,"—",INDEX(Dados!$N$2:$N$73,MATCH($A8&amp;"|"&amp;J$5,Dados!$A$2:$A$73,0))),"—")</f>
        <v>—</v>
      </c>
      <c r="L8" s="9" t="str">
        <f>IFERROR(IF(INDEX(Dados!$T$2:$T$73,MATCH($A8&amp;"|"&amp;J$5,Dados!$A$2:$A$73,0))="","—",INDEX(Dados!$T$2:$T$73,MATCH($A8&amp;"|"&amp;J$5,Dados!$A$2:$A$73,0))),"—")</f>
        <v>Sem dado</v>
      </c>
    </row>
    <row r="9" spans="1:12" x14ac:dyDescent="0.25">
      <c r="A9" s="8" t="s">
        <v>20</v>
      </c>
      <c r="B9" s="9" t="s">
        <v>18</v>
      </c>
      <c r="C9" s="10">
        <f>IFERROR(IF(INDEX(Dados!$K$2:$K$73,MATCH($A9&amp;"|"&amp;C$5,Dados!$A$2:$A$73,0))="","",INDEX(Dados!$K$2:$K$73,MATCH($A9&amp;"|"&amp;C$5,Dados!$A$2:$A$73,0))),"")</f>
        <v>4.6893626999720535E-4</v>
      </c>
      <c r="D9" s="10">
        <f>IFERROR(IF(INDEX(Dados!$K$2:$K$73,MATCH($A9&amp;"|"&amp;D$5,Dados!$A$2:$A$73,0))="","",INDEX(Dados!$K$2:$K$73,MATCH($A9&amp;"|"&amp;D$5,Dados!$A$2:$A$73,0))),"")</f>
        <v>4.7716077456047334E-4</v>
      </c>
      <c r="E9" s="10">
        <f>IFERROR(IF(INDEX(Dados!$K$2:$K$73,MATCH($A9&amp;"|"&amp;E$5,Dados!$A$2:$A$73,0))="","",INDEX(Dados!$K$2:$K$73,MATCH($A9&amp;"|"&amp;E$5,Dados!$A$2:$A$73,0))),"")</f>
        <v>4.9526973364326127E-4</v>
      </c>
      <c r="F9" s="10">
        <f>IFERROR(IF(INDEX(Dados!$K$2:$K$73,MATCH($A9&amp;"|"&amp;F$5,Dados!$A$2:$A$73,0))="","",INDEX(Dados!$K$2:$K$73,MATCH($A9&amp;"|"&amp;F$5,Dados!$A$2:$A$73,0))),"")</f>
        <v>5.1031513457376674E-4</v>
      </c>
      <c r="G9" s="10">
        <f>IFERROR(IF(INDEX(Dados!$K$2:$K$73,MATCH($A9&amp;"|"&amp;G$5,Dados!$A$2:$A$73,0))="","",INDEX(Dados!$K$2:$K$73,MATCH($A9&amp;"|"&amp;G$5,Dados!$A$2:$A$73,0))),"")</f>
        <v>5.0827891407687943E-4</v>
      </c>
      <c r="H9" s="10">
        <f>IFERROR(IF(INDEX(Dados!$K$2:$K$73,MATCH($A9&amp;"|"&amp;H$5,Dados!$A$2:$A$73,0))="","",INDEX(Dados!$K$2:$K$73,MATCH($A9&amp;"|"&amp;H$5,Dados!$A$2:$A$73,0))),"")</f>
        <v>5.3971499449929916E-4</v>
      </c>
      <c r="I9" s="10" t="str">
        <f>IFERROR(IF(INDEX(Dados!$K$2:$K$73,MATCH($A9&amp;"|"&amp;I$5,Dados!$A$2:$A$73,0))="","",INDEX(Dados!$K$2:$K$73,MATCH($A9&amp;"|"&amp;I$5,Dados!$A$2:$A$73,0))),"")</f>
        <v/>
      </c>
      <c r="J9" s="10" t="str">
        <f>IFERROR(IF(INDEX(Dados!$K$2:$K$73,MATCH($A9&amp;"|"&amp;J$5,Dados!$A$2:$A$73,0))="","",INDEX(Dados!$K$2:$K$73,MATCH($A9&amp;"|"&amp;J$5,Dados!$A$2:$A$73,0))),"")</f>
        <v/>
      </c>
      <c r="K9" s="10" t="str">
        <f>IFERROR(IF(INDEX(Dados!$N$2:$N$73,MATCH($A9&amp;"|"&amp;J$5,Dados!$A$2:$A$73,0))=0,"—",INDEX(Dados!$N$2:$N$73,MATCH($A9&amp;"|"&amp;J$5,Dados!$A$2:$A$73,0))),"—")</f>
        <v>—</v>
      </c>
      <c r="L9" s="9" t="str">
        <f>IFERROR(IF(INDEX(Dados!$T$2:$T$73,MATCH($A9&amp;"|"&amp;J$5,Dados!$A$2:$A$73,0))="","—",INDEX(Dados!$T$2:$T$73,MATCH($A9&amp;"|"&amp;J$5,Dados!$A$2:$A$73,0))),"—")</f>
        <v>Sem dado</v>
      </c>
    </row>
    <row r="10" spans="1:12" x14ac:dyDescent="0.25">
      <c r="A10" s="8" t="s">
        <v>21</v>
      </c>
      <c r="B10" s="9" t="s">
        <v>22</v>
      </c>
      <c r="C10" s="10">
        <f>IFERROR(IF(INDEX(Dados!$K$2:$K$73,MATCH($A10&amp;"|"&amp;C$5,Dados!$A$2:$A$73,0))="","",INDEX(Dados!$K$2:$K$73,MATCH($A10&amp;"|"&amp;C$5,Dados!$A$2:$A$73,0))),"")</f>
        <v>3.5681260057937647E-2</v>
      </c>
      <c r="D10" s="10">
        <f>IFERROR(IF(INDEX(Dados!$K$2:$K$73,MATCH($A10&amp;"|"&amp;D$5,Dados!$A$2:$A$73,0))="","",INDEX(Dados!$K$2:$K$73,MATCH($A10&amp;"|"&amp;D$5,Dados!$A$2:$A$73,0))),"")</f>
        <v>3.6447159778073904E-2</v>
      </c>
      <c r="E10" s="10">
        <f>IFERROR(IF(INDEX(Dados!$K$2:$K$73,MATCH($A10&amp;"|"&amp;E$5,Dados!$A$2:$A$73,0))="","",INDEX(Dados!$K$2:$K$73,MATCH($A10&amp;"|"&amp;E$5,Dados!$A$2:$A$73,0))),"")</f>
        <v>3.877094206443036E-2</v>
      </c>
      <c r="F10" s="10">
        <f>IFERROR(IF(INDEX(Dados!$K$2:$K$73,MATCH($A10&amp;"|"&amp;F$5,Dados!$A$2:$A$73,0))="","",INDEX(Dados!$K$2:$K$73,MATCH($A10&amp;"|"&amp;F$5,Dados!$A$2:$A$73,0))),"")</f>
        <v>4.105319556397103E-2</v>
      </c>
      <c r="G10" s="10">
        <f>IFERROR(IF(INDEX(Dados!$K$2:$K$73,MATCH($A10&amp;"|"&amp;G$5,Dados!$A$2:$A$73,0))="","",INDEX(Dados!$K$2:$K$73,MATCH($A10&amp;"|"&amp;G$5,Dados!$A$2:$A$73,0))),"")</f>
        <v>4.059407536476152E-2</v>
      </c>
      <c r="H10" s="10">
        <f>IFERROR(IF(INDEX(Dados!$K$2:$K$73,MATCH($A10&amp;"|"&amp;H$5,Dados!$A$2:$A$73,0))="","",INDEX(Dados!$K$2:$K$73,MATCH($A10&amp;"|"&amp;H$5,Dados!$A$2:$A$73,0))),"")</f>
        <v>3.9306711991061193E-2</v>
      </c>
      <c r="I10" s="10">
        <f>IFERROR(IF(INDEX(Dados!$K$2:$K$73,MATCH($A10&amp;"|"&amp;I$5,Dados!$A$2:$A$73,0))="","",INDEX(Dados!$K$2:$K$73,MATCH($A10&amp;"|"&amp;I$5,Dados!$A$2:$A$73,0))),"")</f>
        <v>3.8899015624942933E-2</v>
      </c>
      <c r="J10" s="10">
        <f>IFERROR(IF(INDEX(Dados!$K$2:$K$73,MATCH($A10&amp;"|"&amp;J$5,Dados!$A$2:$A$73,0))="","",INDEX(Dados!$K$2:$K$73,MATCH($A10&amp;"|"&amp;J$5,Dados!$A$2:$A$73,0))),"")</f>
        <v>3.8703351300354141E-2</v>
      </c>
      <c r="K10" s="10">
        <f>IFERROR(IF(INDEX(Dados!$N$2:$N$73,MATCH($A10&amp;"|"&amp;J$5,Dados!$A$2:$A$73,0))=0,"—",INDEX(Dados!$N$2:$N$73,MATCH($A10&amp;"|"&amp;J$5,Dados!$A$2:$A$73,0))),"—")</f>
        <v>0.06</v>
      </c>
      <c r="L10" s="9" t="str">
        <f>IFERROR(IF(INDEX(Dados!$T$2:$T$73,MATCH($A10&amp;"|"&amp;J$5,Dados!$A$2:$A$73,0))="","—",INDEX(Dados!$T$2:$T$73,MATCH($A10&amp;"|"&amp;J$5,Dados!$A$2:$A$73,0))),"—")</f>
        <v>Abaixo do limite de alerta</v>
      </c>
    </row>
    <row r="11" spans="1:12" x14ac:dyDescent="0.25">
      <c r="A11" s="8" t="s">
        <v>23</v>
      </c>
      <c r="B11" s="9" t="s">
        <v>23</v>
      </c>
      <c r="C11" s="10">
        <f>IFERROR(IF(INDEX(Dados!$K$2:$K$73,MATCH($A11&amp;"|"&amp;C$5,Dados!$A$2:$A$73,0))="","",INDEX(Dados!$K$2:$K$73,MATCH($A11&amp;"|"&amp;C$5,Dados!$A$2:$A$73,0))),"")</f>
        <v>6.2563231191169058E-3</v>
      </c>
      <c r="D11" s="10">
        <f>IFERROR(IF(INDEX(Dados!$K$2:$K$73,MATCH($A11&amp;"|"&amp;D$5,Dados!$A$2:$A$73,0))="","",INDEX(Dados!$K$2:$K$73,MATCH($A11&amp;"|"&amp;D$5,Dados!$A$2:$A$73,0))),"")</f>
        <v>6.2588774853033265E-3</v>
      </c>
      <c r="E11" s="10">
        <f>IFERROR(IF(INDEX(Dados!$K$2:$K$73,MATCH($A11&amp;"|"&amp;E$5,Dados!$A$2:$A$73,0))="","",INDEX(Dados!$K$2:$K$73,MATCH($A11&amp;"|"&amp;E$5,Dados!$A$2:$A$73,0))),"")</f>
        <v>6.5254605438087353E-3</v>
      </c>
      <c r="F11" s="10">
        <f>IFERROR(IF(INDEX(Dados!$K$2:$K$73,MATCH($A11&amp;"|"&amp;F$5,Dados!$A$2:$A$73,0))="","",INDEX(Dados!$K$2:$K$73,MATCH($A11&amp;"|"&amp;F$5,Dados!$A$2:$A$73,0))),"")</f>
        <v>6.8758670931456448E-3</v>
      </c>
      <c r="G11" s="10">
        <f>IFERROR(IF(INDEX(Dados!$K$2:$K$73,MATCH($A11&amp;"|"&amp;G$5,Dados!$A$2:$A$73,0))="","",INDEX(Dados!$K$2:$K$73,MATCH($A11&amp;"|"&amp;G$5,Dados!$A$2:$A$73,0))),"")</f>
        <v>6.9565030660348427E-3</v>
      </c>
      <c r="H11" s="10">
        <f>IFERROR(IF(INDEX(Dados!$K$2:$K$73,MATCH($A11&amp;"|"&amp;H$5,Dados!$A$2:$A$73,0))="","",INDEX(Dados!$K$2:$K$73,MATCH($A11&amp;"|"&amp;H$5,Dados!$A$2:$A$73,0))),"")</f>
        <v>6.9213595132028459E-3</v>
      </c>
      <c r="I11" s="10">
        <f>IFERROR(IF(INDEX(Dados!$K$2:$K$73,MATCH($A11&amp;"|"&amp;I$5,Dados!$A$2:$A$73,0))="","",INDEX(Dados!$K$2:$K$73,MATCH($A11&amp;"|"&amp;I$5,Dados!$A$2:$A$73,0))),"")</f>
        <v>8.4909449460886192E-3</v>
      </c>
      <c r="J11" s="10">
        <f>IFERROR(IF(INDEX(Dados!$K$2:$K$73,MATCH($A11&amp;"|"&amp;J$5,Dados!$A$2:$A$73,0))="","",INDEX(Dados!$K$2:$K$73,MATCH($A11&amp;"|"&amp;J$5,Dados!$A$2:$A$73,0))),"")</f>
        <v>8.5422644182629216E-3</v>
      </c>
      <c r="K11" s="10">
        <f>IFERROR(IF(INDEX(Dados!$N$2:$N$73,MATCH($A11&amp;"|"&amp;J$5,Dados!$A$2:$A$73,0))=0,"—",INDEX(Dados!$N$2:$N$73,MATCH($A11&amp;"|"&amp;J$5,Dados!$A$2:$A$73,0))),"—")</f>
        <v>1.1599999999999999E-2</v>
      </c>
      <c r="L11" s="9" t="str">
        <f>IFERROR(IF(INDEX(Dados!$T$2:$T$73,MATCH($A11&amp;"|"&amp;J$5,Dados!$A$2:$A$73,0))="","—",INDEX(Dados!$T$2:$T$73,MATCH($A11&amp;"|"&amp;J$5,Dados!$A$2:$A$73,0))),"—")</f>
        <v>Abaixo do limite de alerta</v>
      </c>
    </row>
    <row r="12" spans="1:12" x14ac:dyDescent="0.25">
      <c r="A12" s="8" t="s">
        <v>24</v>
      </c>
      <c r="B12" s="9" t="s">
        <v>23</v>
      </c>
      <c r="C12" s="10">
        <f>IFERROR(IF(INDEX(Dados!$K$2:$K$73,MATCH($A12&amp;"|"&amp;C$5,Dados!$A$2:$A$73,0))="","",INDEX(Dados!$K$2:$K$73,MATCH($A12&amp;"|"&amp;C$5,Dados!$A$2:$A$73,0))),"")</f>
        <v>4.168939413874315E-3</v>
      </c>
      <c r="D12" s="10">
        <f>IFERROR(IF(INDEX(Dados!$K$2:$K$73,MATCH($A12&amp;"|"&amp;D$5,Dados!$A$2:$A$73,0))="","",INDEX(Dados!$K$2:$K$73,MATCH($A12&amp;"|"&amp;D$5,Dados!$A$2:$A$73,0))),"")</f>
        <v>4.1821080055560551E-3</v>
      </c>
      <c r="E12" s="10">
        <f>IFERROR(IF(INDEX(Dados!$K$2:$K$73,MATCH($A12&amp;"|"&amp;E$5,Dados!$A$2:$A$73,0))="","",INDEX(Dados!$K$2:$K$73,MATCH($A12&amp;"|"&amp;E$5,Dados!$A$2:$A$73,0))),"")</f>
        <v>4.3545281129887545E-3</v>
      </c>
      <c r="F12" s="10">
        <f>IFERROR(IF(INDEX(Dados!$K$2:$K$73,MATCH($A12&amp;"|"&amp;F$5,Dados!$A$2:$A$73,0))="","",INDEX(Dados!$K$2:$K$73,MATCH($A12&amp;"|"&amp;F$5,Dados!$A$2:$A$73,0))),"")</f>
        <v>4.5617719610214396E-3</v>
      </c>
      <c r="G12" s="10">
        <f>IFERROR(IF(INDEX(Dados!$K$2:$K$73,MATCH($A12&amp;"|"&amp;G$5,Dados!$A$2:$A$73,0))="","",INDEX(Dados!$K$2:$K$73,MATCH($A12&amp;"|"&amp;G$5,Dados!$A$2:$A$73,0))),"")</f>
        <v>4.6100872399506285E-3</v>
      </c>
      <c r="H12" s="10">
        <f>IFERROR(IF(INDEX(Dados!$K$2:$K$73,MATCH($A12&amp;"|"&amp;H$5,Dados!$A$2:$A$73,0))="","",INDEX(Dados!$K$2:$K$73,MATCH($A12&amp;"|"&amp;H$5,Dados!$A$2:$A$73,0))),"")</f>
        <v>4.6857065489305993E-3</v>
      </c>
      <c r="I12" s="10">
        <f>IFERROR(IF(INDEX(Dados!$K$2:$K$73,MATCH($A12&amp;"|"&amp;I$5,Dados!$A$2:$A$73,0))="","",INDEX(Dados!$K$2:$K$73,MATCH($A12&amp;"|"&amp;I$5,Dados!$A$2:$A$73,0))),"")</f>
        <v>5.2034616628255899E-3</v>
      </c>
      <c r="J12" s="10">
        <f>IFERROR(IF(INDEX(Dados!$K$2:$K$73,MATCH($A12&amp;"|"&amp;J$5,Dados!$A$2:$A$73,0))="","",INDEX(Dados!$K$2:$K$73,MATCH($A12&amp;"|"&amp;J$5,Dados!$A$2:$A$73,0))),"")</f>
        <v>5.3830616572440662E-3</v>
      </c>
      <c r="K12" s="10">
        <f>IFERROR(IF(INDEX(Dados!$N$2:$N$73,MATCH($A12&amp;"|"&amp;J$5,Dados!$A$2:$A$73,0))=0,"—",INDEX(Dados!$N$2:$N$73,MATCH($A12&amp;"|"&amp;J$5,Dados!$A$2:$A$73,0))),"—")</f>
        <v>6.7999999999999996E-3</v>
      </c>
      <c r="L12" s="9" t="str">
        <f>IFERROR(IF(INDEX(Dados!$T$2:$T$73,MATCH($A12&amp;"|"&amp;J$5,Dados!$A$2:$A$73,0))="","—",INDEX(Dados!$T$2:$T$73,MATCH($A12&amp;"|"&amp;J$5,Dados!$A$2:$A$73,0))),"—")</f>
        <v>Abaixo do limite de alerta</v>
      </c>
    </row>
    <row r="13" spans="1:12" x14ac:dyDescent="0.25">
      <c r="A13" s="8" t="s">
        <v>25</v>
      </c>
      <c r="B13" s="9" t="s">
        <v>25</v>
      </c>
      <c r="C13" s="10">
        <f>IFERROR(IF(INDEX(Dados!$K$2:$K$73,MATCH($A13&amp;"|"&amp;C$5,Dados!$A$2:$A$73,0))="","",INDEX(Dados!$K$2:$K$73,MATCH($A13&amp;"|"&amp;C$5,Dados!$A$2:$A$73,0))),"")</f>
        <v>5.6988489091220878E-3</v>
      </c>
      <c r="D13" s="10">
        <f>IFERROR(IF(INDEX(Dados!$K$2:$K$73,MATCH($A13&amp;"|"&amp;D$5,Dados!$A$2:$A$73,0))="","",INDEX(Dados!$K$2:$K$73,MATCH($A13&amp;"|"&amp;D$5,Dados!$A$2:$A$73,0))),"")</f>
        <v>5.7138602365677223E-3</v>
      </c>
      <c r="E13" s="10">
        <f>IFERROR(IF(INDEX(Dados!$K$2:$K$73,MATCH($A13&amp;"|"&amp;E$5,Dados!$A$2:$A$73,0))="","",INDEX(Dados!$K$2:$K$73,MATCH($A13&amp;"|"&amp;E$5,Dados!$A$2:$A$73,0))),"")</f>
        <v>6.0499457404423152E-3</v>
      </c>
      <c r="F13" s="10">
        <f>IFERROR(IF(INDEX(Dados!$K$2:$K$73,MATCH($A13&amp;"|"&amp;F$5,Dados!$A$2:$A$73,0))="","",INDEX(Dados!$K$2:$K$73,MATCH($A13&amp;"|"&amp;F$5,Dados!$A$2:$A$73,0))),"")</f>
        <v>6.0761784614659182E-3</v>
      </c>
      <c r="G13" s="10">
        <f>IFERROR(IF(INDEX(Dados!$K$2:$K$73,MATCH($A13&amp;"|"&amp;G$5,Dados!$A$2:$A$73,0))="","",INDEX(Dados!$K$2:$K$73,MATCH($A13&amp;"|"&amp;G$5,Dados!$A$2:$A$73,0))),"")</f>
        <v>5.8863325562870245E-3</v>
      </c>
      <c r="H13" s="10">
        <f>IFERROR(IF(INDEX(Dados!$K$2:$K$73,MATCH($A13&amp;"|"&amp;H$5,Dados!$A$2:$A$73,0))="","",INDEX(Dados!$K$2:$K$73,MATCH($A13&amp;"|"&amp;H$5,Dados!$A$2:$A$73,0))),"")</f>
        <v>5.8634291339367227E-3</v>
      </c>
      <c r="I13" s="10">
        <f>IFERROR(IF(INDEX(Dados!$K$2:$K$73,MATCH($A13&amp;"|"&amp;I$5,Dados!$A$2:$A$73,0))="","",INDEX(Dados!$K$2:$K$73,MATCH($A13&amp;"|"&amp;I$5,Dados!$A$2:$A$73,0))),"")</f>
        <v>5.7137058720422157E-3</v>
      </c>
      <c r="J13" s="10">
        <f>IFERROR(IF(INDEX(Dados!$K$2:$K$73,MATCH($A13&amp;"|"&amp;J$5,Dados!$A$2:$A$73,0))="","",INDEX(Dados!$K$2:$K$73,MATCH($A13&amp;"|"&amp;J$5,Dados!$A$2:$A$73,0))),"")</f>
        <v>5.8886401012557361E-3</v>
      </c>
      <c r="K13" s="10" t="str">
        <f>IFERROR(IF(INDEX(Dados!$N$2:$N$73,MATCH($A13&amp;"|"&amp;J$5,Dados!$A$2:$A$73,0))=0,"—",INDEX(Dados!$N$2:$N$73,MATCH($A13&amp;"|"&amp;J$5,Dados!$A$2:$A$73,0))),"—")</f>
        <v>—</v>
      </c>
      <c r="L13" s="9" t="str">
        <f>IFERROR(IF(INDEX(Dados!$T$2:$T$73,MATCH($A13&amp;"|"&amp;J$5,Dados!$A$2:$A$73,0))="","—",INDEX(Dados!$T$2:$T$73,MATCH($A13&amp;"|"&amp;J$5,Dados!$A$2:$A$73,0))),"—")</f>
        <v>Sem limite próprio na LRF</v>
      </c>
    </row>
    <row r="14" spans="1:12" x14ac:dyDescent="0.25">
      <c r="A14" s="8" t="s">
        <v>26</v>
      </c>
      <c r="B14" s="9" t="s">
        <v>26</v>
      </c>
      <c r="C14" s="10">
        <f>IFERROR(IF(INDEX(Dados!$K$2:$K$73,MATCH($A14&amp;"|"&amp;C$5,Dados!$A$2:$A$73,0))="","",INDEX(Dados!$K$2:$K$73,MATCH($A14&amp;"|"&amp;C$5,Dados!$A$2:$A$73,0))),"")</f>
        <v>1.4236019279088109E-2</v>
      </c>
      <c r="D14" s="10">
        <f>IFERROR(IF(INDEX(Dados!$K$2:$K$73,MATCH($A14&amp;"|"&amp;D$5,Dados!$A$2:$A$73,0))="","",INDEX(Dados!$K$2:$K$73,MATCH($A14&amp;"|"&amp;D$5,Dados!$A$2:$A$73,0))),"")</f>
        <v>1.509339070548301E-2</v>
      </c>
      <c r="E14" s="10">
        <f>IFERROR(IF(INDEX(Dados!$K$2:$K$73,MATCH($A14&amp;"|"&amp;E$5,Dados!$A$2:$A$73,0))="","",INDEX(Dados!$K$2:$K$73,MATCH($A14&amp;"|"&amp;E$5,Dados!$A$2:$A$73,0))),"")</f>
        <v>1.6128180796071201E-2</v>
      </c>
      <c r="F14" s="10">
        <f>IFERROR(IF(INDEX(Dados!$K$2:$K$73,MATCH($A14&amp;"|"&amp;F$5,Dados!$A$2:$A$73,0))="","",INDEX(Dados!$K$2:$K$73,MATCH($A14&amp;"|"&amp;F$5,Dados!$A$2:$A$73,0))),"")</f>
        <v>1.7427848633178481E-2</v>
      </c>
      <c r="G14" s="10">
        <f>IFERROR(IF(INDEX(Dados!$K$2:$K$73,MATCH($A14&amp;"|"&amp;G$5,Dados!$A$2:$A$73,0))="","",INDEX(Dados!$K$2:$K$73,MATCH($A14&amp;"|"&amp;G$5,Dados!$A$2:$A$73,0))),"")</f>
        <v>1.7524061522549775E-2</v>
      </c>
      <c r="H14" s="10">
        <f>IFERROR(IF(INDEX(Dados!$K$2:$K$73,MATCH($A14&amp;"|"&amp;H$5,Dados!$A$2:$A$73,0))="","",INDEX(Dados!$K$2:$K$73,MATCH($A14&amp;"|"&amp;H$5,Dados!$A$2:$A$73,0))),"")</f>
        <v>1.6730027491903495E-2</v>
      </c>
      <c r="I14" s="10">
        <f>IFERROR(IF(INDEX(Dados!$K$2:$K$73,MATCH($A14&amp;"|"&amp;I$5,Dados!$A$2:$A$73,0))="","",INDEX(Dados!$K$2:$K$73,MATCH($A14&amp;"|"&amp;I$5,Dados!$A$2:$A$73,0))),"")</f>
        <v>1.646534589504969E-2</v>
      </c>
      <c r="J14" s="10">
        <f>IFERROR(IF(INDEX(Dados!$K$2:$K$73,MATCH($A14&amp;"|"&amp;J$5,Dados!$A$2:$A$73,0))="","",INDEX(Dados!$K$2:$K$73,MATCH($A14&amp;"|"&amp;J$5,Dados!$A$2:$A$73,0))),"")</f>
        <v>1.7600719951897947E-2</v>
      </c>
      <c r="K14" s="10">
        <f>IFERROR(IF(INDEX(Dados!$N$2:$N$73,MATCH($A14&amp;"|"&amp;J$5,Dados!$A$2:$A$73,0))=0,"—",INDEX(Dados!$N$2:$N$73,MATCH($A14&amp;"|"&amp;J$5,Dados!$A$2:$A$73,0))),"—")</f>
        <v>0.02</v>
      </c>
      <c r="L14" s="9" t="str">
        <f>IFERROR(IF(INDEX(Dados!$T$2:$T$73,MATCH($A14&amp;"|"&amp;J$5,Dados!$A$2:$A$73,0))="","—",INDEX(Dados!$T$2:$T$73,MATCH($A14&amp;"|"&amp;J$5,Dados!$A$2:$A$73,0))),"—")</f>
        <v>Abaixo do limite de alerta</v>
      </c>
    </row>
    <row r="15" spans="1:12" x14ac:dyDescent="0.25">
      <c r="A15" s="3" t="s">
        <v>27</v>
      </c>
      <c r="B15" s="11" t="s">
        <v>28</v>
      </c>
      <c r="C15" s="12">
        <f>IFERROR(INDEX(Dados!$J$2:$J$73,MATCH("Governo|"&amp;C$5,Dados!$A$2:$A$73,0))/1000000,"")</f>
        <v>38683.018377120003</v>
      </c>
      <c r="D15" s="12">
        <f>IFERROR(INDEX(Dados!$J$2:$J$73,MATCH("Governo|"&amp;D$5,Dados!$A$2:$A$73,0))/1000000,"")</f>
        <v>40291.613780929998</v>
      </c>
      <c r="E15" s="12">
        <f>IFERROR(INDEX(Dados!$J$2:$J$73,MATCH("Governo|"&amp;E$5,Dados!$A$2:$A$73,0))/1000000,"")</f>
        <v>40972.569817110001</v>
      </c>
      <c r="F15" s="12">
        <f>IFERROR(INDEX(Dados!$J$2:$J$73,MATCH("Governo|"&amp;F$5,Dados!$A$2:$A$73,0))/1000000,"")</f>
        <v>41062.907173040003</v>
      </c>
      <c r="G15" s="12">
        <f>IFERROR(INDEX(Dados!$J$2:$J$73,MATCH("Governo|"&amp;G$5,Dados!$A$2:$A$73,0))/1000000,"")</f>
        <v>42830.906825120001</v>
      </c>
      <c r="H15" s="12">
        <f>IFERROR(INDEX(Dados!$J$2:$J$73,MATCH("Governo|"&amp;H$5,Dados!$A$2:$A$73,0))/1000000,"")</f>
        <v>44657.312944140001</v>
      </c>
      <c r="I15" s="12">
        <f>IFERROR(INDEX(Dados!$J$2:$J$73,MATCH("Governo|"&amp;I$5,Dados!$A$2:$A$73,0))/1000000,"")</f>
        <v>46711.64873501</v>
      </c>
      <c r="J15" s="12">
        <f>IFERROR(INDEX(Dados!$J$2:$J$73,MATCH("Governo|"&amp;J$5,Dados!$A$2:$A$73,0))/1000000,"")</f>
        <v>46579.377916389996</v>
      </c>
    </row>
    <row r="17" spans="1:10" x14ac:dyDescent="0.25">
      <c r="A17" s="3" t="s">
        <v>29</v>
      </c>
    </row>
    <row r="18" spans="1:10" ht="44.1" customHeight="1" x14ac:dyDescent="0.25">
      <c r="A18" s="4" t="s">
        <v>3</v>
      </c>
      <c r="B18" s="4" t="s">
        <v>4</v>
      </c>
      <c r="C18" s="4" t="s">
        <v>5</v>
      </c>
      <c r="D18" s="4" t="s">
        <v>6</v>
      </c>
      <c r="E18" s="4" t="s">
        <v>7</v>
      </c>
      <c r="F18" s="4" t="s">
        <v>8</v>
      </c>
      <c r="G18" s="4" t="s">
        <v>9</v>
      </c>
      <c r="H18" s="4" t="s">
        <v>10</v>
      </c>
      <c r="I18" s="4" t="s">
        <v>11</v>
      </c>
      <c r="J18" s="4" t="s">
        <v>12</v>
      </c>
    </row>
    <row r="19" spans="1:10" x14ac:dyDescent="0.25">
      <c r="A19" s="5" t="s">
        <v>15</v>
      </c>
      <c r="B19" s="6" t="s">
        <v>16</v>
      </c>
      <c r="C19" s="13">
        <f>IFERROR(IF(INDEX(Dados!$I$2:$I$73,MATCH($A19&amp;"|"&amp;C$18,Dados!$A$2:$A$73,0))="","",INDEX(Dados!$I$2:$I$73,MATCH($A19&amp;"|"&amp;C$18,Dados!$A$2:$A$73,0))/1000000),"")</f>
        <v>16102.26274785</v>
      </c>
      <c r="D19" s="13">
        <f>IFERROR(IF(INDEX(Dados!$I$2:$I$73,MATCH($A19&amp;"|"&amp;D$18,Dados!$A$2:$A$73,0))="","",INDEX(Dados!$I$2:$I$73,MATCH($A19&amp;"|"&amp;D$18,Dados!$A$2:$A$73,0))/1000000),"")</f>
        <v>16511.697830839999</v>
      </c>
      <c r="E19" s="13">
        <f>IFERROR(IF(INDEX(Dados!$I$2:$I$73,MATCH($A19&amp;"|"&amp;E$18,Dados!$A$2:$A$73,0))="","",INDEX(Dados!$I$2:$I$73,MATCH($A19&amp;"|"&amp;E$18,Dados!$A$2:$A$73,0))/1000000),"")</f>
        <v>16615.520322159999</v>
      </c>
      <c r="F19" s="13">
        <f>IFERROR(IF(INDEX(Dados!$I$2:$I$73,MATCH($A19&amp;"|"&amp;F$18,Dados!$A$2:$A$73,0))="","",INDEX(Dados!$I$2:$I$73,MATCH($A19&amp;"|"&amp;F$18,Dados!$A$2:$A$73,0))/1000000),"")</f>
        <v>16643.903461219998</v>
      </c>
      <c r="G19" s="13">
        <f>IFERROR(IF(INDEX(Dados!$I$2:$I$73,MATCH($A19&amp;"|"&amp;G$18,Dados!$A$2:$A$73,0))="","",INDEX(Dados!$I$2:$I$73,MATCH($A19&amp;"|"&amp;G$18,Dados!$A$2:$A$73,0))/1000000),"")</f>
        <v>16908.22250068</v>
      </c>
      <c r="H19" s="13">
        <f>IFERROR(IF(INDEX(Dados!$I$2:$I$73,MATCH($A19&amp;"|"&amp;H$18,Dados!$A$2:$A$73,0))="","",INDEX(Dados!$I$2:$I$73,MATCH($A19&amp;"|"&amp;H$18,Dados!$A$2:$A$73,0))/1000000),"")</f>
        <v>17001.18116013</v>
      </c>
      <c r="I19" s="13">
        <f>IFERROR(IF(INDEX(Dados!$I$2:$I$73,MATCH($A19&amp;"|"&amp;I$18,Dados!$A$2:$A$73,0))="","",INDEX(Dados!$I$2:$I$73,MATCH($A19&amp;"|"&amp;I$18,Dados!$A$2:$A$73,0))/1000000),"")</f>
        <v>17152.541282890001</v>
      </c>
      <c r="J19" s="13">
        <f>IFERROR(IF(INDEX(Dados!$I$2:$I$73,MATCH($A19&amp;"|"&amp;J$18,Dados!$A$2:$A$73,0))="","",INDEX(Dados!$I$2:$I$73,MATCH($A19&amp;"|"&amp;J$18,Dados!$A$2:$A$73,0))/1000000),"")</f>
        <v>17530.204283610001</v>
      </c>
    </row>
    <row r="20" spans="1:10" x14ac:dyDescent="0.25">
      <c r="A20" s="8" t="s">
        <v>17</v>
      </c>
      <c r="B20" s="9" t="s">
        <v>18</v>
      </c>
      <c r="C20" s="14">
        <f>IFERROR(IF(INDEX(Dados!$I$2:$I$73,MATCH($A20&amp;"|"&amp;C$18,Dados!$A$2:$A$73,0))="","",INDEX(Dados!$I$2:$I$73,MATCH($A20&amp;"|"&amp;C$18,Dados!$A$2:$A$73,0))/1000000),"")</f>
        <v>512.24516931999995</v>
      </c>
      <c r="D20" s="14">
        <f>IFERROR(IF(INDEX(Dados!$I$2:$I$73,MATCH($A20&amp;"|"&amp;D$18,Dados!$A$2:$A$73,0))="","",INDEX(Dados!$I$2:$I$73,MATCH($A20&amp;"|"&amp;D$18,Dados!$A$2:$A$73,0))/1000000),"")</f>
        <v>515.12745999000003</v>
      </c>
      <c r="E20" s="14">
        <f>IFERROR(IF(INDEX(Dados!$I$2:$I$73,MATCH($A20&amp;"|"&amp;E$18,Dados!$A$2:$A$73,0))="","",INDEX(Dados!$I$2:$I$73,MATCH($A20&amp;"|"&amp;E$18,Dados!$A$2:$A$73,0))/1000000),"")</f>
        <v>510.74742906</v>
      </c>
      <c r="F20" s="14">
        <f>IFERROR(IF(INDEX(Dados!$I$2:$I$73,MATCH($A20&amp;"|"&amp;F$18,Dados!$A$2:$A$73,0))="","",INDEX(Dados!$I$2:$I$73,MATCH($A20&amp;"|"&amp;F$18,Dados!$A$2:$A$73,0))/1000000),"")</f>
        <v>525.44292027999995</v>
      </c>
      <c r="G20" s="14">
        <f>IFERROR(IF(INDEX(Dados!$I$2:$I$73,MATCH($A20&amp;"|"&amp;G$18,Dados!$A$2:$A$73,0))="","",INDEX(Dados!$I$2:$I$73,MATCH($A20&amp;"|"&amp;G$18,Dados!$A$2:$A$73,0))/1000000),"")</f>
        <v>534.87217291000002</v>
      </c>
      <c r="H20" s="14">
        <f>IFERROR(IF(INDEX(Dados!$I$2:$I$73,MATCH($A20&amp;"|"&amp;H$18,Dados!$A$2:$A$73,0))="","",INDEX(Dados!$I$2:$I$73,MATCH($A20&amp;"|"&amp;H$18,Dados!$A$2:$A$73,0))/1000000),"")</f>
        <v>560.34354995000001</v>
      </c>
      <c r="I20" s="14">
        <f>IFERROR(IF(INDEX(Dados!$I$2:$I$73,MATCH($A20&amp;"|"&amp;I$18,Dados!$A$2:$A$73,0))="","",INDEX(Dados!$I$2:$I$73,MATCH($A20&amp;"|"&amp;I$18,Dados!$A$2:$A$73,0))/1000000),"")</f>
        <v>580.19836419000001</v>
      </c>
      <c r="J20" s="14">
        <f>IFERROR(IF(INDEX(Dados!$I$2:$I$73,MATCH($A20&amp;"|"&amp;J$18,Dados!$A$2:$A$73,0))="","",INDEX(Dados!$I$2:$I$73,MATCH($A20&amp;"|"&amp;J$18,Dados!$A$2:$A$73,0))/1000000),"")</f>
        <v>589.73665641999992</v>
      </c>
    </row>
    <row r="21" spans="1:10" x14ac:dyDescent="0.25">
      <c r="A21" s="8" t="s">
        <v>19</v>
      </c>
      <c r="B21" s="9" t="s">
        <v>18</v>
      </c>
      <c r="C21" s="14">
        <f>IFERROR(IF(INDEX(Dados!$I$2:$I$73,MATCH($A21&amp;"|"&amp;C$18,Dados!$A$2:$A$73,0))="","",INDEX(Dados!$I$2:$I$73,MATCH($A21&amp;"|"&amp;C$18,Dados!$A$2:$A$73,0))/1000000),"")</f>
        <v>44.942447109999996</v>
      </c>
      <c r="D21" s="14">
        <f>IFERROR(IF(INDEX(Dados!$I$2:$I$73,MATCH($A21&amp;"|"&amp;D$18,Dados!$A$2:$A$73,0))="","",INDEX(Dados!$I$2:$I$73,MATCH($A21&amp;"|"&amp;D$18,Dados!$A$2:$A$73,0))/1000000),"")</f>
        <v>45.627444340000004</v>
      </c>
      <c r="E21" s="14">
        <f>IFERROR(IF(INDEX(Dados!$I$2:$I$73,MATCH($A21&amp;"|"&amp;E$18,Dados!$A$2:$A$73,0))="","",INDEX(Dados!$I$2:$I$73,MATCH($A21&amp;"|"&amp;E$18,Dados!$A$2:$A$73,0))/1000000),"")</f>
        <v>50.209250299999994</v>
      </c>
      <c r="F21" s="14">
        <f>IFERROR(IF(INDEX(Dados!$I$2:$I$73,MATCH($A21&amp;"|"&amp;F$18,Dados!$A$2:$A$73,0))="","",INDEX(Dados!$I$2:$I$73,MATCH($A21&amp;"|"&amp;F$18,Dados!$A$2:$A$73,0))/1000000),"")</f>
        <v>53.104141779999999</v>
      </c>
      <c r="G21" s="14">
        <f>IFERROR(IF(INDEX(Dados!$I$2:$I$73,MATCH($A21&amp;"|"&amp;G$18,Dados!$A$2:$A$73,0))="","",INDEX(Dados!$I$2:$I$73,MATCH($A21&amp;"|"&amp;G$18,Dados!$A$2:$A$73,0))/1000000),"")</f>
        <v>65.611451700000003</v>
      </c>
      <c r="H21" s="14">
        <f>IFERROR(IF(INDEX(Dados!$I$2:$I$73,MATCH($A21&amp;"|"&amp;H$18,Dados!$A$2:$A$73,0))="","",INDEX(Dados!$I$2:$I$73,MATCH($A21&amp;"|"&amp;H$18,Dados!$A$2:$A$73,0))/1000000),"")</f>
        <v>71.823281640000005</v>
      </c>
      <c r="I21" s="14" t="str">
        <f>IFERROR(IF(INDEX(Dados!$I$2:$I$73,MATCH($A21&amp;"|"&amp;I$18,Dados!$A$2:$A$73,0))="","",INDEX(Dados!$I$2:$I$73,MATCH($A21&amp;"|"&amp;I$18,Dados!$A$2:$A$73,0))/1000000),"")</f>
        <v/>
      </c>
      <c r="J21" s="14" t="str">
        <f>IFERROR(IF(INDEX(Dados!$I$2:$I$73,MATCH($A21&amp;"|"&amp;J$18,Dados!$A$2:$A$73,0))="","",INDEX(Dados!$I$2:$I$73,MATCH($A21&amp;"|"&amp;J$18,Dados!$A$2:$A$73,0))/1000000),"")</f>
        <v/>
      </c>
    </row>
    <row r="22" spans="1:10" x14ac:dyDescent="0.25">
      <c r="A22" s="8" t="s">
        <v>20</v>
      </c>
      <c r="B22" s="9" t="s">
        <v>18</v>
      </c>
      <c r="C22" s="14">
        <f>IFERROR(IF(INDEX(Dados!$I$2:$I$73,MATCH($A22&amp;"|"&amp;C$18,Dados!$A$2:$A$73,0))="","",INDEX(Dados!$I$2:$I$73,MATCH($A22&amp;"|"&amp;C$18,Dados!$A$2:$A$73,0))/1000000),"")</f>
        <v>18.139870350000002</v>
      </c>
      <c r="D22" s="14">
        <f>IFERROR(IF(INDEX(Dados!$I$2:$I$73,MATCH($A22&amp;"|"&amp;D$18,Dados!$A$2:$A$73,0))="","",INDEX(Dados!$I$2:$I$73,MATCH($A22&amp;"|"&amp;D$18,Dados!$A$2:$A$73,0))/1000000),"")</f>
        <v>19.225577640000001</v>
      </c>
      <c r="E22" s="14">
        <f>IFERROR(IF(INDEX(Dados!$I$2:$I$73,MATCH($A22&amp;"|"&amp;E$18,Dados!$A$2:$A$73,0))="","",INDEX(Dados!$I$2:$I$73,MATCH($A22&amp;"|"&amp;E$18,Dados!$A$2:$A$73,0))/1000000),"")</f>
        <v>20.292473739999998</v>
      </c>
      <c r="F22" s="14">
        <f>IFERROR(IF(INDEX(Dados!$I$2:$I$73,MATCH($A22&amp;"|"&amp;F$18,Dados!$A$2:$A$73,0))="","",INDEX(Dados!$I$2:$I$73,MATCH($A22&amp;"|"&amp;F$18,Dados!$A$2:$A$73,0))/1000000),"")</f>
        <v>20.955023000000001</v>
      </c>
      <c r="G22" s="14">
        <f>IFERROR(IF(INDEX(Dados!$I$2:$I$73,MATCH($A22&amp;"|"&amp;G$18,Dados!$A$2:$A$73,0))="","",INDEX(Dados!$I$2:$I$73,MATCH($A22&amp;"|"&amp;G$18,Dados!$A$2:$A$73,0))/1000000),"")</f>
        <v>21.77004681</v>
      </c>
      <c r="H22" s="14">
        <f>IFERROR(IF(INDEX(Dados!$I$2:$I$73,MATCH($A22&amp;"|"&amp;H$18,Dados!$A$2:$A$73,0))="","",INDEX(Dados!$I$2:$I$73,MATCH($A22&amp;"|"&amp;H$18,Dados!$A$2:$A$73,0))/1000000),"")</f>
        <v>24.102221409999999</v>
      </c>
      <c r="I22" s="14" t="str">
        <f>IFERROR(IF(INDEX(Dados!$I$2:$I$73,MATCH($A22&amp;"|"&amp;I$18,Dados!$A$2:$A$73,0))="","",INDEX(Dados!$I$2:$I$73,MATCH($A22&amp;"|"&amp;I$18,Dados!$A$2:$A$73,0))/1000000),"")</f>
        <v/>
      </c>
      <c r="J22" s="14" t="str">
        <f>IFERROR(IF(INDEX(Dados!$I$2:$I$73,MATCH($A22&amp;"|"&amp;J$18,Dados!$A$2:$A$73,0))="","",INDEX(Dados!$I$2:$I$73,MATCH($A22&amp;"|"&amp;J$18,Dados!$A$2:$A$73,0))/1000000),"")</f>
        <v/>
      </c>
    </row>
    <row r="23" spans="1:10" x14ac:dyDescent="0.25">
      <c r="A23" s="8" t="s">
        <v>21</v>
      </c>
      <c r="B23" s="9" t="s">
        <v>22</v>
      </c>
      <c r="C23" s="14">
        <f>IFERROR(IF(INDEX(Dados!$I$2:$I$73,MATCH($A23&amp;"|"&amp;C$18,Dados!$A$2:$A$73,0))="","",INDEX(Dados!$I$2:$I$73,MATCH($A23&amp;"|"&amp;C$18,Dados!$A$2:$A$73,0))/1000000),"")</f>
        <v>1380.2588385399999</v>
      </c>
      <c r="D23" s="14">
        <f>IFERROR(IF(INDEX(Dados!$I$2:$I$73,MATCH($A23&amp;"|"&amp;D$18,Dados!$A$2:$A$73,0))="","",INDEX(Dados!$I$2:$I$73,MATCH($A23&amp;"|"&amp;D$18,Dados!$A$2:$A$73,0))/1000000),"")</f>
        <v>1468.5148851900001</v>
      </c>
      <c r="E23" s="14">
        <f>IFERROR(IF(INDEX(Dados!$I$2:$I$73,MATCH($A23&amp;"|"&amp;E$18,Dados!$A$2:$A$73,0))="","",INDEX(Dados!$I$2:$I$73,MATCH($A23&amp;"|"&amp;E$18,Dados!$A$2:$A$73,0))/1000000),"")</f>
        <v>1588.5451306099999</v>
      </c>
      <c r="F23" s="14">
        <f>IFERROR(IF(INDEX(Dados!$I$2:$I$73,MATCH($A23&amp;"|"&amp;F$18,Dados!$A$2:$A$73,0))="","",INDEX(Dados!$I$2:$I$73,MATCH($A23&amp;"|"&amp;F$18,Dados!$A$2:$A$73,0))/1000000),"")</f>
        <v>1685.7635585999999</v>
      </c>
      <c r="G23" s="14">
        <f>IFERROR(IF(INDEX(Dados!$I$2:$I$73,MATCH($A23&amp;"|"&amp;G$18,Dados!$A$2:$A$73,0))="","",INDEX(Dados!$I$2:$I$73,MATCH($A23&amp;"|"&amp;G$18,Dados!$A$2:$A$73,0))/1000000),"")</f>
        <v>1738.6810595999998</v>
      </c>
      <c r="H23" s="14">
        <f>IFERROR(IF(INDEX(Dados!$I$2:$I$73,MATCH($A23&amp;"|"&amp;H$18,Dados!$A$2:$A$73,0))="","",INDEX(Dados!$I$2:$I$73,MATCH($A23&amp;"|"&amp;H$18,Dados!$A$2:$A$73,0))/1000000),"")</f>
        <v>1755.33213819</v>
      </c>
      <c r="I23" s="14">
        <f>IFERROR(IF(INDEX(Dados!$I$2:$I$73,MATCH($A23&amp;"|"&amp;I$18,Dados!$A$2:$A$73,0))="","",INDEX(Dados!$I$2:$I$73,MATCH($A23&amp;"|"&amp;I$18,Dados!$A$2:$A$73,0))/1000000),"")</f>
        <v>1817.03715401</v>
      </c>
      <c r="J23" s="14">
        <f>IFERROR(IF(INDEX(Dados!$I$2:$I$73,MATCH($A23&amp;"|"&amp;J$18,Dados!$A$2:$A$73,0))="","",INDEX(Dados!$I$2:$I$73,MATCH($A23&amp;"|"&amp;J$18,Dados!$A$2:$A$73,0))/1000000),"")</f>
        <v>1802.7780268499998</v>
      </c>
    </row>
    <row r="24" spans="1:10" x14ac:dyDescent="0.25">
      <c r="A24" s="8" t="s">
        <v>23</v>
      </c>
      <c r="B24" s="9" t="s">
        <v>23</v>
      </c>
      <c r="C24" s="14">
        <f>IFERROR(IF(INDEX(Dados!$I$2:$I$73,MATCH($A24&amp;"|"&amp;C$18,Dados!$A$2:$A$73,0))="","",INDEX(Dados!$I$2:$I$73,MATCH($A24&amp;"|"&amp;C$18,Dados!$A$2:$A$73,0))/1000000),"")</f>
        <v>242.01346218999998</v>
      </c>
      <c r="D24" s="14">
        <f>IFERROR(IF(INDEX(Dados!$I$2:$I$73,MATCH($A24&amp;"|"&amp;D$18,Dados!$A$2:$A$73,0))="","",INDEX(Dados!$I$2:$I$73,MATCH($A24&amp;"|"&amp;D$18,Dados!$A$2:$A$73,0))/1000000),"")</f>
        <v>252.18027434000001</v>
      </c>
      <c r="E24" s="14">
        <f>IFERROR(IF(INDEX(Dados!$I$2:$I$73,MATCH($A24&amp;"|"&amp;E$18,Dados!$A$2:$A$73,0))="","",INDEX(Dados!$I$2:$I$73,MATCH($A24&amp;"|"&amp;E$18,Dados!$A$2:$A$73,0))/1000000),"")</f>
        <v>267.36488772000001</v>
      </c>
      <c r="F24" s="14">
        <f>IFERROR(IF(INDEX(Dados!$I$2:$I$73,MATCH($A24&amp;"|"&amp;F$18,Dados!$A$2:$A$73,0))="","",INDEX(Dados!$I$2:$I$73,MATCH($A24&amp;"|"&amp;F$18,Dados!$A$2:$A$73,0))/1000000),"")</f>
        <v>282.34309217999999</v>
      </c>
      <c r="G24" s="14">
        <f>IFERROR(IF(INDEX(Dados!$I$2:$I$73,MATCH($A24&amp;"|"&amp;G$18,Dados!$A$2:$A$73,0))="","",INDEX(Dados!$I$2:$I$73,MATCH($A24&amp;"|"&amp;G$18,Dados!$A$2:$A$73,0))/1000000),"")</f>
        <v>297.95333464999999</v>
      </c>
      <c r="H24" s="14">
        <f>IFERROR(IF(INDEX(Dados!$I$2:$I$73,MATCH($A24&amp;"|"&amp;H$18,Dados!$A$2:$A$73,0))="","",INDEX(Dados!$I$2:$I$73,MATCH($A24&amp;"|"&amp;H$18,Dados!$A$2:$A$73,0))/1000000),"")</f>
        <v>309.08931777999999</v>
      </c>
      <c r="I24" s="14">
        <f>IFERROR(IF(INDEX(Dados!$I$2:$I$73,MATCH($A24&amp;"|"&amp;I$18,Dados!$A$2:$A$73,0))="","",INDEX(Dados!$I$2:$I$73,MATCH($A24&amp;"|"&amp;I$18,Dados!$A$2:$A$73,0))/1000000),"")</f>
        <v>396.62603775000002</v>
      </c>
      <c r="J24" s="14">
        <f>IFERROR(IF(INDEX(Dados!$I$2:$I$73,MATCH($A24&amp;"|"&amp;J$18,Dados!$A$2:$A$73,0))="","",INDEX(Dados!$I$2:$I$73,MATCH($A24&amp;"|"&amp;J$18,Dados!$A$2:$A$73,0))/1000000),"")</f>
        <v>397.89336260000005</v>
      </c>
    </row>
    <row r="25" spans="1:10" x14ac:dyDescent="0.25">
      <c r="A25" s="8" t="s">
        <v>24</v>
      </c>
      <c r="B25" s="9" t="s">
        <v>23</v>
      </c>
      <c r="C25" s="14">
        <f>IFERROR(IF(INDEX(Dados!$I$2:$I$73,MATCH($A25&amp;"|"&amp;C$18,Dados!$A$2:$A$73,0))="","",INDEX(Dados!$I$2:$I$73,MATCH($A25&amp;"|"&amp;C$18,Dados!$A$2:$A$73,0))/1000000),"")</f>
        <v>161.26715996000001</v>
      </c>
      <c r="D25" s="14">
        <f>IFERROR(IF(INDEX(Dados!$I$2:$I$73,MATCH($A25&amp;"|"&amp;D$18,Dados!$A$2:$A$73,0))="","",INDEX(Dados!$I$2:$I$73,MATCH($A25&amp;"|"&amp;D$18,Dados!$A$2:$A$73,0))/1000000),"")</f>
        <v>168.50388055000002</v>
      </c>
      <c r="E25" s="14">
        <f>IFERROR(IF(INDEX(Dados!$I$2:$I$73,MATCH($A25&amp;"|"&amp;E$18,Dados!$A$2:$A$73,0))="","",INDEX(Dados!$I$2:$I$73,MATCH($A25&amp;"|"&amp;E$18,Dados!$A$2:$A$73,0))/1000000),"")</f>
        <v>178.41620713</v>
      </c>
      <c r="F25" s="14">
        <f>IFERROR(IF(INDEX(Dados!$I$2:$I$73,MATCH($A25&amp;"|"&amp;F$18,Dados!$A$2:$A$73,0))="","",INDEX(Dados!$I$2:$I$73,MATCH($A25&amp;"|"&amp;F$18,Dados!$A$2:$A$73,0))/1000000),"")</f>
        <v>187.31961858000003</v>
      </c>
      <c r="G25" s="14">
        <f>IFERROR(IF(INDEX(Dados!$I$2:$I$73,MATCH($A25&amp;"|"&amp;G$18,Dados!$A$2:$A$73,0))="","",INDEX(Dados!$I$2:$I$73,MATCH($A25&amp;"|"&amp;G$18,Dados!$A$2:$A$73,0))/1000000),"")</f>
        <v>197.45421703</v>
      </c>
      <c r="H25" s="14">
        <f>IFERROR(IF(INDEX(Dados!$I$2:$I$73,MATCH($A25&amp;"|"&amp;H$18,Dados!$A$2:$A$73,0))="","",INDEX(Dados!$I$2:$I$73,MATCH($A25&amp;"|"&amp;H$18,Dados!$A$2:$A$73,0))/1000000),"")</f>
        <v>209.25106371999999</v>
      </c>
      <c r="I25" s="14">
        <f>IFERROR(IF(INDEX(Dados!$I$2:$I$73,MATCH($A25&amp;"|"&amp;I$18,Dados!$A$2:$A$73,0))="","",INDEX(Dados!$I$2:$I$73,MATCH($A25&amp;"|"&amp;I$18,Dados!$A$2:$A$73,0))/1000000),"")</f>
        <v>243.06227340000001</v>
      </c>
      <c r="J25" s="14">
        <f>IFERROR(IF(INDEX(Dados!$I$2:$I$73,MATCH($A25&amp;"|"&amp;J$18,Dados!$A$2:$A$73,0))="","",INDEX(Dados!$I$2:$I$73,MATCH($A25&amp;"|"&amp;J$18,Dados!$A$2:$A$73,0))/1000000),"")</f>
        <v>250.73966328</v>
      </c>
    </row>
    <row r="26" spans="1:10" x14ac:dyDescent="0.25">
      <c r="A26" s="8" t="s">
        <v>25</v>
      </c>
      <c r="B26" s="9" t="s">
        <v>25</v>
      </c>
      <c r="C26" s="14">
        <f>IFERROR(IF(INDEX(Dados!$I$2:$I$73,MATCH($A26&amp;"|"&amp;C$18,Dados!$A$2:$A$73,0))="","",INDEX(Dados!$I$2:$I$73,MATCH($A26&amp;"|"&amp;C$18,Dados!$A$2:$A$73,0))/1000000),"")</f>
        <v>220.44867708000001</v>
      </c>
      <c r="D26" s="14">
        <f>IFERROR(IF(INDEX(Dados!$I$2:$I$73,MATCH($A26&amp;"|"&amp;D$18,Dados!$A$2:$A$73,0))="","",INDEX(Dados!$I$2:$I$73,MATCH($A26&amp;"|"&amp;D$18,Dados!$A$2:$A$73,0))/1000000),"")</f>
        <v>230.22064985</v>
      </c>
      <c r="E26" s="14">
        <f>IFERROR(IF(INDEX(Dados!$I$2:$I$73,MATCH($A26&amp;"|"&amp;E$18,Dados!$A$2:$A$73,0))="","",INDEX(Dados!$I$2:$I$73,MATCH($A26&amp;"|"&amp;E$18,Dados!$A$2:$A$73,0))/1000000),"")</f>
        <v>247.88182424000001</v>
      </c>
      <c r="F26" s="14">
        <f>IFERROR(IF(INDEX(Dados!$I$2:$I$73,MATCH($A26&amp;"|"&amp;F$18,Dados!$A$2:$A$73,0))="","",INDEX(Dados!$I$2:$I$73,MATCH($A26&amp;"|"&amp;F$18,Dados!$A$2:$A$73,0))/1000000),"")</f>
        <v>249.50555212999998</v>
      </c>
      <c r="G26" s="14">
        <f>IFERROR(IF(INDEX(Dados!$I$2:$I$73,MATCH($A26&amp;"|"&amp;G$18,Dados!$A$2:$A$73,0))="","",INDEX(Dados!$I$2:$I$73,MATCH($A26&amp;"|"&amp;G$18,Dados!$A$2:$A$73,0))/1000000),"")</f>
        <v>252.11696125999998</v>
      </c>
      <c r="H26" s="14">
        <f>IFERROR(IF(INDEX(Dados!$I$2:$I$73,MATCH($A26&amp;"|"&amp;H$18,Dados!$A$2:$A$73,0))="","",INDEX(Dados!$I$2:$I$73,MATCH($A26&amp;"|"&amp;H$18,Dados!$A$2:$A$73,0))/1000000),"")</f>
        <v>261.84498975999998</v>
      </c>
      <c r="I26" s="14">
        <f>IFERROR(IF(INDEX(Dados!$I$2:$I$73,MATCH($A26&amp;"|"&amp;I$18,Dados!$A$2:$A$73,0))="","",INDEX(Dados!$I$2:$I$73,MATCH($A26&amp;"|"&amp;I$18,Dados!$A$2:$A$73,0))/1000000),"")</f>
        <v>266.89662167</v>
      </c>
      <c r="J26" s="14">
        <f>IFERROR(IF(INDEX(Dados!$I$2:$I$73,MATCH($A26&amp;"|"&amp;J$18,Dados!$A$2:$A$73,0))="","",INDEX(Dados!$I$2:$I$73,MATCH($A26&amp;"|"&amp;J$18,Dados!$A$2:$A$73,0))/1000000),"")</f>
        <v>274.28919268999999</v>
      </c>
    </row>
    <row r="27" spans="1:10" x14ac:dyDescent="0.25">
      <c r="A27" s="8" t="s">
        <v>26</v>
      </c>
      <c r="B27" s="9" t="s">
        <v>26</v>
      </c>
      <c r="C27" s="14">
        <f>IFERROR(IF(INDEX(Dados!$I$2:$I$73,MATCH($A27&amp;"|"&amp;C$18,Dados!$A$2:$A$73,0))="","",INDEX(Dados!$I$2:$I$73,MATCH($A27&amp;"|"&amp;C$18,Dados!$A$2:$A$73,0))/1000000),"")</f>
        <v>550.69219538999994</v>
      </c>
      <c r="D27" s="14">
        <f>IFERROR(IF(INDEX(Dados!$I$2:$I$73,MATCH($A27&amp;"|"&amp;D$18,Dados!$A$2:$A$73,0))="","",INDEX(Dados!$I$2:$I$73,MATCH($A27&amp;"|"&amp;D$18,Dados!$A$2:$A$73,0))/1000000),"")</f>
        <v>608.13706895000007</v>
      </c>
      <c r="E27" s="14">
        <f>IFERROR(IF(INDEX(Dados!$I$2:$I$73,MATCH($A27&amp;"|"&amp;E$18,Dados!$A$2:$A$73,0))="","",INDEX(Dados!$I$2:$I$73,MATCH($A27&amp;"|"&amp;E$18,Dados!$A$2:$A$73,0))/1000000),"")</f>
        <v>660.81301369000005</v>
      </c>
      <c r="F27" s="14">
        <f>IFERROR(IF(INDEX(Dados!$I$2:$I$73,MATCH($A27&amp;"|"&amp;F$18,Dados!$A$2:$A$73,0))="","",INDEX(Dados!$I$2:$I$73,MATCH($A27&amp;"|"&amp;F$18,Dados!$A$2:$A$73,0))/1000000),"")</f>
        <v>715.63813064999999</v>
      </c>
      <c r="G27" s="14">
        <f>IFERROR(IF(INDEX(Dados!$I$2:$I$73,MATCH($A27&amp;"|"&amp;G$18,Dados!$A$2:$A$73,0))="","",INDEX(Dados!$I$2:$I$73,MATCH($A27&amp;"|"&amp;G$18,Dados!$A$2:$A$73,0))/1000000),"")</f>
        <v>750.57144627000002</v>
      </c>
      <c r="H27" s="14">
        <f>IFERROR(IF(INDEX(Dados!$I$2:$I$73,MATCH($A27&amp;"|"&amp;H$18,Dados!$A$2:$A$73,0))="","",INDEX(Dados!$I$2:$I$73,MATCH($A27&amp;"|"&amp;H$18,Dados!$A$2:$A$73,0))/1000000),"")</f>
        <v>747.11807326999997</v>
      </c>
      <c r="I27" s="14">
        <f>IFERROR(IF(INDEX(Dados!$I$2:$I$73,MATCH($A27&amp;"|"&amp;I$18,Dados!$A$2:$A$73,0))="","",INDEX(Dados!$I$2:$I$73,MATCH($A27&amp;"|"&amp;I$18,Dados!$A$2:$A$73,0))/1000000),"")</f>
        <v>769.12345374999995</v>
      </c>
      <c r="J27" s="14">
        <f>IFERROR(IF(INDEX(Dados!$I$2:$I$73,MATCH($A27&amp;"|"&amp;J$18,Dados!$A$2:$A$73,0))="","",INDEX(Dados!$I$2:$I$73,MATCH($A27&amp;"|"&amp;J$18,Dados!$A$2:$A$73,0))/1000000),"")</f>
        <v>819.83058624</v>
      </c>
    </row>
    <row r="29" spans="1:10" x14ac:dyDescent="0.25">
      <c r="A29" s="2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31</v>
      </c>
      <c r="B1" s="4" t="s">
        <v>3</v>
      </c>
      <c r="C1" s="4" t="s">
        <v>4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  <c r="T1" s="4" t="s">
        <v>48</v>
      </c>
      <c r="U1" s="4" t="s">
        <v>49</v>
      </c>
    </row>
    <row r="2" spans="1:21" x14ac:dyDescent="0.25">
      <c r="A2" s="9" t="str">
        <f t="shared" ref="A2:A33" si="0">B2&amp;"|"&amp;G2</f>
        <v>Governo|1º quad. 2024</v>
      </c>
      <c r="B2" s="9" t="s">
        <v>15</v>
      </c>
      <c r="C2" s="9" t="s">
        <v>16</v>
      </c>
      <c r="D2" s="9" t="s">
        <v>50</v>
      </c>
      <c r="E2" s="9" t="s">
        <v>51</v>
      </c>
      <c r="F2" s="9">
        <v>1</v>
      </c>
      <c r="G2" s="9" t="s">
        <v>5</v>
      </c>
      <c r="H2" s="9" t="s">
        <v>52</v>
      </c>
      <c r="I2" s="15">
        <v>16102262747.85</v>
      </c>
      <c r="J2" s="15">
        <v>38683018377.120003</v>
      </c>
      <c r="K2" s="10">
        <f t="shared" ref="K2:K33" si="1">IF(OR(I2="",J2="",J2=0),"",I2/J2)</f>
        <v>0.41626179712424066</v>
      </c>
      <c r="L2" s="16">
        <v>0.4163</v>
      </c>
      <c r="M2" s="9" t="str">
        <f t="shared" ref="M2:M33" si="2">IF(L2="","Não declarado",IF(K2="","Sem dado",IF(ABS(K2-L2)&lt;=0.00005,"Sim","Não")))</f>
        <v>Sim</v>
      </c>
      <c r="N2" s="16">
        <v>0.48599999999999999</v>
      </c>
      <c r="O2" s="16">
        <v>0.4617</v>
      </c>
      <c r="P2" s="16">
        <v>0.43740000000000001</v>
      </c>
      <c r="Q2" s="15">
        <v>18799946931.279999</v>
      </c>
      <c r="R2" s="15">
        <v>17859949584.720001</v>
      </c>
      <c r="S2" s="15">
        <v>16919952238.15</v>
      </c>
      <c r="T2" s="9" t="str">
        <f t="shared" ref="T2:T33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53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50</v>
      </c>
      <c r="E3" s="9" t="s">
        <v>51</v>
      </c>
      <c r="F3" s="9">
        <v>2</v>
      </c>
      <c r="G3" s="9" t="s">
        <v>6</v>
      </c>
      <c r="H3" s="9" t="s">
        <v>54</v>
      </c>
      <c r="I3" s="15">
        <v>16511697830.84</v>
      </c>
      <c r="J3" s="15">
        <v>40291613780.93</v>
      </c>
      <c r="K3" s="10">
        <f t="shared" si="1"/>
        <v>0.40980482739202118</v>
      </c>
      <c r="L3" s="16">
        <v>0.40979999999999989</v>
      </c>
      <c r="M3" s="9" t="str">
        <f t="shared" si="2"/>
        <v>Sim</v>
      </c>
      <c r="N3" s="16">
        <v>0.48599999999999999</v>
      </c>
      <c r="O3" s="16">
        <v>0.4617</v>
      </c>
      <c r="P3" s="16">
        <v>0.43740000000000001</v>
      </c>
      <c r="Q3" s="15">
        <v>19581724297.529999</v>
      </c>
      <c r="R3" s="15">
        <v>18602638082.650002</v>
      </c>
      <c r="S3" s="15">
        <v>17623551867.779999</v>
      </c>
      <c r="T3" s="9" t="str">
        <f t="shared" si="3"/>
        <v>Abaixo do limite de alerta</v>
      </c>
      <c r="U3" s="9" t="s">
        <v>53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50</v>
      </c>
      <c r="E4" s="9" t="s">
        <v>51</v>
      </c>
      <c r="F4" s="9">
        <v>3</v>
      </c>
      <c r="G4" s="9" t="s">
        <v>7</v>
      </c>
      <c r="H4" s="9" t="s">
        <v>55</v>
      </c>
      <c r="I4" s="15">
        <v>16615520322.16</v>
      </c>
      <c r="J4" s="15">
        <v>40972569817.110001</v>
      </c>
      <c r="K4" s="10">
        <f t="shared" si="1"/>
        <v>0.40552790309045778</v>
      </c>
      <c r="L4" s="16">
        <v>0.40550000000000003</v>
      </c>
      <c r="M4" s="9" t="str">
        <f t="shared" si="2"/>
        <v>Sim</v>
      </c>
      <c r="N4" s="16">
        <v>0.48599999999999999</v>
      </c>
      <c r="O4" s="16">
        <v>0.4617</v>
      </c>
      <c r="P4" s="16">
        <v>0.43740000000000001</v>
      </c>
      <c r="Q4" s="15">
        <v>19912668931.119999</v>
      </c>
      <c r="R4" s="15">
        <v>18917035484.560001</v>
      </c>
      <c r="S4" s="15">
        <v>17921402038.009998</v>
      </c>
      <c r="T4" s="9" t="str">
        <f t="shared" si="3"/>
        <v>Abaixo do limite de alerta</v>
      </c>
      <c r="U4" s="9" t="s">
        <v>53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50</v>
      </c>
      <c r="E5" s="9" t="s">
        <v>56</v>
      </c>
      <c r="F5" s="9">
        <v>1</v>
      </c>
      <c r="G5" s="9" t="s">
        <v>8</v>
      </c>
      <c r="H5" s="9" t="s">
        <v>57</v>
      </c>
      <c r="I5" s="15">
        <v>16643903461.219999</v>
      </c>
      <c r="J5" s="15">
        <v>41062907173.040001</v>
      </c>
      <c r="K5" s="10">
        <f t="shared" si="1"/>
        <v>0.40532696311739985</v>
      </c>
      <c r="L5" s="16">
        <v>0.40529999999999999</v>
      </c>
      <c r="M5" s="9" t="str">
        <f t="shared" si="2"/>
        <v>Sim</v>
      </c>
      <c r="N5" s="16">
        <v>0.48599999999999999</v>
      </c>
      <c r="O5" s="16">
        <v>0.4617</v>
      </c>
      <c r="P5" s="16">
        <v>0.43740000000000001</v>
      </c>
      <c r="Q5" s="15">
        <v>19956572886.099998</v>
      </c>
      <c r="R5" s="15">
        <v>18958744241.799999</v>
      </c>
      <c r="S5" s="15">
        <v>17960915597.490002</v>
      </c>
      <c r="T5" s="9" t="str">
        <f t="shared" si="3"/>
        <v>Abaixo do limite de alerta</v>
      </c>
      <c r="U5" s="9" t="s">
        <v>53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50</v>
      </c>
      <c r="E6" s="9" t="s">
        <v>56</v>
      </c>
      <c r="F6" s="9">
        <v>2</v>
      </c>
      <c r="G6" s="9" t="s">
        <v>9</v>
      </c>
      <c r="H6" s="9" t="s">
        <v>58</v>
      </c>
      <c r="I6" s="15">
        <v>16908222500.68</v>
      </c>
      <c r="J6" s="15">
        <v>42830906825.120003</v>
      </c>
      <c r="K6" s="10">
        <f t="shared" si="1"/>
        <v>0.39476685772068348</v>
      </c>
      <c r="L6" s="16">
        <v>0.39479999999999998</v>
      </c>
      <c r="M6" s="9" t="str">
        <f t="shared" si="2"/>
        <v>Sim</v>
      </c>
      <c r="N6" s="16">
        <v>0.48599999999999999</v>
      </c>
      <c r="O6" s="16">
        <v>0.4617</v>
      </c>
      <c r="P6" s="16">
        <v>0.43740000000000001</v>
      </c>
      <c r="Q6" s="15">
        <v>20815820717.009998</v>
      </c>
      <c r="R6" s="15">
        <v>19775029681.16</v>
      </c>
      <c r="S6" s="15">
        <v>18734238645.310001</v>
      </c>
      <c r="T6" s="9" t="str">
        <f t="shared" si="3"/>
        <v>Abaixo do limite de alerta</v>
      </c>
      <c r="U6" s="9" t="s">
        <v>53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50</v>
      </c>
      <c r="E7" s="9" t="s">
        <v>56</v>
      </c>
      <c r="F7" s="9">
        <v>3</v>
      </c>
      <c r="G7" s="9" t="s">
        <v>10</v>
      </c>
      <c r="H7" s="9" t="s">
        <v>59</v>
      </c>
      <c r="I7" s="15">
        <v>17001181160.129999</v>
      </c>
      <c r="J7" s="15">
        <v>44657312944.139999</v>
      </c>
      <c r="K7" s="10">
        <f t="shared" si="1"/>
        <v>0.38070318250890017</v>
      </c>
      <c r="L7" s="16">
        <v>0.38069999999999998</v>
      </c>
      <c r="M7" s="9" t="str">
        <f t="shared" si="2"/>
        <v>Sim</v>
      </c>
      <c r="N7" s="16">
        <v>0.48599999999999999</v>
      </c>
      <c r="O7" s="16">
        <v>0.4617</v>
      </c>
      <c r="P7" s="16">
        <v>0.43740000000000001</v>
      </c>
      <c r="Q7" s="15">
        <v>21703454090.849998</v>
      </c>
      <c r="R7" s="15">
        <v>20618281386.310001</v>
      </c>
      <c r="S7" s="15">
        <v>19533108681.77</v>
      </c>
      <c r="T7" s="9" t="str">
        <f t="shared" si="3"/>
        <v>Abaixo do limite de alerta</v>
      </c>
      <c r="U7" s="9" t="s">
        <v>53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50</v>
      </c>
      <c r="E8" s="9" t="s">
        <v>60</v>
      </c>
      <c r="F8" s="9">
        <v>1</v>
      </c>
      <c r="G8" s="9" t="s">
        <v>11</v>
      </c>
      <c r="H8" s="9" t="s">
        <v>61</v>
      </c>
      <c r="I8" s="15">
        <v>17152541282.889999</v>
      </c>
      <c r="J8" s="15">
        <v>46711648735.010002</v>
      </c>
      <c r="K8" s="10">
        <f t="shared" si="1"/>
        <v>0.36720051095165707</v>
      </c>
      <c r="L8" s="16">
        <v>0.36720000000000003</v>
      </c>
      <c r="M8" s="9" t="str">
        <f t="shared" si="2"/>
        <v>Sim</v>
      </c>
      <c r="N8" s="16">
        <v>0.48599999999999999</v>
      </c>
      <c r="O8" s="16">
        <v>0.4617</v>
      </c>
      <c r="P8" s="16">
        <v>0.43740000000000001</v>
      </c>
      <c r="Q8" s="15">
        <v>22701861285.209999</v>
      </c>
      <c r="R8" s="15">
        <v>21566768220.950001</v>
      </c>
      <c r="S8" s="15">
        <v>20431675156.689999</v>
      </c>
      <c r="T8" s="9" t="str">
        <f t="shared" si="3"/>
        <v>Abaixo do limite de alerta</v>
      </c>
      <c r="U8" s="9" t="s">
        <v>53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50</v>
      </c>
      <c r="E9" s="9" t="s">
        <v>60</v>
      </c>
      <c r="F9" s="9">
        <v>2</v>
      </c>
      <c r="G9" s="9" t="s">
        <v>12</v>
      </c>
      <c r="H9" s="9" t="s">
        <v>62</v>
      </c>
      <c r="I9" s="15">
        <v>17530204283.610001</v>
      </c>
      <c r="J9" s="15">
        <v>46579377916.389999</v>
      </c>
      <c r="K9" s="10">
        <f t="shared" si="1"/>
        <v>0.37635118947008533</v>
      </c>
      <c r="L9" s="16">
        <v>0.37640000000000001</v>
      </c>
      <c r="M9" s="9" t="str">
        <f t="shared" si="2"/>
        <v>Sim</v>
      </c>
      <c r="N9" s="16">
        <v>0.48599999999999999</v>
      </c>
      <c r="O9" s="16">
        <v>0.4617</v>
      </c>
      <c r="P9" s="16">
        <v>0.43740000000000001</v>
      </c>
      <c r="Q9" s="15">
        <v>22637577667.369999</v>
      </c>
      <c r="R9" s="15">
        <v>21505698784</v>
      </c>
      <c r="S9" s="15">
        <v>20373819900.630001</v>
      </c>
      <c r="T9" s="9" t="str">
        <f t="shared" si="3"/>
        <v>Abaixo do limite de alerta</v>
      </c>
      <c r="U9" s="9" t="s">
        <v>53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63</v>
      </c>
      <c r="E10" s="9" t="s">
        <v>51</v>
      </c>
      <c r="F10" s="9">
        <v>1</v>
      </c>
      <c r="G10" s="9" t="s">
        <v>5</v>
      </c>
      <c r="H10" s="9" t="s">
        <v>52</v>
      </c>
      <c r="I10" s="15">
        <v>512245169.31999999</v>
      </c>
      <c r="J10" s="15">
        <v>38683018377.120003</v>
      </c>
      <c r="K10" s="10">
        <f t="shared" si="1"/>
        <v>1.3242119948503803E-2</v>
      </c>
      <c r="L10" s="16">
        <v>1.32E-2</v>
      </c>
      <c r="M10" s="9" t="str">
        <f t="shared" si="2"/>
        <v>Sim</v>
      </c>
      <c r="N10" s="16">
        <v>1.5599999999999999E-2</v>
      </c>
      <c r="O10" s="16">
        <v>1.4800000000000001E-2</v>
      </c>
      <c r="P10" s="16">
        <v>1.4E-2</v>
      </c>
      <c r="Q10" s="15">
        <v>603455086.67999995</v>
      </c>
      <c r="R10" s="15">
        <v>573282332.35000002</v>
      </c>
      <c r="S10" s="15">
        <v>543109578.00999999</v>
      </c>
      <c r="T10" s="9" t="str">
        <f t="shared" si="3"/>
        <v>Abaixo do limite de alerta</v>
      </c>
      <c r="U10" s="9" t="s">
        <v>53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63</v>
      </c>
      <c r="E11" s="9" t="s">
        <v>51</v>
      </c>
      <c r="F11" s="9">
        <v>2</v>
      </c>
      <c r="G11" s="9" t="s">
        <v>6</v>
      </c>
      <c r="H11" s="9" t="s">
        <v>54</v>
      </c>
      <c r="I11" s="15">
        <v>515127459.99000001</v>
      </c>
      <c r="J11" s="15">
        <v>40291613780.93</v>
      </c>
      <c r="K11" s="10">
        <f t="shared" si="1"/>
        <v>1.278497959378856E-2</v>
      </c>
      <c r="L11" s="16">
        <v>1.2800000000000001E-2</v>
      </c>
      <c r="M11" s="9" t="str">
        <f t="shared" si="2"/>
        <v>Sim</v>
      </c>
      <c r="N11" s="16">
        <v>1.5599999999999999E-2</v>
      </c>
      <c r="O11" s="16">
        <v>1.4800000000000001E-2</v>
      </c>
      <c r="P11" s="16">
        <v>1.4E-2</v>
      </c>
      <c r="Q11" s="15">
        <v>628549174.98000002</v>
      </c>
      <c r="R11" s="15">
        <v>597121716.23000002</v>
      </c>
      <c r="S11" s="15">
        <v>565694257.48000002</v>
      </c>
      <c r="T11" s="9" t="str">
        <f t="shared" si="3"/>
        <v>Abaixo do limite de alerta</v>
      </c>
      <c r="U11" s="9" t="s">
        <v>53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63</v>
      </c>
      <c r="E12" s="9" t="s">
        <v>51</v>
      </c>
      <c r="F12" s="9">
        <v>3</v>
      </c>
      <c r="G12" s="9" t="s">
        <v>7</v>
      </c>
      <c r="H12" s="9" t="s">
        <v>55</v>
      </c>
      <c r="I12" s="15">
        <v>510747429.06</v>
      </c>
      <c r="J12" s="15">
        <v>40972569817.110001</v>
      </c>
      <c r="K12" s="10">
        <f t="shared" si="1"/>
        <v>1.2465594209487774E-2</v>
      </c>
      <c r="L12" s="16">
        <v>1.2500000000000001E-2</v>
      </c>
      <c r="M12" s="9" t="str">
        <f t="shared" si="2"/>
        <v>Sim</v>
      </c>
      <c r="N12" s="16">
        <v>1.5599999999999999E-2</v>
      </c>
      <c r="O12" s="16">
        <v>1.4800000000000001E-2</v>
      </c>
      <c r="P12" s="16">
        <v>1.4E-2</v>
      </c>
      <c r="Q12" s="15">
        <v>639172089.14999998</v>
      </c>
      <c r="R12" s="15">
        <v>607213484.69000006</v>
      </c>
      <c r="S12" s="15">
        <v>575254880.24000001</v>
      </c>
      <c r="T12" s="9" t="str">
        <f t="shared" si="3"/>
        <v>Abaixo do limite de alerta</v>
      </c>
      <c r="U12" s="9" t="s">
        <v>53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63</v>
      </c>
      <c r="E13" s="9" t="s">
        <v>56</v>
      </c>
      <c r="F13" s="9">
        <v>1</v>
      </c>
      <c r="G13" s="9" t="s">
        <v>8</v>
      </c>
      <c r="H13" s="9" t="s">
        <v>57</v>
      </c>
      <c r="I13" s="15">
        <v>525442920.27999997</v>
      </c>
      <c r="J13" s="15">
        <v>41062907173.040001</v>
      </c>
      <c r="K13" s="10">
        <f t="shared" si="1"/>
        <v>1.2796047733926189E-2</v>
      </c>
      <c r="L13" s="16">
        <v>1.2800000000000001E-2</v>
      </c>
      <c r="M13" s="9" t="str">
        <f t="shared" si="2"/>
        <v>Sim</v>
      </c>
      <c r="N13" s="16">
        <v>1.5599999999999999E-2</v>
      </c>
      <c r="O13" s="16">
        <v>1.4800000000000001E-2</v>
      </c>
      <c r="P13" s="16">
        <v>1.4E-2</v>
      </c>
      <c r="Q13" s="15">
        <v>640581351.88999999</v>
      </c>
      <c r="R13" s="15">
        <v>608552284.29999995</v>
      </c>
      <c r="S13" s="15">
        <v>576523216.70000005</v>
      </c>
      <c r="T13" s="9" t="str">
        <f t="shared" si="3"/>
        <v>Abaixo do limite de alerta</v>
      </c>
      <c r="U13" s="9" t="s">
        <v>53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63</v>
      </c>
      <c r="E14" s="9" t="s">
        <v>56</v>
      </c>
      <c r="F14" s="9">
        <v>2</v>
      </c>
      <c r="G14" s="9" t="s">
        <v>9</v>
      </c>
      <c r="H14" s="9" t="s">
        <v>58</v>
      </c>
      <c r="I14" s="15">
        <v>534872172.91000003</v>
      </c>
      <c r="J14" s="15">
        <v>42830906825.120003</v>
      </c>
      <c r="K14" s="10">
        <f t="shared" si="1"/>
        <v>1.2487995528413644E-2</v>
      </c>
      <c r="L14" s="16">
        <v>1.2500000000000001E-2</v>
      </c>
      <c r="M14" s="9" t="str">
        <f t="shared" si="2"/>
        <v>Sim</v>
      </c>
      <c r="N14" s="16">
        <v>1.5599999999999999E-2</v>
      </c>
      <c r="O14" s="16">
        <v>1.4800000000000001E-2</v>
      </c>
      <c r="P14" s="16">
        <v>1.4E-2</v>
      </c>
      <c r="Q14" s="15">
        <v>668162146.47000003</v>
      </c>
      <c r="R14" s="15">
        <v>634754039.14999998</v>
      </c>
      <c r="S14" s="15">
        <v>601345931.82000005</v>
      </c>
      <c r="T14" s="9" t="str">
        <f t="shared" si="3"/>
        <v>Abaixo do limite de alerta</v>
      </c>
      <c r="U14" s="9" t="s">
        <v>53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63</v>
      </c>
      <c r="E15" s="9" t="s">
        <v>56</v>
      </c>
      <c r="F15" s="9">
        <v>3</v>
      </c>
      <c r="G15" s="9" t="s">
        <v>10</v>
      </c>
      <c r="H15" s="9" t="s">
        <v>59</v>
      </c>
      <c r="I15" s="15">
        <v>560343549.95000005</v>
      </c>
      <c r="J15" s="15">
        <v>44657312944.139999</v>
      </c>
      <c r="K15" s="10">
        <f t="shared" si="1"/>
        <v>1.2547632470652921E-2</v>
      </c>
      <c r="L15" s="16">
        <v>1.2500000000000001E-2</v>
      </c>
      <c r="M15" s="9" t="str">
        <f t="shared" si="2"/>
        <v>Sim</v>
      </c>
      <c r="N15" s="16">
        <v>1.5599999999999999E-2</v>
      </c>
      <c r="O15" s="16">
        <v>1.4800000000000001E-2</v>
      </c>
      <c r="P15" s="16">
        <v>1.4E-2</v>
      </c>
      <c r="Q15" s="15">
        <v>696654081.92999995</v>
      </c>
      <c r="R15" s="15">
        <v>661821377.83000004</v>
      </c>
      <c r="S15" s="15">
        <v>626988673.74000001</v>
      </c>
      <c r="T15" s="9" t="str">
        <f t="shared" si="3"/>
        <v>Abaixo do limite de alerta</v>
      </c>
      <c r="U15" s="9" t="s">
        <v>53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63</v>
      </c>
      <c r="E16" s="9" t="s">
        <v>60</v>
      </c>
      <c r="F16" s="9">
        <v>1</v>
      </c>
      <c r="G16" s="9" t="s">
        <v>11</v>
      </c>
      <c r="H16" s="9" t="s">
        <v>61</v>
      </c>
      <c r="I16" s="15">
        <v>580198364.19000006</v>
      </c>
      <c r="J16" s="15">
        <v>46711648735.010002</v>
      </c>
      <c r="K16" s="10">
        <f t="shared" si="1"/>
        <v>1.2420849614651818E-2</v>
      </c>
      <c r="L16" s="16">
        <v>1.24E-2</v>
      </c>
      <c r="M16" s="9" t="str">
        <f t="shared" si="2"/>
        <v>Sim</v>
      </c>
      <c r="N16" s="16">
        <v>1.5599999999999999E-2</v>
      </c>
      <c r="O16" s="16">
        <v>1.4800000000000001E-2</v>
      </c>
      <c r="P16" s="16">
        <v>1.4E-2</v>
      </c>
      <c r="Q16" s="15">
        <v>728701720.26999998</v>
      </c>
      <c r="R16" s="15">
        <v>692266634.25999999</v>
      </c>
      <c r="S16" s="15">
        <v>655831548.24000001</v>
      </c>
      <c r="T16" s="9" t="str">
        <f t="shared" si="3"/>
        <v>Abaixo do limite de alerta</v>
      </c>
      <c r="U16" s="9" t="s">
        <v>53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63</v>
      </c>
      <c r="E17" s="9" t="s">
        <v>60</v>
      </c>
      <c r="F17" s="9">
        <v>2</v>
      </c>
      <c r="G17" s="9" t="s">
        <v>12</v>
      </c>
      <c r="H17" s="9" t="s">
        <v>62</v>
      </c>
      <c r="I17" s="15">
        <v>589736656.41999996</v>
      </c>
      <c r="J17" s="15">
        <v>46579377916.389999</v>
      </c>
      <c r="K17" s="10">
        <f t="shared" si="1"/>
        <v>1.2660895932929321E-2</v>
      </c>
      <c r="L17" s="16">
        <v>1.2699999999999999E-2</v>
      </c>
      <c r="M17" s="9" t="str">
        <f t="shared" si="2"/>
        <v>Sim</v>
      </c>
      <c r="N17" s="16">
        <v>1.5599999999999999E-2</v>
      </c>
      <c r="O17" s="16">
        <v>1.4800000000000001E-2</v>
      </c>
      <c r="P17" s="16">
        <v>1.4E-2</v>
      </c>
      <c r="Q17" s="15">
        <v>726638295.5</v>
      </c>
      <c r="R17" s="15">
        <v>690306380.73000002</v>
      </c>
      <c r="S17" s="15">
        <v>653974465.95000005</v>
      </c>
      <c r="T17" s="9" t="str">
        <f t="shared" si="3"/>
        <v>Abaixo do limite de alerta</v>
      </c>
      <c r="U17" s="9" t="s">
        <v>53</v>
      </c>
    </row>
    <row r="18" spans="1:21" x14ac:dyDescent="0.25">
      <c r="A18" s="9" t="str">
        <f t="shared" si="0"/>
        <v>Ministério Público de Contas|1º quad. 2024</v>
      </c>
      <c r="B18" s="9" t="s">
        <v>19</v>
      </c>
      <c r="C18" s="9" t="s">
        <v>18</v>
      </c>
      <c r="D18" s="9" t="s">
        <v>64</v>
      </c>
      <c r="E18" s="9" t="s">
        <v>51</v>
      </c>
      <c r="F18" s="9">
        <v>1</v>
      </c>
      <c r="G18" s="9" t="s">
        <v>5</v>
      </c>
      <c r="H18" s="9" t="s">
        <v>52</v>
      </c>
      <c r="I18" s="15">
        <v>44942447.109999999</v>
      </c>
      <c r="J18" s="15">
        <v>38683018377.120003</v>
      </c>
      <c r="K18" s="10">
        <f t="shared" si="1"/>
        <v>1.1618133484790909E-3</v>
      </c>
      <c r="L18" s="16">
        <v>1.1999999999999999E-3</v>
      </c>
      <c r="M18" s="9" t="str">
        <f t="shared" si="2"/>
        <v>Sim</v>
      </c>
      <c r="N18" s="16">
        <v>2E-3</v>
      </c>
      <c r="O18" s="16">
        <v>1.9E-3</v>
      </c>
      <c r="P18" s="16">
        <v>1.8E-3</v>
      </c>
      <c r="Q18" s="15">
        <v>77366036.75</v>
      </c>
      <c r="R18" s="15">
        <v>73497734.909999996</v>
      </c>
      <c r="S18" s="15">
        <v>69629433.079999998</v>
      </c>
      <c r="T18" s="9" t="str">
        <f t="shared" si="3"/>
        <v>Abaixo do limite de alerta</v>
      </c>
      <c r="U18" s="9" t="s">
        <v>53</v>
      </c>
    </row>
    <row r="19" spans="1:21" x14ac:dyDescent="0.25">
      <c r="A19" s="9" t="str">
        <f t="shared" si="0"/>
        <v>Ministério Público de Contas|2º quad. 2024</v>
      </c>
      <c r="B19" s="9" t="s">
        <v>19</v>
      </c>
      <c r="C19" s="9" t="s">
        <v>18</v>
      </c>
      <c r="D19" s="9" t="s">
        <v>64</v>
      </c>
      <c r="E19" s="9" t="s">
        <v>51</v>
      </c>
      <c r="F19" s="9">
        <v>2</v>
      </c>
      <c r="G19" s="9" t="s">
        <v>6</v>
      </c>
      <c r="H19" s="9" t="s">
        <v>54</v>
      </c>
      <c r="I19" s="15">
        <v>45627444.340000004</v>
      </c>
      <c r="J19" s="15">
        <v>40291613780.93</v>
      </c>
      <c r="K19" s="10">
        <f t="shared" si="1"/>
        <v>1.1324303014538337E-3</v>
      </c>
      <c r="L19" s="16">
        <v>1.1000000000000001E-3</v>
      </c>
      <c r="M19" s="9" t="str">
        <f t="shared" si="2"/>
        <v>Sim</v>
      </c>
      <c r="N19" s="16">
        <v>2E-3</v>
      </c>
      <c r="O19" s="16">
        <v>1.9E-3</v>
      </c>
      <c r="P19" s="16">
        <v>1.8E-3</v>
      </c>
      <c r="Q19" s="15">
        <v>80583227.560000002</v>
      </c>
      <c r="R19" s="15">
        <v>76554066.180000007</v>
      </c>
      <c r="S19" s="15">
        <v>72524904.799999997</v>
      </c>
      <c r="T19" s="9" t="str">
        <f t="shared" si="3"/>
        <v>Abaixo do limite de alerta</v>
      </c>
      <c r="U19" s="9" t="s">
        <v>53</v>
      </c>
    </row>
    <row r="20" spans="1:21" x14ac:dyDescent="0.25">
      <c r="A20" s="9" t="str">
        <f t="shared" si="0"/>
        <v>Ministério Público de Contas|3º quad. 2024</v>
      </c>
      <c r="B20" s="9" t="s">
        <v>19</v>
      </c>
      <c r="C20" s="9" t="s">
        <v>18</v>
      </c>
      <c r="D20" s="9" t="s">
        <v>64</v>
      </c>
      <c r="E20" s="9" t="s">
        <v>51</v>
      </c>
      <c r="F20" s="9">
        <v>3</v>
      </c>
      <c r="G20" s="9" t="s">
        <v>7</v>
      </c>
      <c r="H20" s="9" t="s">
        <v>55</v>
      </c>
      <c r="I20" s="15">
        <v>50209250.299999997</v>
      </c>
      <c r="J20" s="15">
        <v>40972569817.110001</v>
      </c>
      <c r="K20" s="10">
        <f t="shared" si="1"/>
        <v>1.2254357128225037E-3</v>
      </c>
      <c r="L20" s="16">
        <v>1.1999999999999999E-3</v>
      </c>
      <c r="M20" s="9" t="str">
        <f t="shared" si="2"/>
        <v>Sim</v>
      </c>
      <c r="N20" s="16">
        <v>2E-3</v>
      </c>
      <c r="O20" s="16">
        <v>1.9E-3</v>
      </c>
      <c r="P20" s="16">
        <v>1.8E-3</v>
      </c>
      <c r="Q20" s="15">
        <v>81945139.629999995</v>
      </c>
      <c r="R20" s="15">
        <v>77847882.650000006</v>
      </c>
      <c r="S20" s="15">
        <v>73750625.670000002</v>
      </c>
      <c r="T20" s="9" t="str">
        <f t="shared" si="3"/>
        <v>Abaixo do limite de alerta</v>
      </c>
      <c r="U20" s="9" t="s">
        <v>53</v>
      </c>
    </row>
    <row r="21" spans="1:21" x14ac:dyDescent="0.25">
      <c r="A21" s="9" t="str">
        <f t="shared" si="0"/>
        <v>Ministério Público de Contas|1º quad. 2025</v>
      </c>
      <c r="B21" s="9" t="s">
        <v>19</v>
      </c>
      <c r="C21" s="9" t="s">
        <v>18</v>
      </c>
      <c r="D21" s="9" t="s">
        <v>64</v>
      </c>
      <c r="E21" s="9" t="s">
        <v>56</v>
      </c>
      <c r="F21" s="9">
        <v>1</v>
      </c>
      <c r="G21" s="9" t="s">
        <v>8</v>
      </c>
      <c r="H21" s="9" t="s">
        <v>57</v>
      </c>
      <c r="I21" s="15">
        <v>53104141.780000001</v>
      </c>
      <c r="J21" s="15">
        <v>41062907173.040001</v>
      </c>
      <c r="K21" s="10">
        <f t="shared" si="1"/>
        <v>1.2932387265280067E-3</v>
      </c>
      <c r="L21" s="16">
        <v>1.2999999999999999E-3</v>
      </c>
      <c r="M21" s="9" t="str">
        <f t="shared" si="2"/>
        <v>Sim</v>
      </c>
      <c r="N21" s="16">
        <v>2E-3</v>
      </c>
      <c r="O21" s="16">
        <v>1.9E-3</v>
      </c>
      <c r="P21" s="16">
        <v>1.8E-3</v>
      </c>
      <c r="Q21" s="15">
        <v>82125814.349999994</v>
      </c>
      <c r="R21" s="15">
        <v>78019523.629999995</v>
      </c>
      <c r="S21" s="15">
        <v>73913232.920000002</v>
      </c>
      <c r="T21" s="9" t="str">
        <f t="shared" si="3"/>
        <v>Abaixo do limite de alerta</v>
      </c>
      <c r="U21" s="9" t="s">
        <v>53</v>
      </c>
    </row>
    <row r="22" spans="1:21" x14ac:dyDescent="0.25">
      <c r="A22" s="9" t="str">
        <f t="shared" si="0"/>
        <v>Ministério Público de Contas|2º quad. 2025</v>
      </c>
      <c r="B22" s="9" t="s">
        <v>19</v>
      </c>
      <c r="C22" s="9" t="s">
        <v>18</v>
      </c>
      <c r="D22" s="9" t="s">
        <v>64</v>
      </c>
      <c r="E22" s="9" t="s">
        <v>56</v>
      </c>
      <c r="F22" s="9">
        <v>2</v>
      </c>
      <c r="G22" s="9" t="s">
        <v>9</v>
      </c>
      <c r="H22" s="9" t="s">
        <v>58</v>
      </c>
      <c r="I22" s="15">
        <v>65611451.700000003</v>
      </c>
      <c r="J22" s="15">
        <v>42830906825.120003</v>
      </c>
      <c r="K22" s="10">
        <f t="shared" si="1"/>
        <v>1.5318716451158437E-3</v>
      </c>
      <c r="L22" s="16">
        <v>1.5E-3</v>
      </c>
      <c r="M22" s="9" t="str">
        <f t="shared" si="2"/>
        <v>Sim</v>
      </c>
      <c r="N22" s="16">
        <v>2E-3</v>
      </c>
      <c r="O22" s="16">
        <v>1.9E-3</v>
      </c>
      <c r="P22" s="16">
        <v>1.8E-3</v>
      </c>
      <c r="Q22" s="15">
        <v>85661813.650000006</v>
      </c>
      <c r="R22" s="15">
        <v>81378722.969999999</v>
      </c>
      <c r="S22" s="15">
        <v>77095632.290000007</v>
      </c>
      <c r="T22" s="9" t="str">
        <f t="shared" si="3"/>
        <v>Abaixo do limite de alerta</v>
      </c>
      <c r="U22" s="9" t="s">
        <v>53</v>
      </c>
    </row>
    <row r="23" spans="1:21" x14ac:dyDescent="0.25">
      <c r="A23" s="9" t="str">
        <f t="shared" si="0"/>
        <v>Ministério Público de Contas|3º quad. 2025</v>
      </c>
      <c r="B23" s="9" t="s">
        <v>19</v>
      </c>
      <c r="C23" s="9" t="s">
        <v>18</v>
      </c>
      <c r="D23" s="9" t="s">
        <v>64</v>
      </c>
      <c r="E23" s="9" t="s">
        <v>56</v>
      </c>
      <c r="F23" s="9">
        <v>3</v>
      </c>
      <c r="G23" s="9" t="s">
        <v>10</v>
      </c>
      <c r="H23" s="9" t="s">
        <v>59</v>
      </c>
      <c r="I23" s="15">
        <v>71823281.640000001</v>
      </c>
      <c r="J23" s="15">
        <v>44657312944.139999</v>
      </c>
      <c r="K23" s="10">
        <f t="shared" si="1"/>
        <v>1.6083207184865958E-3</v>
      </c>
      <c r="L23" s="16">
        <v>1.6000000000000001E-3</v>
      </c>
      <c r="M23" s="9" t="str">
        <f t="shared" si="2"/>
        <v>Sim</v>
      </c>
      <c r="N23" s="16">
        <v>2E-3</v>
      </c>
      <c r="O23" s="16">
        <v>1.9E-3</v>
      </c>
      <c r="P23" s="16">
        <v>1.8E-3</v>
      </c>
      <c r="Q23" s="15">
        <v>89314625.890000001</v>
      </c>
      <c r="R23" s="15">
        <v>84848894.599999994</v>
      </c>
      <c r="S23" s="15">
        <v>80383163.299999997</v>
      </c>
      <c r="T23" s="9" t="str">
        <f t="shared" si="3"/>
        <v>Abaixo do limite de alerta</v>
      </c>
      <c r="U23" s="9" t="s">
        <v>53</v>
      </c>
    </row>
    <row r="24" spans="1:21" x14ac:dyDescent="0.25">
      <c r="A24" s="9" t="str">
        <f t="shared" si="0"/>
        <v>Ministério Público de Contas|1º quad. 2026</v>
      </c>
      <c r="B24" s="9" t="s">
        <v>19</v>
      </c>
      <c r="C24" s="9" t="s">
        <v>18</v>
      </c>
      <c r="D24" s="9" t="s">
        <v>64</v>
      </c>
      <c r="E24" s="9" t="s">
        <v>60</v>
      </c>
      <c r="F24" s="9">
        <v>1</v>
      </c>
      <c r="G24" s="9" t="s">
        <v>11</v>
      </c>
      <c r="H24" s="9" t="s">
        <v>61</v>
      </c>
      <c r="I24" s="17"/>
      <c r="J24" s="15">
        <v>46711648735.010002</v>
      </c>
      <c r="K24" s="10" t="str">
        <f t="shared" si="1"/>
        <v/>
      </c>
      <c r="L24" s="10"/>
      <c r="M24" s="9" t="str">
        <f t="shared" si="2"/>
        <v>Não declarado</v>
      </c>
      <c r="N24" s="10"/>
      <c r="O24" s="10"/>
      <c r="P24" s="10"/>
      <c r="Q24" s="17"/>
      <c r="R24" s="17"/>
      <c r="S24" s="17"/>
      <c r="T24" s="9" t="str">
        <f t="shared" si="3"/>
        <v>Sem dado</v>
      </c>
      <c r="U24" s="9"/>
    </row>
    <row r="25" spans="1:21" x14ac:dyDescent="0.25">
      <c r="A25" s="9" t="str">
        <f t="shared" si="0"/>
        <v>Ministério Público de Contas|2º quad. 2026</v>
      </c>
      <c r="B25" s="9" t="s">
        <v>19</v>
      </c>
      <c r="C25" s="9" t="s">
        <v>18</v>
      </c>
      <c r="D25" s="9" t="s">
        <v>64</v>
      </c>
      <c r="E25" s="9" t="s">
        <v>60</v>
      </c>
      <c r="F25" s="9">
        <v>2</v>
      </c>
      <c r="G25" s="9" t="s">
        <v>12</v>
      </c>
      <c r="H25" s="9" t="s">
        <v>62</v>
      </c>
      <c r="I25" s="17"/>
      <c r="J25" s="15">
        <v>46579377916.389999</v>
      </c>
      <c r="K25" s="10" t="str">
        <f t="shared" si="1"/>
        <v/>
      </c>
      <c r="L25" s="10"/>
      <c r="M25" s="9" t="str">
        <f t="shared" si="2"/>
        <v>Não declarado</v>
      </c>
      <c r="N25" s="10"/>
      <c r="O25" s="10"/>
      <c r="P25" s="10"/>
      <c r="Q25" s="17"/>
      <c r="R25" s="17"/>
      <c r="S25" s="17"/>
      <c r="T25" s="9" t="str">
        <f t="shared" si="3"/>
        <v>Sem dado</v>
      </c>
      <c r="U25" s="9"/>
    </row>
    <row r="26" spans="1:21" x14ac:dyDescent="0.25">
      <c r="A26" s="9" t="str">
        <f t="shared" si="0"/>
        <v>Ministério Público de Contas dos Municípios do Pará|1º quad. 2024</v>
      </c>
      <c r="B26" s="9" t="s">
        <v>20</v>
      </c>
      <c r="C26" s="9" t="s">
        <v>18</v>
      </c>
      <c r="D26" s="9" t="s">
        <v>20</v>
      </c>
      <c r="E26" s="9" t="s">
        <v>51</v>
      </c>
      <c r="F26" s="9">
        <v>1</v>
      </c>
      <c r="G26" s="9" t="s">
        <v>5</v>
      </c>
      <c r="H26" s="9" t="s">
        <v>52</v>
      </c>
      <c r="I26" s="15">
        <v>18139870.350000001</v>
      </c>
      <c r="J26" s="15">
        <v>38683018377.120003</v>
      </c>
      <c r="K26" s="10">
        <f t="shared" si="1"/>
        <v>4.6893626999720535E-4</v>
      </c>
      <c r="L26" s="16">
        <v>5.0000000000000001E-4</v>
      </c>
      <c r="M26" s="9" t="str">
        <f t="shared" si="2"/>
        <v>Sim</v>
      </c>
      <c r="N26" s="16">
        <v>8.0000000000000004E-4</v>
      </c>
      <c r="O26" s="16">
        <v>8.0000000000000004E-4</v>
      </c>
      <c r="P26" s="16">
        <v>7.000000000000001E-4</v>
      </c>
      <c r="Q26" s="15">
        <v>30946414.699999999</v>
      </c>
      <c r="R26" s="15">
        <v>29399093.969999999</v>
      </c>
      <c r="S26" s="15">
        <v>27851773.23</v>
      </c>
      <c r="T26" s="9" t="str">
        <f t="shared" si="3"/>
        <v>Abaixo do limite de alerta</v>
      </c>
      <c r="U26" s="9" t="s">
        <v>53</v>
      </c>
    </row>
    <row r="27" spans="1:21" x14ac:dyDescent="0.25">
      <c r="A27" s="9" t="str">
        <f t="shared" si="0"/>
        <v>Ministério Público de Contas dos Municípios do Pará|2º quad. 2024</v>
      </c>
      <c r="B27" s="9" t="s">
        <v>20</v>
      </c>
      <c r="C27" s="9" t="s">
        <v>18</v>
      </c>
      <c r="D27" s="9" t="s">
        <v>20</v>
      </c>
      <c r="E27" s="9" t="s">
        <v>51</v>
      </c>
      <c r="F27" s="9">
        <v>2</v>
      </c>
      <c r="G27" s="9" t="s">
        <v>6</v>
      </c>
      <c r="H27" s="9" t="s">
        <v>54</v>
      </c>
      <c r="I27" s="15">
        <v>19225577.640000001</v>
      </c>
      <c r="J27" s="15">
        <v>40291613780.93</v>
      </c>
      <c r="K27" s="10">
        <f t="shared" si="1"/>
        <v>4.7716077456047334E-4</v>
      </c>
      <c r="L27" s="16">
        <v>5.0000000000000001E-4</v>
      </c>
      <c r="M27" s="9" t="str">
        <f t="shared" si="2"/>
        <v>Sim</v>
      </c>
      <c r="N27" s="16">
        <v>8.0000000000000004E-4</v>
      </c>
      <c r="O27" s="16">
        <v>8.0000000000000004E-4</v>
      </c>
      <c r="P27" s="16">
        <v>7.000000000000001E-4</v>
      </c>
      <c r="Q27" s="15">
        <v>32233291.02</v>
      </c>
      <c r="R27" s="15">
        <v>30621626.469999999</v>
      </c>
      <c r="S27" s="15">
        <v>29009961.920000002</v>
      </c>
      <c r="T27" s="9" t="str">
        <f t="shared" si="3"/>
        <v>Abaixo do limite de alerta</v>
      </c>
      <c r="U27" s="9" t="s">
        <v>53</v>
      </c>
    </row>
    <row r="28" spans="1:21" x14ac:dyDescent="0.25">
      <c r="A28" s="9" t="str">
        <f t="shared" si="0"/>
        <v>Ministério Público de Contas dos Municípios do Pará|3º quad. 2024</v>
      </c>
      <c r="B28" s="9" t="s">
        <v>20</v>
      </c>
      <c r="C28" s="9" t="s">
        <v>18</v>
      </c>
      <c r="D28" s="9" t="s">
        <v>20</v>
      </c>
      <c r="E28" s="9" t="s">
        <v>51</v>
      </c>
      <c r="F28" s="9">
        <v>3</v>
      </c>
      <c r="G28" s="9" t="s">
        <v>7</v>
      </c>
      <c r="H28" s="9" t="s">
        <v>55</v>
      </c>
      <c r="I28" s="15">
        <v>20292473.739999998</v>
      </c>
      <c r="J28" s="15">
        <v>40972569817.110001</v>
      </c>
      <c r="K28" s="10">
        <f t="shared" si="1"/>
        <v>4.9526973364326127E-4</v>
      </c>
      <c r="L28" s="16">
        <v>5.0000000000000001E-4</v>
      </c>
      <c r="M28" s="9" t="str">
        <f t="shared" si="2"/>
        <v>Sim</v>
      </c>
      <c r="N28" s="16">
        <v>8.0000000000000004E-4</v>
      </c>
      <c r="O28" s="16">
        <v>8.0000000000000004E-4</v>
      </c>
      <c r="P28" s="16">
        <v>7.000000000000001E-4</v>
      </c>
      <c r="Q28" s="15">
        <v>32778055.850000001</v>
      </c>
      <c r="R28" s="15">
        <v>31139153.059999999</v>
      </c>
      <c r="S28" s="15">
        <v>29500250.27</v>
      </c>
      <c r="T28" s="9" t="str">
        <f t="shared" si="3"/>
        <v>Abaixo do limite de alerta</v>
      </c>
      <c r="U28" s="9" t="s">
        <v>53</v>
      </c>
    </row>
    <row r="29" spans="1:21" x14ac:dyDescent="0.25">
      <c r="A29" s="9" t="str">
        <f t="shared" si="0"/>
        <v>Ministério Público de Contas dos Municípios do Pará|1º quad. 2025</v>
      </c>
      <c r="B29" s="9" t="s">
        <v>20</v>
      </c>
      <c r="C29" s="9" t="s">
        <v>18</v>
      </c>
      <c r="D29" s="9" t="s">
        <v>20</v>
      </c>
      <c r="E29" s="9" t="s">
        <v>56</v>
      </c>
      <c r="F29" s="9">
        <v>1</v>
      </c>
      <c r="G29" s="9" t="s">
        <v>8</v>
      </c>
      <c r="H29" s="9" t="s">
        <v>57</v>
      </c>
      <c r="I29" s="15">
        <v>20955023</v>
      </c>
      <c r="J29" s="15">
        <v>41062907173.040001</v>
      </c>
      <c r="K29" s="10">
        <f t="shared" si="1"/>
        <v>5.1031513457376674E-4</v>
      </c>
      <c r="L29" s="16">
        <v>5.0000000000000001E-4</v>
      </c>
      <c r="M29" s="9" t="str">
        <f t="shared" si="2"/>
        <v>Sim</v>
      </c>
      <c r="N29" s="16">
        <v>8.0000000000000004E-4</v>
      </c>
      <c r="O29" s="16">
        <v>8.0000000000000004E-4</v>
      </c>
      <c r="P29" s="16">
        <v>7.000000000000001E-4</v>
      </c>
      <c r="Q29" s="15">
        <v>32850325.739999998</v>
      </c>
      <c r="R29" s="15">
        <v>31207809.449999999</v>
      </c>
      <c r="S29" s="15">
        <v>29565293.170000002</v>
      </c>
      <c r="T29" s="9" t="str">
        <f t="shared" si="3"/>
        <v>Abaixo do limite de alerta</v>
      </c>
      <c r="U29" s="9" t="s">
        <v>53</v>
      </c>
    </row>
    <row r="30" spans="1:21" x14ac:dyDescent="0.25">
      <c r="A30" s="9" t="str">
        <f t="shared" si="0"/>
        <v>Ministério Público de Contas dos Municípios do Pará|2º quad. 2025</v>
      </c>
      <c r="B30" s="9" t="s">
        <v>20</v>
      </c>
      <c r="C30" s="9" t="s">
        <v>18</v>
      </c>
      <c r="D30" s="9" t="s">
        <v>20</v>
      </c>
      <c r="E30" s="9" t="s">
        <v>56</v>
      </c>
      <c r="F30" s="9">
        <v>2</v>
      </c>
      <c r="G30" s="9" t="s">
        <v>9</v>
      </c>
      <c r="H30" s="9" t="s">
        <v>58</v>
      </c>
      <c r="I30" s="15">
        <v>21770046.809999999</v>
      </c>
      <c r="J30" s="15">
        <v>42830906825.120003</v>
      </c>
      <c r="K30" s="10">
        <f t="shared" si="1"/>
        <v>5.0827891407687943E-4</v>
      </c>
      <c r="L30" s="16">
        <v>5.0000000000000001E-4</v>
      </c>
      <c r="M30" s="9" t="str">
        <f t="shared" si="2"/>
        <v>Sim</v>
      </c>
      <c r="N30" s="16">
        <v>8.0000000000000004E-4</v>
      </c>
      <c r="O30" s="16">
        <v>8.0000000000000004E-4</v>
      </c>
      <c r="P30" s="16">
        <v>7.000000000000001E-4</v>
      </c>
      <c r="Q30" s="15">
        <v>34264725.460000001</v>
      </c>
      <c r="R30" s="15">
        <v>32551489.190000001</v>
      </c>
      <c r="S30" s="15">
        <v>30838252.91</v>
      </c>
      <c r="T30" s="9" t="str">
        <f t="shared" si="3"/>
        <v>Abaixo do limite de alerta</v>
      </c>
      <c r="U30" s="9" t="s">
        <v>53</v>
      </c>
    </row>
    <row r="31" spans="1:21" x14ac:dyDescent="0.25">
      <c r="A31" s="9" t="str">
        <f t="shared" si="0"/>
        <v>Ministério Público de Contas dos Municípios do Pará|3º quad. 2025</v>
      </c>
      <c r="B31" s="9" t="s">
        <v>20</v>
      </c>
      <c r="C31" s="9" t="s">
        <v>18</v>
      </c>
      <c r="D31" s="9" t="s">
        <v>20</v>
      </c>
      <c r="E31" s="9" t="s">
        <v>56</v>
      </c>
      <c r="F31" s="9">
        <v>3</v>
      </c>
      <c r="G31" s="9" t="s">
        <v>10</v>
      </c>
      <c r="H31" s="9" t="s">
        <v>59</v>
      </c>
      <c r="I31" s="15">
        <v>24102221.41</v>
      </c>
      <c r="J31" s="15">
        <v>44657312944.139999</v>
      </c>
      <c r="K31" s="10">
        <f t="shared" si="1"/>
        <v>5.3971499449929916E-4</v>
      </c>
      <c r="L31" s="16">
        <v>5.0000000000000001E-4</v>
      </c>
      <c r="M31" s="9" t="str">
        <f t="shared" si="2"/>
        <v>Sim</v>
      </c>
      <c r="N31" s="16">
        <v>8.0000000000000004E-4</v>
      </c>
      <c r="O31" s="16">
        <v>8.0000000000000004E-4</v>
      </c>
      <c r="P31" s="16">
        <v>7.000000000000001E-4</v>
      </c>
      <c r="Q31" s="15">
        <v>35725850.359999999</v>
      </c>
      <c r="R31" s="15">
        <v>33939557.840000004</v>
      </c>
      <c r="S31" s="15">
        <v>32153265.32</v>
      </c>
      <c r="T31" s="9" t="str">
        <f t="shared" si="3"/>
        <v>Abaixo do limite de alerta</v>
      </c>
      <c r="U31" s="9" t="s">
        <v>53</v>
      </c>
    </row>
    <row r="32" spans="1:21" x14ac:dyDescent="0.25">
      <c r="A32" s="9" t="str">
        <f t="shared" si="0"/>
        <v>Ministério Público de Contas dos Municípios do Pará|1º quad. 2026</v>
      </c>
      <c r="B32" s="9" t="s">
        <v>20</v>
      </c>
      <c r="C32" s="9" t="s">
        <v>18</v>
      </c>
      <c r="D32" s="9" t="s">
        <v>20</v>
      </c>
      <c r="E32" s="9" t="s">
        <v>60</v>
      </c>
      <c r="F32" s="9">
        <v>1</v>
      </c>
      <c r="G32" s="9" t="s">
        <v>11</v>
      </c>
      <c r="H32" s="9" t="s">
        <v>61</v>
      </c>
      <c r="I32" s="17"/>
      <c r="J32" s="15">
        <v>46711648735.010002</v>
      </c>
      <c r="K32" s="10" t="str">
        <f t="shared" si="1"/>
        <v/>
      </c>
      <c r="L32" s="10"/>
      <c r="M32" s="9" t="str">
        <f t="shared" si="2"/>
        <v>Não declarado</v>
      </c>
      <c r="N32" s="10"/>
      <c r="O32" s="10"/>
      <c r="P32" s="10"/>
      <c r="Q32" s="17"/>
      <c r="R32" s="17"/>
      <c r="S32" s="17"/>
      <c r="T32" s="9" t="str">
        <f t="shared" si="3"/>
        <v>Sem dado</v>
      </c>
      <c r="U32" s="9"/>
    </row>
    <row r="33" spans="1:21" x14ac:dyDescent="0.25">
      <c r="A33" s="9" t="str">
        <f t="shared" si="0"/>
        <v>Ministério Público de Contas dos Municípios do Pará|2º quad. 2026</v>
      </c>
      <c r="B33" s="9" t="s">
        <v>20</v>
      </c>
      <c r="C33" s="9" t="s">
        <v>18</v>
      </c>
      <c r="D33" s="9" t="s">
        <v>20</v>
      </c>
      <c r="E33" s="9" t="s">
        <v>60</v>
      </c>
      <c r="F33" s="9">
        <v>2</v>
      </c>
      <c r="G33" s="9" t="s">
        <v>12</v>
      </c>
      <c r="H33" s="9" t="s">
        <v>62</v>
      </c>
      <c r="I33" s="17"/>
      <c r="J33" s="15">
        <v>46579377916.389999</v>
      </c>
      <c r="K33" s="10" t="str">
        <f t="shared" si="1"/>
        <v/>
      </c>
      <c r="L33" s="10"/>
      <c r="M33" s="9" t="str">
        <f t="shared" si="2"/>
        <v>Não declarado</v>
      </c>
      <c r="N33" s="10"/>
      <c r="O33" s="10"/>
      <c r="P33" s="10"/>
      <c r="Q33" s="17"/>
      <c r="R33" s="17"/>
      <c r="S33" s="17"/>
      <c r="T33" s="9" t="str">
        <f t="shared" si="3"/>
        <v>Sem dado</v>
      </c>
      <c r="U33" s="9"/>
    </row>
    <row r="34" spans="1:21" x14ac:dyDescent="0.25">
      <c r="A34" s="9" t="str">
        <f t="shared" ref="A34:A65" si="4">B34&amp;"|"&amp;G34</f>
        <v>Tribunal de Justiça|1º quad. 2024</v>
      </c>
      <c r="B34" s="9" t="s">
        <v>21</v>
      </c>
      <c r="C34" s="9" t="s">
        <v>22</v>
      </c>
      <c r="D34" s="9" t="s">
        <v>65</v>
      </c>
      <c r="E34" s="9" t="s">
        <v>51</v>
      </c>
      <c r="F34" s="9">
        <v>1</v>
      </c>
      <c r="G34" s="9" t="s">
        <v>5</v>
      </c>
      <c r="H34" s="9" t="s">
        <v>52</v>
      </c>
      <c r="I34" s="15">
        <v>1380258838.54</v>
      </c>
      <c r="J34" s="15">
        <v>38683018377.120003</v>
      </c>
      <c r="K34" s="10">
        <f t="shared" ref="K34:K65" si="5">IF(OR(I34="",J34="",J34=0),"",I34/J34)</f>
        <v>3.5681260057937647E-2</v>
      </c>
      <c r="L34" s="16">
        <v>3.5700000000000003E-2</v>
      </c>
      <c r="M34" s="9" t="str">
        <f t="shared" ref="M34:M65" si="6">IF(L34="","Não declarado",IF(K34="","Sem dado",IF(ABS(K34-L34)&lt;=0.00005,"Sim","Não")))</f>
        <v>Sim</v>
      </c>
      <c r="N34" s="16">
        <v>0.06</v>
      </c>
      <c r="O34" s="16">
        <v>5.7000000000000002E-2</v>
      </c>
      <c r="P34" s="16">
        <v>5.4000000000000013E-2</v>
      </c>
      <c r="Q34" s="15">
        <v>2320981102.6199999</v>
      </c>
      <c r="R34" s="15">
        <v>2204932047.4899998</v>
      </c>
      <c r="S34" s="15">
        <v>2088882992.3599999</v>
      </c>
      <c r="T34" s="9" t="str">
        <f t="shared" ref="T34:T65" si="7">IF(K34="","Sem dado",IF(N34="","Sem limite próprio na LRF",IF(AND(Q34&lt;&gt;"",R34&lt;&gt;"",S34&lt;&gt;""),IF(I34&gt;Q34,"Acima do limite máximo",IF(I34&gt;R34,"Acima do limite prudencial",IF(I34&gt;S34,"Acima do limite de alerta","Abaixo do limite de alerta"))),IF(K34&gt;N34,"Acima do limite máximo",IF(K34&gt;O34,"Acima do limite prudencial",IF(K34&gt;P34,"Acima do limite de alerta","Abaixo do limite de alerta"))))))</f>
        <v>Abaixo do limite de alerta</v>
      </c>
      <c r="U34" s="9" t="s">
        <v>53</v>
      </c>
    </row>
    <row r="35" spans="1:21" x14ac:dyDescent="0.25">
      <c r="A35" s="9" t="str">
        <f t="shared" si="4"/>
        <v>Tribunal de Justiça|2º quad. 2024</v>
      </c>
      <c r="B35" s="9" t="s">
        <v>21</v>
      </c>
      <c r="C35" s="9" t="s">
        <v>22</v>
      </c>
      <c r="D35" s="9" t="s">
        <v>65</v>
      </c>
      <c r="E35" s="9" t="s">
        <v>51</v>
      </c>
      <c r="F35" s="9">
        <v>2</v>
      </c>
      <c r="G35" s="9" t="s">
        <v>6</v>
      </c>
      <c r="H35" s="9" t="s">
        <v>54</v>
      </c>
      <c r="I35" s="15">
        <v>1468514885.1900001</v>
      </c>
      <c r="J35" s="15">
        <v>40291613780.93</v>
      </c>
      <c r="K35" s="10">
        <f t="shared" si="5"/>
        <v>3.6447159778073904E-2</v>
      </c>
      <c r="L35" s="16">
        <v>3.6400000000000002E-2</v>
      </c>
      <c r="M35" s="9" t="str">
        <f t="shared" si="6"/>
        <v>Sim</v>
      </c>
      <c r="N35" s="16">
        <v>0.06</v>
      </c>
      <c r="O35" s="16">
        <v>5.7000000000000002E-2</v>
      </c>
      <c r="P35" s="16">
        <v>5.4000000000000013E-2</v>
      </c>
      <c r="Q35" s="15">
        <v>2417496826.8600001</v>
      </c>
      <c r="R35" s="15">
        <v>2296621985.52</v>
      </c>
      <c r="S35" s="15">
        <v>2175747144.1700001</v>
      </c>
      <c r="T35" s="9" t="str">
        <f t="shared" si="7"/>
        <v>Abaixo do limite de alerta</v>
      </c>
      <c r="U35" s="9" t="s">
        <v>53</v>
      </c>
    </row>
    <row r="36" spans="1:21" x14ac:dyDescent="0.25">
      <c r="A36" s="9" t="str">
        <f t="shared" si="4"/>
        <v>Tribunal de Justiça|3º quad. 2024</v>
      </c>
      <c r="B36" s="9" t="s">
        <v>21</v>
      </c>
      <c r="C36" s="9" t="s">
        <v>22</v>
      </c>
      <c r="D36" s="9" t="s">
        <v>65</v>
      </c>
      <c r="E36" s="9" t="s">
        <v>51</v>
      </c>
      <c r="F36" s="9">
        <v>3</v>
      </c>
      <c r="G36" s="9" t="s">
        <v>7</v>
      </c>
      <c r="H36" s="9" t="s">
        <v>55</v>
      </c>
      <c r="I36" s="15">
        <v>1588545130.6099999</v>
      </c>
      <c r="J36" s="15">
        <v>40972569817.110001</v>
      </c>
      <c r="K36" s="10">
        <f t="shared" si="5"/>
        <v>3.877094206443036E-2</v>
      </c>
      <c r="L36" s="16">
        <v>3.8800000000000001E-2</v>
      </c>
      <c r="M36" s="9" t="str">
        <f t="shared" si="6"/>
        <v>Sim</v>
      </c>
      <c r="N36" s="16">
        <v>0.06</v>
      </c>
      <c r="O36" s="16">
        <v>5.7000000000000002E-2</v>
      </c>
      <c r="P36" s="16">
        <v>5.4000000000000013E-2</v>
      </c>
      <c r="Q36" s="15">
        <v>2458354189.02</v>
      </c>
      <c r="R36" s="15">
        <v>2335436479.5700002</v>
      </c>
      <c r="S36" s="15">
        <v>2212518770.1199999</v>
      </c>
      <c r="T36" s="9" t="str">
        <f t="shared" si="7"/>
        <v>Abaixo do limite de alerta</v>
      </c>
      <c r="U36" s="9" t="s">
        <v>53</v>
      </c>
    </row>
    <row r="37" spans="1:21" x14ac:dyDescent="0.25">
      <c r="A37" s="9" t="str">
        <f t="shared" si="4"/>
        <v>Tribunal de Justiça|1º quad. 2025</v>
      </c>
      <c r="B37" s="9" t="s">
        <v>21</v>
      </c>
      <c r="C37" s="9" t="s">
        <v>22</v>
      </c>
      <c r="D37" s="9" t="s">
        <v>65</v>
      </c>
      <c r="E37" s="9" t="s">
        <v>56</v>
      </c>
      <c r="F37" s="9">
        <v>1</v>
      </c>
      <c r="G37" s="9" t="s">
        <v>8</v>
      </c>
      <c r="H37" s="9" t="s">
        <v>57</v>
      </c>
      <c r="I37" s="15">
        <v>1685763558.5999999</v>
      </c>
      <c r="J37" s="15">
        <v>41062907173.040001</v>
      </c>
      <c r="K37" s="10">
        <f t="shared" si="5"/>
        <v>4.105319556397103E-2</v>
      </c>
      <c r="L37" s="16">
        <v>4.1099999999999998E-2</v>
      </c>
      <c r="M37" s="9" t="str">
        <f t="shared" si="6"/>
        <v>Sim</v>
      </c>
      <c r="N37" s="16">
        <v>0.06</v>
      </c>
      <c r="O37" s="16">
        <v>5.7000000000000002E-2</v>
      </c>
      <c r="P37" s="16">
        <v>5.4000000000000013E-2</v>
      </c>
      <c r="Q37" s="15">
        <v>2463774430.3800001</v>
      </c>
      <c r="R37" s="15">
        <v>2340585708.8600001</v>
      </c>
      <c r="S37" s="15">
        <v>2217396987.3400002</v>
      </c>
      <c r="T37" s="9" t="str">
        <f t="shared" si="7"/>
        <v>Abaixo do limite de alerta</v>
      </c>
      <c r="U37" s="9" t="s">
        <v>53</v>
      </c>
    </row>
    <row r="38" spans="1:21" x14ac:dyDescent="0.25">
      <c r="A38" s="9" t="str">
        <f t="shared" si="4"/>
        <v>Tribunal de Justiça|2º quad. 2025</v>
      </c>
      <c r="B38" s="9" t="s">
        <v>21</v>
      </c>
      <c r="C38" s="9" t="s">
        <v>22</v>
      </c>
      <c r="D38" s="9" t="s">
        <v>65</v>
      </c>
      <c r="E38" s="9" t="s">
        <v>56</v>
      </c>
      <c r="F38" s="9">
        <v>2</v>
      </c>
      <c r="G38" s="9" t="s">
        <v>9</v>
      </c>
      <c r="H38" s="9" t="s">
        <v>58</v>
      </c>
      <c r="I38" s="15">
        <v>1738681059.5999999</v>
      </c>
      <c r="J38" s="15">
        <v>42830906825.120003</v>
      </c>
      <c r="K38" s="10">
        <f t="shared" si="5"/>
        <v>4.059407536476152E-2</v>
      </c>
      <c r="L38" s="16">
        <v>4.0599999999999997E-2</v>
      </c>
      <c r="M38" s="9" t="str">
        <f t="shared" si="6"/>
        <v>Sim</v>
      </c>
      <c r="N38" s="16">
        <v>0.06</v>
      </c>
      <c r="O38" s="16">
        <v>5.7000000000000002E-2</v>
      </c>
      <c r="P38" s="16">
        <v>5.4000000000000013E-2</v>
      </c>
      <c r="Q38" s="15">
        <v>2569854409.5</v>
      </c>
      <c r="R38" s="15">
        <v>2441361689.0300002</v>
      </c>
      <c r="S38" s="15">
        <v>2312868968.5500002</v>
      </c>
      <c r="T38" s="9" t="str">
        <f t="shared" si="7"/>
        <v>Abaixo do limite de alerta</v>
      </c>
      <c r="U38" s="9" t="s">
        <v>53</v>
      </c>
    </row>
    <row r="39" spans="1:21" x14ac:dyDescent="0.25">
      <c r="A39" s="9" t="str">
        <f t="shared" si="4"/>
        <v>Tribunal de Justiça|3º quad. 2025</v>
      </c>
      <c r="B39" s="9" t="s">
        <v>21</v>
      </c>
      <c r="C39" s="9" t="s">
        <v>22</v>
      </c>
      <c r="D39" s="9" t="s">
        <v>65</v>
      </c>
      <c r="E39" s="9" t="s">
        <v>56</v>
      </c>
      <c r="F39" s="9">
        <v>3</v>
      </c>
      <c r="G39" s="9" t="s">
        <v>10</v>
      </c>
      <c r="H39" s="9" t="s">
        <v>59</v>
      </c>
      <c r="I39" s="15">
        <v>1755332138.1900001</v>
      </c>
      <c r="J39" s="15">
        <v>44657312944.139999</v>
      </c>
      <c r="K39" s="10">
        <f t="shared" si="5"/>
        <v>3.9306711991061193E-2</v>
      </c>
      <c r="L39" s="16">
        <v>3.9300000000000002E-2</v>
      </c>
      <c r="M39" s="9" t="str">
        <f t="shared" si="6"/>
        <v>Sim</v>
      </c>
      <c r="N39" s="16">
        <v>0.06</v>
      </c>
      <c r="O39" s="16">
        <v>5.7000000000000002E-2</v>
      </c>
      <c r="P39" s="16">
        <v>5.4000000000000013E-2</v>
      </c>
      <c r="Q39" s="15">
        <v>2679438776.6500001</v>
      </c>
      <c r="R39" s="15">
        <v>2545466837.8200002</v>
      </c>
      <c r="S39" s="15">
        <v>2411494898.9899998</v>
      </c>
      <c r="T39" s="9" t="str">
        <f t="shared" si="7"/>
        <v>Abaixo do limite de alerta</v>
      </c>
      <c r="U39" s="9" t="s">
        <v>53</v>
      </c>
    </row>
    <row r="40" spans="1:21" x14ac:dyDescent="0.25">
      <c r="A40" s="9" t="str">
        <f t="shared" si="4"/>
        <v>Tribunal de Justiça|1º quad. 2026</v>
      </c>
      <c r="B40" s="9" t="s">
        <v>21</v>
      </c>
      <c r="C40" s="9" t="s">
        <v>22</v>
      </c>
      <c r="D40" s="9" t="s">
        <v>65</v>
      </c>
      <c r="E40" s="9" t="s">
        <v>60</v>
      </c>
      <c r="F40" s="9">
        <v>1</v>
      </c>
      <c r="G40" s="9" t="s">
        <v>11</v>
      </c>
      <c r="H40" s="9" t="s">
        <v>61</v>
      </c>
      <c r="I40" s="15">
        <v>1817037154.01</v>
      </c>
      <c r="J40" s="15">
        <v>46711648735.010002</v>
      </c>
      <c r="K40" s="10">
        <f t="shared" si="5"/>
        <v>3.8899015624942933E-2</v>
      </c>
      <c r="L40" s="16">
        <v>3.8899999999999997E-2</v>
      </c>
      <c r="M40" s="9" t="str">
        <f t="shared" si="6"/>
        <v>Sim</v>
      </c>
      <c r="N40" s="16">
        <v>0.06</v>
      </c>
      <c r="O40" s="16">
        <v>5.7000000000000002E-2</v>
      </c>
      <c r="P40" s="16">
        <v>5.4000000000000013E-2</v>
      </c>
      <c r="Q40" s="15">
        <v>2802698924.0999999</v>
      </c>
      <c r="R40" s="15">
        <v>2662563977.9000001</v>
      </c>
      <c r="S40" s="15">
        <v>2522429031.6900001</v>
      </c>
      <c r="T40" s="9" t="str">
        <f t="shared" si="7"/>
        <v>Abaixo do limite de alerta</v>
      </c>
      <c r="U40" s="9" t="s">
        <v>53</v>
      </c>
    </row>
    <row r="41" spans="1:21" x14ac:dyDescent="0.25">
      <c r="A41" s="9" t="str">
        <f t="shared" si="4"/>
        <v>Tribunal de Justiça|2º quad. 2026</v>
      </c>
      <c r="B41" s="9" t="s">
        <v>21</v>
      </c>
      <c r="C41" s="9" t="s">
        <v>22</v>
      </c>
      <c r="D41" s="9" t="s">
        <v>65</v>
      </c>
      <c r="E41" s="9" t="s">
        <v>60</v>
      </c>
      <c r="F41" s="9">
        <v>2</v>
      </c>
      <c r="G41" s="9" t="s">
        <v>12</v>
      </c>
      <c r="H41" s="9" t="s">
        <v>62</v>
      </c>
      <c r="I41" s="15">
        <v>1802778026.8499999</v>
      </c>
      <c r="J41" s="15">
        <v>46579377916.389999</v>
      </c>
      <c r="K41" s="10">
        <f t="shared" si="5"/>
        <v>3.8703351300354141E-2</v>
      </c>
      <c r="L41" s="16">
        <v>3.8699999999999998E-2</v>
      </c>
      <c r="M41" s="9" t="str">
        <f t="shared" si="6"/>
        <v>Sim</v>
      </c>
      <c r="N41" s="16">
        <v>0.06</v>
      </c>
      <c r="O41" s="16">
        <v>5.7000000000000002E-2</v>
      </c>
      <c r="P41" s="16">
        <v>5.4000000000000013E-2</v>
      </c>
      <c r="Q41" s="15">
        <v>2794762674.98</v>
      </c>
      <c r="R41" s="15">
        <v>2655024541.23</v>
      </c>
      <c r="S41" s="15">
        <v>2515286407.48</v>
      </c>
      <c r="T41" s="9" t="str">
        <f t="shared" si="7"/>
        <v>Abaixo do limite de alerta</v>
      </c>
      <c r="U41" s="9" t="s">
        <v>53</v>
      </c>
    </row>
    <row r="42" spans="1:21" x14ac:dyDescent="0.25">
      <c r="A42" s="9" t="str">
        <f t="shared" si="4"/>
        <v>Tribunal de Contas|1º quad. 2024</v>
      </c>
      <c r="B42" s="9" t="s">
        <v>23</v>
      </c>
      <c r="C42" s="9" t="s">
        <v>23</v>
      </c>
      <c r="D42" s="9" t="s">
        <v>66</v>
      </c>
      <c r="E42" s="9" t="s">
        <v>51</v>
      </c>
      <c r="F42" s="9">
        <v>1</v>
      </c>
      <c r="G42" s="9" t="s">
        <v>5</v>
      </c>
      <c r="H42" s="9" t="s">
        <v>52</v>
      </c>
      <c r="I42" s="15">
        <v>242013462.19</v>
      </c>
      <c r="J42" s="15">
        <v>38683018377.120003</v>
      </c>
      <c r="K42" s="10">
        <f t="shared" si="5"/>
        <v>6.2563231191169058E-3</v>
      </c>
      <c r="L42" s="16">
        <v>6.3E-3</v>
      </c>
      <c r="M42" s="9" t="str">
        <f t="shared" si="6"/>
        <v>Sim</v>
      </c>
      <c r="N42" s="16">
        <v>9.5999999999999992E-3</v>
      </c>
      <c r="O42" s="16">
        <v>9.1000000000000004E-3</v>
      </c>
      <c r="P42" s="16">
        <v>8.6E-3</v>
      </c>
      <c r="Q42" s="15">
        <v>371356976.42000002</v>
      </c>
      <c r="R42" s="15">
        <v>352789127.60000002</v>
      </c>
      <c r="S42" s="15">
        <v>334221278.77999997</v>
      </c>
      <c r="T42" s="9" t="str">
        <f t="shared" si="7"/>
        <v>Abaixo do limite de alerta</v>
      </c>
      <c r="U42" s="9" t="s">
        <v>53</v>
      </c>
    </row>
    <row r="43" spans="1:21" x14ac:dyDescent="0.25">
      <c r="A43" s="9" t="str">
        <f t="shared" si="4"/>
        <v>Tribunal de Contas|2º quad. 2024</v>
      </c>
      <c r="B43" s="9" t="s">
        <v>23</v>
      </c>
      <c r="C43" s="9" t="s">
        <v>23</v>
      </c>
      <c r="D43" s="9" t="s">
        <v>66</v>
      </c>
      <c r="E43" s="9" t="s">
        <v>51</v>
      </c>
      <c r="F43" s="9">
        <v>2</v>
      </c>
      <c r="G43" s="9" t="s">
        <v>6</v>
      </c>
      <c r="H43" s="9" t="s">
        <v>54</v>
      </c>
      <c r="I43" s="15">
        <v>252180274.34</v>
      </c>
      <c r="J43" s="15">
        <v>40291613780.93</v>
      </c>
      <c r="K43" s="10">
        <f t="shared" si="5"/>
        <v>6.2588774853033265E-3</v>
      </c>
      <c r="L43" s="16">
        <v>6.3E-3</v>
      </c>
      <c r="M43" s="9" t="str">
        <f t="shared" si="6"/>
        <v>Sim</v>
      </c>
      <c r="N43" s="16">
        <v>9.5999999999999992E-3</v>
      </c>
      <c r="O43" s="16">
        <v>9.1000000000000004E-3</v>
      </c>
      <c r="P43" s="16">
        <v>8.6E-3</v>
      </c>
      <c r="Q43" s="15">
        <v>386799492.30000001</v>
      </c>
      <c r="R43" s="15">
        <v>367459517.69</v>
      </c>
      <c r="S43" s="15">
        <v>348119543.06999999</v>
      </c>
      <c r="T43" s="9" t="str">
        <f t="shared" si="7"/>
        <v>Abaixo do limite de alerta</v>
      </c>
      <c r="U43" s="9" t="s">
        <v>53</v>
      </c>
    </row>
    <row r="44" spans="1:21" x14ac:dyDescent="0.25">
      <c r="A44" s="9" t="str">
        <f t="shared" si="4"/>
        <v>Tribunal de Contas|3º quad. 2024</v>
      </c>
      <c r="B44" s="9" t="s">
        <v>23</v>
      </c>
      <c r="C44" s="9" t="s">
        <v>23</v>
      </c>
      <c r="D44" s="9" t="s">
        <v>66</v>
      </c>
      <c r="E44" s="9" t="s">
        <v>51</v>
      </c>
      <c r="F44" s="9">
        <v>3</v>
      </c>
      <c r="G44" s="9" t="s">
        <v>7</v>
      </c>
      <c r="H44" s="9" t="s">
        <v>55</v>
      </c>
      <c r="I44" s="15">
        <v>267364887.72</v>
      </c>
      <c r="J44" s="15">
        <v>40972569817.110001</v>
      </c>
      <c r="K44" s="10">
        <f t="shared" si="5"/>
        <v>6.5254605438087353E-3</v>
      </c>
      <c r="L44" s="16">
        <v>6.5000000000000006E-3</v>
      </c>
      <c r="M44" s="9" t="str">
        <f t="shared" si="6"/>
        <v>Sim</v>
      </c>
      <c r="N44" s="16">
        <v>9.5999999999999992E-3</v>
      </c>
      <c r="O44" s="16">
        <v>9.1000000000000004E-3</v>
      </c>
      <c r="P44" s="16">
        <v>8.6E-3</v>
      </c>
      <c r="Q44" s="15">
        <v>393336670.24000001</v>
      </c>
      <c r="R44" s="15">
        <v>373669836.73000002</v>
      </c>
      <c r="S44" s="15">
        <v>354003003.22000003</v>
      </c>
      <c r="T44" s="9" t="str">
        <f t="shared" si="7"/>
        <v>Abaixo do limite de alerta</v>
      </c>
      <c r="U44" s="9" t="s">
        <v>53</v>
      </c>
    </row>
    <row r="45" spans="1:21" x14ac:dyDescent="0.25">
      <c r="A45" s="9" t="str">
        <f t="shared" si="4"/>
        <v>Tribunal de Contas|1º quad. 2025</v>
      </c>
      <c r="B45" s="9" t="s">
        <v>23</v>
      </c>
      <c r="C45" s="9" t="s">
        <v>23</v>
      </c>
      <c r="D45" s="9" t="s">
        <v>66</v>
      </c>
      <c r="E45" s="9" t="s">
        <v>56</v>
      </c>
      <c r="F45" s="9">
        <v>1</v>
      </c>
      <c r="G45" s="9" t="s">
        <v>8</v>
      </c>
      <c r="H45" s="9" t="s">
        <v>57</v>
      </c>
      <c r="I45" s="15">
        <v>282343092.18000001</v>
      </c>
      <c r="J45" s="15">
        <v>41062907173.040001</v>
      </c>
      <c r="K45" s="10">
        <f t="shared" si="5"/>
        <v>6.8758670931456448E-3</v>
      </c>
      <c r="L45" s="16">
        <v>6.8999999999999999E-3</v>
      </c>
      <c r="M45" s="9" t="str">
        <f t="shared" si="6"/>
        <v>Sim</v>
      </c>
      <c r="N45" s="16">
        <v>9.5999999999999992E-3</v>
      </c>
      <c r="O45" s="16">
        <v>9.1000000000000004E-3</v>
      </c>
      <c r="P45" s="16">
        <v>8.6E-3</v>
      </c>
      <c r="Q45" s="15">
        <v>394203908.86000001</v>
      </c>
      <c r="R45" s="15">
        <v>374493713.42000002</v>
      </c>
      <c r="S45" s="15">
        <v>354783517.97000003</v>
      </c>
      <c r="T45" s="9" t="str">
        <f t="shared" si="7"/>
        <v>Abaixo do limite de alerta</v>
      </c>
      <c r="U45" s="9" t="s">
        <v>53</v>
      </c>
    </row>
    <row r="46" spans="1:21" x14ac:dyDescent="0.25">
      <c r="A46" s="9" t="str">
        <f t="shared" si="4"/>
        <v>Tribunal de Contas|2º quad. 2025</v>
      </c>
      <c r="B46" s="9" t="s">
        <v>23</v>
      </c>
      <c r="C46" s="9" t="s">
        <v>23</v>
      </c>
      <c r="D46" s="9" t="s">
        <v>66</v>
      </c>
      <c r="E46" s="9" t="s">
        <v>56</v>
      </c>
      <c r="F46" s="9">
        <v>2</v>
      </c>
      <c r="G46" s="9" t="s">
        <v>9</v>
      </c>
      <c r="H46" s="9" t="s">
        <v>58</v>
      </c>
      <c r="I46" s="15">
        <v>297953334.64999998</v>
      </c>
      <c r="J46" s="15">
        <v>42830906825.120003</v>
      </c>
      <c r="K46" s="10">
        <f t="shared" si="5"/>
        <v>6.9565030660348427E-3</v>
      </c>
      <c r="L46" s="16">
        <v>6.9999999999999993E-3</v>
      </c>
      <c r="M46" s="9" t="str">
        <f t="shared" si="6"/>
        <v>Sim</v>
      </c>
      <c r="N46" s="16">
        <v>9.5999999999999992E-3</v>
      </c>
      <c r="O46" s="16">
        <v>9.1000000000000004E-3</v>
      </c>
      <c r="P46" s="16">
        <v>8.6E-3</v>
      </c>
      <c r="Q46" s="15">
        <v>411176705.51999998</v>
      </c>
      <c r="R46" s="15">
        <v>390617870.24000001</v>
      </c>
      <c r="S46" s="15">
        <v>370059034.97000003</v>
      </c>
      <c r="T46" s="9" t="str">
        <f t="shared" si="7"/>
        <v>Abaixo do limite de alerta</v>
      </c>
      <c r="U46" s="9" t="s">
        <v>53</v>
      </c>
    </row>
    <row r="47" spans="1:21" x14ac:dyDescent="0.25">
      <c r="A47" s="9" t="str">
        <f t="shared" si="4"/>
        <v>Tribunal de Contas|3º quad. 2025</v>
      </c>
      <c r="B47" s="9" t="s">
        <v>23</v>
      </c>
      <c r="C47" s="9" t="s">
        <v>23</v>
      </c>
      <c r="D47" s="9" t="s">
        <v>66</v>
      </c>
      <c r="E47" s="9" t="s">
        <v>56</v>
      </c>
      <c r="F47" s="9">
        <v>3</v>
      </c>
      <c r="G47" s="9" t="s">
        <v>10</v>
      </c>
      <c r="H47" s="9" t="s">
        <v>59</v>
      </c>
      <c r="I47" s="15">
        <v>309089317.77999997</v>
      </c>
      <c r="J47" s="15">
        <v>44657312944.139999</v>
      </c>
      <c r="K47" s="10">
        <f t="shared" si="5"/>
        <v>6.9213595132028459E-3</v>
      </c>
      <c r="L47" s="16">
        <v>6.8999999999999999E-3</v>
      </c>
      <c r="M47" s="9" t="str">
        <f t="shared" si="6"/>
        <v>Sim</v>
      </c>
      <c r="N47" s="16">
        <v>9.5999999999999992E-3</v>
      </c>
      <c r="O47" s="16">
        <v>9.1000000000000004E-3</v>
      </c>
      <c r="P47" s="16">
        <v>8.6E-3</v>
      </c>
      <c r="Q47" s="15">
        <v>428710204.25999999</v>
      </c>
      <c r="R47" s="15">
        <v>407274694.05000001</v>
      </c>
      <c r="S47" s="15">
        <v>385839183.82999998</v>
      </c>
      <c r="T47" s="9" t="str">
        <f t="shared" si="7"/>
        <v>Abaixo do limite de alerta</v>
      </c>
      <c r="U47" s="9" t="s">
        <v>53</v>
      </c>
    </row>
    <row r="48" spans="1:21" x14ac:dyDescent="0.25">
      <c r="A48" s="9" t="str">
        <f t="shared" si="4"/>
        <v>Tribunal de Contas|1º quad. 2026</v>
      </c>
      <c r="B48" s="9" t="s">
        <v>23</v>
      </c>
      <c r="C48" s="9" t="s">
        <v>23</v>
      </c>
      <c r="D48" s="9" t="s">
        <v>66</v>
      </c>
      <c r="E48" s="9" t="s">
        <v>60</v>
      </c>
      <c r="F48" s="9">
        <v>1</v>
      </c>
      <c r="G48" s="9" t="s">
        <v>11</v>
      </c>
      <c r="H48" s="9" t="s">
        <v>61</v>
      </c>
      <c r="I48" s="15">
        <v>396626037.75</v>
      </c>
      <c r="J48" s="15">
        <v>46711648735.010002</v>
      </c>
      <c r="K48" s="10">
        <f t="shared" si="5"/>
        <v>8.4909449460886192E-3</v>
      </c>
      <c r="L48" s="16">
        <v>8.5000000000000006E-3</v>
      </c>
      <c r="M48" s="9" t="str">
        <f t="shared" si="6"/>
        <v>Sim</v>
      </c>
      <c r="N48" s="16">
        <v>1.1599999999999999E-2</v>
      </c>
      <c r="O48" s="16">
        <v>1.0999999999999999E-2</v>
      </c>
      <c r="P48" s="16">
        <v>1.04E-2</v>
      </c>
      <c r="Q48" s="15">
        <v>541855125.33000004</v>
      </c>
      <c r="R48" s="15">
        <v>514762369.06</v>
      </c>
      <c r="S48" s="15">
        <v>487669612.80000001</v>
      </c>
      <c r="T48" s="9" t="str">
        <f t="shared" si="7"/>
        <v>Abaixo do limite de alerta</v>
      </c>
      <c r="U48" s="9" t="s">
        <v>53</v>
      </c>
    </row>
    <row r="49" spans="1:21" x14ac:dyDescent="0.25">
      <c r="A49" s="9" t="str">
        <f t="shared" si="4"/>
        <v>Tribunal de Contas|2º quad. 2026</v>
      </c>
      <c r="B49" s="9" t="s">
        <v>23</v>
      </c>
      <c r="C49" s="9" t="s">
        <v>23</v>
      </c>
      <c r="D49" s="9" t="s">
        <v>66</v>
      </c>
      <c r="E49" s="9" t="s">
        <v>60</v>
      </c>
      <c r="F49" s="9">
        <v>2</v>
      </c>
      <c r="G49" s="9" t="s">
        <v>12</v>
      </c>
      <c r="H49" s="9" t="s">
        <v>62</v>
      </c>
      <c r="I49" s="15">
        <v>397893362.60000002</v>
      </c>
      <c r="J49" s="15">
        <v>46579377916.389999</v>
      </c>
      <c r="K49" s="10">
        <f t="shared" si="5"/>
        <v>8.5422644182629216E-3</v>
      </c>
      <c r="L49" s="16">
        <v>8.5000000000000006E-3</v>
      </c>
      <c r="M49" s="9" t="str">
        <f t="shared" si="6"/>
        <v>Sim</v>
      </c>
      <c r="N49" s="16">
        <v>1.1599999999999999E-2</v>
      </c>
      <c r="O49" s="16">
        <v>1.0999999999999999E-2</v>
      </c>
      <c r="P49" s="16">
        <v>1.04E-2</v>
      </c>
      <c r="Q49" s="15">
        <v>540320783.83000004</v>
      </c>
      <c r="R49" s="15">
        <v>513304744.63999999</v>
      </c>
      <c r="S49" s="15">
        <v>486288705.44999999</v>
      </c>
      <c r="T49" s="9" t="str">
        <f t="shared" si="7"/>
        <v>Abaixo do limite de alerta</v>
      </c>
      <c r="U49" s="9" t="s">
        <v>53</v>
      </c>
    </row>
    <row r="50" spans="1:21" x14ac:dyDescent="0.25">
      <c r="A50" s="9" t="str">
        <f t="shared" si="4"/>
        <v>Tribunal de Contas dos Municípios|1º quad. 2024</v>
      </c>
      <c r="B50" s="9" t="s">
        <v>24</v>
      </c>
      <c r="C50" s="9" t="s">
        <v>23</v>
      </c>
      <c r="D50" s="9" t="s">
        <v>67</v>
      </c>
      <c r="E50" s="9" t="s">
        <v>51</v>
      </c>
      <c r="F50" s="9">
        <v>1</v>
      </c>
      <c r="G50" s="9" t="s">
        <v>5</v>
      </c>
      <c r="H50" s="9" t="s">
        <v>52</v>
      </c>
      <c r="I50" s="15">
        <v>161267159.96000001</v>
      </c>
      <c r="J50" s="15">
        <v>38683018377.120003</v>
      </c>
      <c r="K50" s="10">
        <f t="shared" si="5"/>
        <v>4.168939413874315E-3</v>
      </c>
      <c r="L50" s="16">
        <v>4.1999999999999997E-3</v>
      </c>
      <c r="M50" s="9" t="str">
        <f t="shared" si="6"/>
        <v>Sim</v>
      </c>
      <c r="N50" s="16">
        <v>6.0000000000000001E-3</v>
      </c>
      <c r="O50" s="16">
        <v>5.6999999999999993E-3</v>
      </c>
      <c r="P50" s="16">
        <v>5.4000000000000003E-3</v>
      </c>
      <c r="Q50" s="15">
        <v>232098110.25999999</v>
      </c>
      <c r="R50" s="15">
        <v>220493204.75</v>
      </c>
      <c r="S50" s="15">
        <v>208888299.22999999</v>
      </c>
      <c r="T50" s="9" t="str">
        <f t="shared" si="7"/>
        <v>Abaixo do limite de alerta</v>
      </c>
      <c r="U50" s="9" t="s">
        <v>53</v>
      </c>
    </row>
    <row r="51" spans="1:21" x14ac:dyDescent="0.25">
      <c r="A51" s="9" t="str">
        <f t="shared" si="4"/>
        <v>Tribunal de Contas dos Municípios|2º quad. 2024</v>
      </c>
      <c r="B51" s="9" t="s">
        <v>24</v>
      </c>
      <c r="C51" s="9" t="s">
        <v>23</v>
      </c>
      <c r="D51" s="9" t="s">
        <v>67</v>
      </c>
      <c r="E51" s="9" t="s">
        <v>51</v>
      </c>
      <c r="F51" s="9">
        <v>2</v>
      </c>
      <c r="G51" s="9" t="s">
        <v>6</v>
      </c>
      <c r="H51" s="9" t="s">
        <v>54</v>
      </c>
      <c r="I51" s="15">
        <v>168503880.55000001</v>
      </c>
      <c r="J51" s="15">
        <v>40291613780.93</v>
      </c>
      <c r="K51" s="10">
        <f t="shared" si="5"/>
        <v>4.1821080055560551E-3</v>
      </c>
      <c r="L51" s="16">
        <v>4.1999999999999997E-3</v>
      </c>
      <c r="M51" s="9" t="str">
        <f t="shared" si="6"/>
        <v>Sim</v>
      </c>
      <c r="N51" s="16">
        <v>6.0000000000000001E-3</v>
      </c>
      <c r="O51" s="16">
        <v>5.6999999999999993E-3</v>
      </c>
      <c r="P51" s="16">
        <v>5.4000000000000003E-3</v>
      </c>
      <c r="Q51" s="15">
        <v>241749682.69</v>
      </c>
      <c r="R51" s="15">
        <v>229662198.56</v>
      </c>
      <c r="S51" s="15">
        <v>217574714.41999999</v>
      </c>
      <c r="T51" s="9" t="str">
        <f t="shared" si="7"/>
        <v>Abaixo do limite de alerta</v>
      </c>
      <c r="U51" s="9" t="s">
        <v>53</v>
      </c>
    </row>
    <row r="52" spans="1:21" x14ac:dyDescent="0.25">
      <c r="A52" s="9" t="str">
        <f t="shared" si="4"/>
        <v>Tribunal de Contas dos Municípios|3º quad. 2024</v>
      </c>
      <c r="B52" s="9" t="s">
        <v>24</v>
      </c>
      <c r="C52" s="9" t="s">
        <v>23</v>
      </c>
      <c r="D52" s="9" t="s">
        <v>67</v>
      </c>
      <c r="E52" s="9" t="s">
        <v>51</v>
      </c>
      <c r="F52" s="9">
        <v>3</v>
      </c>
      <c r="G52" s="9" t="s">
        <v>7</v>
      </c>
      <c r="H52" s="9" t="s">
        <v>55</v>
      </c>
      <c r="I52" s="15">
        <v>178416207.13</v>
      </c>
      <c r="J52" s="15">
        <v>40972569817.110001</v>
      </c>
      <c r="K52" s="10">
        <f t="shared" si="5"/>
        <v>4.3545281129887545E-3</v>
      </c>
      <c r="L52" s="16">
        <v>4.4000000000000003E-3</v>
      </c>
      <c r="M52" s="9" t="str">
        <f t="shared" si="6"/>
        <v>Sim</v>
      </c>
      <c r="N52" s="16">
        <v>6.0000000000000001E-3</v>
      </c>
      <c r="O52" s="16">
        <v>5.6999999999999993E-3</v>
      </c>
      <c r="P52" s="16">
        <v>5.4000000000000003E-3</v>
      </c>
      <c r="Q52" s="15">
        <v>245835418.90000001</v>
      </c>
      <c r="R52" s="15">
        <v>233543647.96000001</v>
      </c>
      <c r="S52" s="15">
        <v>221251877.00999999</v>
      </c>
      <c r="T52" s="9" t="str">
        <f t="shared" si="7"/>
        <v>Abaixo do limite de alerta</v>
      </c>
      <c r="U52" s="9" t="s">
        <v>53</v>
      </c>
    </row>
    <row r="53" spans="1:21" x14ac:dyDescent="0.25">
      <c r="A53" s="9" t="str">
        <f t="shared" si="4"/>
        <v>Tribunal de Contas dos Municípios|1º quad. 2025</v>
      </c>
      <c r="B53" s="9" t="s">
        <v>24</v>
      </c>
      <c r="C53" s="9" t="s">
        <v>23</v>
      </c>
      <c r="D53" s="9" t="s">
        <v>67</v>
      </c>
      <c r="E53" s="9" t="s">
        <v>56</v>
      </c>
      <c r="F53" s="9">
        <v>1</v>
      </c>
      <c r="G53" s="9" t="s">
        <v>8</v>
      </c>
      <c r="H53" s="9" t="s">
        <v>57</v>
      </c>
      <c r="I53" s="15">
        <v>187319618.58000001</v>
      </c>
      <c r="J53" s="15">
        <v>41062907173.040001</v>
      </c>
      <c r="K53" s="10">
        <f t="shared" si="5"/>
        <v>4.5617719610214396E-3</v>
      </c>
      <c r="L53" s="16">
        <v>4.5999999999999999E-3</v>
      </c>
      <c r="M53" s="9" t="str">
        <f t="shared" si="6"/>
        <v>Sim</v>
      </c>
      <c r="N53" s="16">
        <v>6.0000000000000001E-3</v>
      </c>
      <c r="O53" s="16">
        <v>5.6999999999999993E-3</v>
      </c>
      <c r="P53" s="16">
        <v>5.4000000000000003E-3</v>
      </c>
      <c r="Q53" s="15">
        <v>246377443.03999999</v>
      </c>
      <c r="R53" s="15">
        <v>234058570.88999999</v>
      </c>
      <c r="S53" s="15">
        <v>221739698.74000001</v>
      </c>
      <c r="T53" s="9" t="str">
        <f t="shared" si="7"/>
        <v>Abaixo do limite de alerta</v>
      </c>
      <c r="U53" s="9" t="s">
        <v>53</v>
      </c>
    </row>
    <row r="54" spans="1:21" x14ac:dyDescent="0.25">
      <c r="A54" s="9" t="str">
        <f t="shared" si="4"/>
        <v>Tribunal de Contas dos Municípios|2º quad. 2025</v>
      </c>
      <c r="B54" s="9" t="s">
        <v>24</v>
      </c>
      <c r="C54" s="9" t="s">
        <v>23</v>
      </c>
      <c r="D54" s="9" t="s">
        <v>67</v>
      </c>
      <c r="E54" s="9" t="s">
        <v>56</v>
      </c>
      <c r="F54" s="9">
        <v>2</v>
      </c>
      <c r="G54" s="9" t="s">
        <v>9</v>
      </c>
      <c r="H54" s="9" t="s">
        <v>58</v>
      </c>
      <c r="I54" s="15">
        <v>197454217.03</v>
      </c>
      <c r="J54" s="15">
        <v>42830906825.120003</v>
      </c>
      <c r="K54" s="10">
        <f t="shared" si="5"/>
        <v>4.6100872399506285E-3</v>
      </c>
      <c r="L54" s="16">
        <v>4.5999999999999999E-3</v>
      </c>
      <c r="M54" s="9" t="str">
        <f t="shared" si="6"/>
        <v>Sim</v>
      </c>
      <c r="N54" s="16">
        <v>6.0000000000000001E-3</v>
      </c>
      <c r="O54" s="16">
        <v>5.6999999999999993E-3</v>
      </c>
      <c r="P54" s="16">
        <v>5.4000000000000003E-3</v>
      </c>
      <c r="Q54" s="15">
        <v>256985440.94999999</v>
      </c>
      <c r="R54" s="15">
        <v>244136168.90000001</v>
      </c>
      <c r="S54" s="15">
        <v>231286896.86000001</v>
      </c>
      <c r="T54" s="9" t="str">
        <f t="shared" si="7"/>
        <v>Abaixo do limite de alerta</v>
      </c>
      <c r="U54" s="9" t="s">
        <v>53</v>
      </c>
    </row>
    <row r="55" spans="1:21" x14ac:dyDescent="0.25">
      <c r="A55" s="9" t="str">
        <f t="shared" si="4"/>
        <v>Tribunal de Contas dos Municípios|3º quad. 2025</v>
      </c>
      <c r="B55" s="9" t="s">
        <v>24</v>
      </c>
      <c r="C55" s="9" t="s">
        <v>23</v>
      </c>
      <c r="D55" s="9" t="s">
        <v>67</v>
      </c>
      <c r="E55" s="9" t="s">
        <v>56</v>
      </c>
      <c r="F55" s="9">
        <v>3</v>
      </c>
      <c r="G55" s="9" t="s">
        <v>10</v>
      </c>
      <c r="H55" s="9" t="s">
        <v>59</v>
      </c>
      <c r="I55" s="15">
        <v>209251063.72</v>
      </c>
      <c r="J55" s="15">
        <v>44657312944.139999</v>
      </c>
      <c r="K55" s="10">
        <f t="shared" si="5"/>
        <v>4.6857065489305993E-3</v>
      </c>
      <c r="L55" s="16">
        <v>4.6999999999999993E-3</v>
      </c>
      <c r="M55" s="9" t="str">
        <f t="shared" si="6"/>
        <v>Sim</v>
      </c>
      <c r="N55" s="16">
        <v>6.0000000000000001E-3</v>
      </c>
      <c r="O55" s="16">
        <v>5.6999999999999993E-3</v>
      </c>
      <c r="P55" s="16">
        <v>5.4000000000000003E-3</v>
      </c>
      <c r="Q55" s="15">
        <v>267943877.66</v>
      </c>
      <c r="R55" s="15">
        <v>254546683.78</v>
      </c>
      <c r="S55" s="15">
        <v>241149489.88999999</v>
      </c>
      <c r="T55" s="9" t="str">
        <f t="shared" si="7"/>
        <v>Abaixo do limite de alerta</v>
      </c>
      <c r="U55" s="9" t="s">
        <v>53</v>
      </c>
    </row>
    <row r="56" spans="1:21" x14ac:dyDescent="0.25">
      <c r="A56" s="9" t="str">
        <f t="shared" si="4"/>
        <v>Tribunal de Contas dos Municípios|1º quad. 2026</v>
      </c>
      <c r="B56" s="9" t="s">
        <v>24</v>
      </c>
      <c r="C56" s="9" t="s">
        <v>23</v>
      </c>
      <c r="D56" s="9" t="s">
        <v>67</v>
      </c>
      <c r="E56" s="9" t="s">
        <v>60</v>
      </c>
      <c r="F56" s="9">
        <v>1</v>
      </c>
      <c r="G56" s="9" t="s">
        <v>11</v>
      </c>
      <c r="H56" s="9" t="s">
        <v>61</v>
      </c>
      <c r="I56" s="15">
        <v>243062273.40000001</v>
      </c>
      <c r="J56" s="15">
        <v>46711648735.010002</v>
      </c>
      <c r="K56" s="10">
        <f t="shared" si="5"/>
        <v>5.2034616628255899E-3</v>
      </c>
      <c r="L56" s="16">
        <v>5.1999999999999998E-3</v>
      </c>
      <c r="M56" s="9" t="str">
        <f t="shared" si="6"/>
        <v>Sim</v>
      </c>
      <c r="N56" s="16">
        <v>6.7999999999999996E-3</v>
      </c>
      <c r="O56" s="16">
        <v>6.5000000000000006E-3</v>
      </c>
      <c r="P56" s="16">
        <v>6.1000000000000004E-3</v>
      </c>
      <c r="Q56" s="15">
        <v>317639211.39999998</v>
      </c>
      <c r="R56" s="15">
        <v>301757250.82999998</v>
      </c>
      <c r="S56" s="15">
        <v>285875290.25999999</v>
      </c>
      <c r="T56" s="9" t="str">
        <f t="shared" si="7"/>
        <v>Abaixo do limite de alerta</v>
      </c>
      <c r="U56" s="9" t="s">
        <v>53</v>
      </c>
    </row>
    <row r="57" spans="1:21" x14ac:dyDescent="0.25">
      <c r="A57" s="9" t="str">
        <f t="shared" si="4"/>
        <v>Tribunal de Contas dos Municípios|2º quad. 2026</v>
      </c>
      <c r="B57" s="9" t="s">
        <v>24</v>
      </c>
      <c r="C57" s="9" t="s">
        <v>23</v>
      </c>
      <c r="D57" s="9" t="s">
        <v>67</v>
      </c>
      <c r="E57" s="9" t="s">
        <v>60</v>
      </c>
      <c r="F57" s="9">
        <v>2</v>
      </c>
      <c r="G57" s="9" t="s">
        <v>12</v>
      </c>
      <c r="H57" s="9" t="s">
        <v>62</v>
      </c>
      <c r="I57" s="15">
        <v>250739663.28</v>
      </c>
      <c r="J57" s="15">
        <v>46579377916.389999</v>
      </c>
      <c r="K57" s="10">
        <f t="shared" si="5"/>
        <v>5.3830616572440662E-3</v>
      </c>
      <c r="L57" s="16">
        <v>5.4000000000000003E-3</v>
      </c>
      <c r="M57" s="9" t="str">
        <f t="shared" si="6"/>
        <v>Sim</v>
      </c>
      <c r="N57" s="16">
        <v>6.7999999999999996E-3</v>
      </c>
      <c r="O57" s="16">
        <v>6.5000000000000006E-3</v>
      </c>
      <c r="P57" s="16">
        <v>6.1000000000000004E-3</v>
      </c>
      <c r="Q57" s="15">
        <v>316739769.82999998</v>
      </c>
      <c r="R57" s="15">
        <v>300902781.33999997</v>
      </c>
      <c r="S57" s="15">
        <v>285065792.85000002</v>
      </c>
      <c r="T57" s="9" t="str">
        <f t="shared" si="7"/>
        <v>Abaixo do limite de alerta</v>
      </c>
      <c r="U57" s="9" t="s">
        <v>53</v>
      </c>
    </row>
    <row r="58" spans="1:21" x14ac:dyDescent="0.25">
      <c r="A58" s="9" t="str">
        <f t="shared" si="4"/>
        <v>Defensoria Pública|1º quad. 2024</v>
      </c>
      <c r="B58" s="9" t="s">
        <v>25</v>
      </c>
      <c r="C58" s="9" t="s">
        <v>25</v>
      </c>
      <c r="D58" s="9" t="s">
        <v>68</v>
      </c>
      <c r="E58" s="9" t="s">
        <v>51</v>
      </c>
      <c r="F58" s="9">
        <v>1</v>
      </c>
      <c r="G58" s="9" t="s">
        <v>5</v>
      </c>
      <c r="H58" s="9" t="s">
        <v>52</v>
      </c>
      <c r="I58" s="15">
        <v>220448677.08000001</v>
      </c>
      <c r="J58" s="15">
        <v>38683018377.120003</v>
      </c>
      <c r="K58" s="10">
        <f t="shared" si="5"/>
        <v>5.6988489091220878E-3</v>
      </c>
      <c r="L58" s="10"/>
      <c r="M58" s="9" t="str">
        <f t="shared" si="6"/>
        <v>Não declarado</v>
      </c>
      <c r="N58" s="10"/>
      <c r="O58" s="10"/>
      <c r="P58" s="10"/>
      <c r="Q58" s="17"/>
      <c r="R58" s="17"/>
      <c r="S58" s="17"/>
      <c r="T58" s="9" t="str">
        <f t="shared" si="7"/>
        <v>Sem limite próprio na LRF</v>
      </c>
      <c r="U58" s="9" t="s">
        <v>69</v>
      </c>
    </row>
    <row r="59" spans="1:21" x14ac:dyDescent="0.25">
      <c r="A59" s="9" t="str">
        <f t="shared" si="4"/>
        <v>Defensoria Pública|2º quad. 2024</v>
      </c>
      <c r="B59" s="9" t="s">
        <v>25</v>
      </c>
      <c r="C59" s="9" t="s">
        <v>25</v>
      </c>
      <c r="D59" s="9" t="s">
        <v>68</v>
      </c>
      <c r="E59" s="9" t="s">
        <v>51</v>
      </c>
      <c r="F59" s="9">
        <v>2</v>
      </c>
      <c r="G59" s="9" t="s">
        <v>6</v>
      </c>
      <c r="H59" s="9" t="s">
        <v>54</v>
      </c>
      <c r="I59" s="15">
        <v>230220649.84999999</v>
      </c>
      <c r="J59" s="15">
        <v>40291613780.93</v>
      </c>
      <c r="K59" s="10">
        <f t="shared" si="5"/>
        <v>5.7138602365677223E-3</v>
      </c>
      <c r="L59" s="10"/>
      <c r="M59" s="9" t="str">
        <f t="shared" si="6"/>
        <v>Não declarado</v>
      </c>
      <c r="N59" s="10"/>
      <c r="O59" s="10"/>
      <c r="P59" s="10"/>
      <c r="Q59" s="17"/>
      <c r="R59" s="17"/>
      <c r="S59" s="17"/>
      <c r="T59" s="9" t="str">
        <f t="shared" si="7"/>
        <v>Sem limite próprio na LRF</v>
      </c>
      <c r="U59" s="9" t="s">
        <v>69</v>
      </c>
    </row>
    <row r="60" spans="1:21" x14ac:dyDescent="0.25">
      <c r="A60" s="9" t="str">
        <f t="shared" si="4"/>
        <v>Defensoria Pública|3º quad. 2024</v>
      </c>
      <c r="B60" s="9" t="s">
        <v>25</v>
      </c>
      <c r="C60" s="9" t="s">
        <v>25</v>
      </c>
      <c r="D60" s="9" t="s">
        <v>68</v>
      </c>
      <c r="E60" s="9" t="s">
        <v>51</v>
      </c>
      <c r="F60" s="9">
        <v>3</v>
      </c>
      <c r="G60" s="9" t="s">
        <v>7</v>
      </c>
      <c r="H60" s="9" t="s">
        <v>55</v>
      </c>
      <c r="I60" s="15">
        <v>247881824.24000001</v>
      </c>
      <c r="J60" s="15">
        <v>40972569817.110001</v>
      </c>
      <c r="K60" s="10">
        <f t="shared" si="5"/>
        <v>6.0499457404423152E-3</v>
      </c>
      <c r="L60" s="10"/>
      <c r="M60" s="9" t="str">
        <f t="shared" si="6"/>
        <v>Não declarado</v>
      </c>
      <c r="N60" s="10"/>
      <c r="O60" s="10"/>
      <c r="P60" s="10"/>
      <c r="Q60" s="17"/>
      <c r="R60" s="17"/>
      <c r="S60" s="17"/>
      <c r="T60" s="9" t="str">
        <f t="shared" si="7"/>
        <v>Sem limite próprio na LRF</v>
      </c>
      <c r="U60" s="9" t="s">
        <v>69</v>
      </c>
    </row>
    <row r="61" spans="1:21" x14ac:dyDescent="0.25">
      <c r="A61" s="9" t="str">
        <f t="shared" si="4"/>
        <v>Defensoria Pública|1º quad. 2025</v>
      </c>
      <c r="B61" s="9" t="s">
        <v>25</v>
      </c>
      <c r="C61" s="9" t="s">
        <v>25</v>
      </c>
      <c r="D61" s="9" t="s">
        <v>68</v>
      </c>
      <c r="E61" s="9" t="s">
        <v>56</v>
      </c>
      <c r="F61" s="9">
        <v>1</v>
      </c>
      <c r="G61" s="9" t="s">
        <v>8</v>
      </c>
      <c r="H61" s="9" t="s">
        <v>57</v>
      </c>
      <c r="I61" s="15">
        <v>249505552.13</v>
      </c>
      <c r="J61" s="15">
        <v>41062907173.040001</v>
      </c>
      <c r="K61" s="10">
        <f t="shared" si="5"/>
        <v>6.0761784614659182E-3</v>
      </c>
      <c r="L61" s="10"/>
      <c r="M61" s="9" t="str">
        <f t="shared" si="6"/>
        <v>Não declarado</v>
      </c>
      <c r="N61" s="10"/>
      <c r="O61" s="10"/>
      <c r="P61" s="10"/>
      <c r="Q61" s="17"/>
      <c r="R61" s="17"/>
      <c r="S61" s="17"/>
      <c r="T61" s="9" t="str">
        <f t="shared" si="7"/>
        <v>Sem limite próprio na LRF</v>
      </c>
      <c r="U61" s="9" t="s">
        <v>69</v>
      </c>
    </row>
    <row r="62" spans="1:21" x14ac:dyDescent="0.25">
      <c r="A62" s="9" t="str">
        <f t="shared" si="4"/>
        <v>Defensoria Pública|2º quad. 2025</v>
      </c>
      <c r="B62" s="9" t="s">
        <v>25</v>
      </c>
      <c r="C62" s="9" t="s">
        <v>25</v>
      </c>
      <c r="D62" s="9" t="s">
        <v>68</v>
      </c>
      <c r="E62" s="9" t="s">
        <v>56</v>
      </c>
      <c r="F62" s="9">
        <v>2</v>
      </c>
      <c r="G62" s="9" t="s">
        <v>9</v>
      </c>
      <c r="H62" s="9" t="s">
        <v>58</v>
      </c>
      <c r="I62" s="15">
        <v>252116961.25999999</v>
      </c>
      <c r="J62" s="15">
        <v>42830906825.120003</v>
      </c>
      <c r="K62" s="10">
        <f t="shared" si="5"/>
        <v>5.8863325562870245E-3</v>
      </c>
      <c r="L62" s="10"/>
      <c r="M62" s="9" t="str">
        <f t="shared" si="6"/>
        <v>Não declarado</v>
      </c>
      <c r="N62" s="10"/>
      <c r="O62" s="10"/>
      <c r="P62" s="10"/>
      <c r="Q62" s="17"/>
      <c r="R62" s="17"/>
      <c r="S62" s="17"/>
      <c r="T62" s="9" t="str">
        <f t="shared" si="7"/>
        <v>Sem limite próprio na LRF</v>
      </c>
      <c r="U62" s="9" t="s">
        <v>69</v>
      </c>
    </row>
    <row r="63" spans="1:21" x14ac:dyDescent="0.25">
      <c r="A63" s="9" t="str">
        <f t="shared" si="4"/>
        <v>Defensoria Pública|3º quad. 2025</v>
      </c>
      <c r="B63" s="9" t="s">
        <v>25</v>
      </c>
      <c r="C63" s="9" t="s">
        <v>25</v>
      </c>
      <c r="D63" s="9" t="s">
        <v>68</v>
      </c>
      <c r="E63" s="9" t="s">
        <v>56</v>
      </c>
      <c r="F63" s="9">
        <v>3</v>
      </c>
      <c r="G63" s="9" t="s">
        <v>10</v>
      </c>
      <c r="H63" s="9" t="s">
        <v>59</v>
      </c>
      <c r="I63" s="15">
        <v>261844989.75999999</v>
      </c>
      <c r="J63" s="15">
        <v>44657312944.139999</v>
      </c>
      <c r="K63" s="10">
        <f t="shared" si="5"/>
        <v>5.8634291339367227E-3</v>
      </c>
      <c r="L63" s="10"/>
      <c r="M63" s="9" t="str">
        <f t="shared" si="6"/>
        <v>Não declarado</v>
      </c>
      <c r="N63" s="10"/>
      <c r="O63" s="10"/>
      <c r="P63" s="10"/>
      <c r="Q63" s="17"/>
      <c r="R63" s="17"/>
      <c r="S63" s="17"/>
      <c r="T63" s="9" t="str">
        <f t="shared" si="7"/>
        <v>Sem limite próprio na LRF</v>
      </c>
      <c r="U63" s="9" t="s">
        <v>69</v>
      </c>
    </row>
    <row r="64" spans="1:21" x14ac:dyDescent="0.25">
      <c r="A64" s="9" t="str">
        <f t="shared" si="4"/>
        <v>Defensoria Pública|1º quad. 2026</v>
      </c>
      <c r="B64" s="9" t="s">
        <v>25</v>
      </c>
      <c r="C64" s="9" t="s">
        <v>25</v>
      </c>
      <c r="D64" s="9" t="s">
        <v>68</v>
      </c>
      <c r="E64" s="9" t="s">
        <v>60</v>
      </c>
      <c r="F64" s="9">
        <v>1</v>
      </c>
      <c r="G64" s="9" t="s">
        <v>11</v>
      </c>
      <c r="H64" s="9" t="s">
        <v>61</v>
      </c>
      <c r="I64" s="15">
        <v>266896621.66999999</v>
      </c>
      <c r="J64" s="15">
        <v>46711648735.010002</v>
      </c>
      <c r="K64" s="10">
        <f t="shared" si="5"/>
        <v>5.7137058720422157E-3</v>
      </c>
      <c r="L64" s="10"/>
      <c r="M64" s="9" t="str">
        <f t="shared" si="6"/>
        <v>Não declarado</v>
      </c>
      <c r="N64" s="10"/>
      <c r="O64" s="10"/>
      <c r="P64" s="10"/>
      <c r="Q64" s="17"/>
      <c r="R64" s="17"/>
      <c r="S64" s="17"/>
      <c r="T64" s="9" t="str">
        <f t="shared" si="7"/>
        <v>Sem limite próprio na LRF</v>
      </c>
      <c r="U64" s="9" t="s">
        <v>69</v>
      </c>
    </row>
    <row r="65" spans="1:21" x14ac:dyDescent="0.25">
      <c r="A65" s="9" t="str">
        <f t="shared" si="4"/>
        <v>Defensoria Pública|2º quad. 2026</v>
      </c>
      <c r="B65" s="9" t="s">
        <v>25</v>
      </c>
      <c r="C65" s="9" t="s">
        <v>25</v>
      </c>
      <c r="D65" s="9" t="s">
        <v>68</v>
      </c>
      <c r="E65" s="9" t="s">
        <v>60</v>
      </c>
      <c r="F65" s="9">
        <v>2</v>
      </c>
      <c r="G65" s="9" t="s">
        <v>12</v>
      </c>
      <c r="H65" s="9" t="s">
        <v>62</v>
      </c>
      <c r="I65" s="15">
        <v>274289192.69</v>
      </c>
      <c r="J65" s="15">
        <v>46579377916.389999</v>
      </c>
      <c r="K65" s="10">
        <f t="shared" si="5"/>
        <v>5.8886401012557361E-3</v>
      </c>
      <c r="L65" s="10"/>
      <c r="M65" s="9" t="str">
        <f t="shared" si="6"/>
        <v>Não declarado</v>
      </c>
      <c r="N65" s="10"/>
      <c r="O65" s="10"/>
      <c r="P65" s="10"/>
      <c r="Q65" s="17"/>
      <c r="R65" s="17"/>
      <c r="S65" s="17"/>
      <c r="T65" s="9" t="str">
        <f t="shared" si="7"/>
        <v>Sem limite próprio na LRF</v>
      </c>
      <c r="U65" s="9" t="s">
        <v>69</v>
      </c>
    </row>
    <row r="66" spans="1:21" x14ac:dyDescent="0.25">
      <c r="A66" s="9" t="str">
        <f t="shared" ref="A66:A97" si="8">B66&amp;"|"&amp;G66</f>
        <v>Ministério Público|1º quad. 2024</v>
      </c>
      <c r="B66" s="9" t="s">
        <v>26</v>
      </c>
      <c r="C66" s="9" t="s">
        <v>26</v>
      </c>
      <c r="D66" s="9" t="s">
        <v>70</v>
      </c>
      <c r="E66" s="9" t="s">
        <v>51</v>
      </c>
      <c r="F66" s="9">
        <v>1</v>
      </c>
      <c r="G66" s="9" t="s">
        <v>5</v>
      </c>
      <c r="H66" s="9" t="s">
        <v>52</v>
      </c>
      <c r="I66" s="15">
        <v>550692195.38999999</v>
      </c>
      <c r="J66" s="15">
        <v>38683018377.120003</v>
      </c>
      <c r="K66" s="10">
        <f t="shared" ref="K66:K97" si="9">IF(OR(I66="",J66="",J66=0),"",I66/J66)</f>
        <v>1.4236019279088109E-2</v>
      </c>
      <c r="L66" s="16">
        <v>1.4200000000000001E-2</v>
      </c>
      <c r="M66" s="9" t="str">
        <f t="shared" ref="M66:M97" si="10">IF(L66="","Não declarado",IF(K66="","Sem dado",IF(ABS(K66-L66)&lt;=0.00005,"Sim","Não")))</f>
        <v>Sim</v>
      </c>
      <c r="N66" s="16">
        <v>0.02</v>
      </c>
      <c r="O66" s="16">
        <v>1.9E-2</v>
      </c>
      <c r="P66" s="16">
        <v>1.7999999999999999E-2</v>
      </c>
      <c r="Q66" s="15">
        <v>773660367.53999996</v>
      </c>
      <c r="R66" s="15">
        <v>734977349.15999997</v>
      </c>
      <c r="S66" s="15">
        <v>696294330.78999996</v>
      </c>
      <c r="T66" s="9" t="str">
        <f t="shared" ref="T66:T97" si="11">IF(K66="","Sem dado",IF(N66="","Sem limite próprio na LRF",IF(AND(Q66&lt;&gt;"",R66&lt;&gt;"",S66&lt;&gt;""),IF(I66&gt;Q66,"Acima do limite máximo",IF(I66&gt;R66,"Acima do limite prudencial",IF(I66&gt;S66,"Acima do limite de alerta","Abaixo do limite de alerta"))),IF(K66&gt;N66,"Acima do limite máximo",IF(K66&gt;O66,"Acima do limite prudencial",IF(K66&gt;P66,"Acima do limite de alerta","Abaixo do limite de alerta"))))))</f>
        <v>Abaixo do limite de alerta</v>
      </c>
      <c r="U66" s="9" t="s">
        <v>53</v>
      </c>
    </row>
    <row r="67" spans="1:21" x14ac:dyDescent="0.25">
      <c r="A67" s="9" t="str">
        <f t="shared" si="8"/>
        <v>Ministério Público|2º quad. 2024</v>
      </c>
      <c r="B67" s="9" t="s">
        <v>26</v>
      </c>
      <c r="C67" s="9" t="s">
        <v>26</v>
      </c>
      <c r="D67" s="9" t="s">
        <v>70</v>
      </c>
      <c r="E67" s="9" t="s">
        <v>51</v>
      </c>
      <c r="F67" s="9">
        <v>2</v>
      </c>
      <c r="G67" s="9" t="s">
        <v>6</v>
      </c>
      <c r="H67" s="9" t="s">
        <v>54</v>
      </c>
      <c r="I67" s="15">
        <v>608137068.95000005</v>
      </c>
      <c r="J67" s="15">
        <v>40291613780.93</v>
      </c>
      <c r="K67" s="10">
        <f t="shared" si="9"/>
        <v>1.509339070548301E-2</v>
      </c>
      <c r="L67" s="16">
        <v>1.5100000000000001E-2</v>
      </c>
      <c r="M67" s="9" t="str">
        <f t="shared" si="10"/>
        <v>Sim</v>
      </c>
      <c r="N67" s="16">
        <v>0.02</v>
      </c>
      <c r="O67" s="16">
        <v>1.9E-2</v>
      </c>
      <c r="P67" s="16">
        <v>1.7999999999999999E-2</v>
      </c>
      <c r="Q67" s="15">
        <v>805832275.62</v>
      </c>
      <c r="R67" s="15">
        <v>765540661.84000003</v>
      </c>
      <c r="S67" s="15">
        <v>725249048.05999994</v>
      </c>
      <c r="T67" s="9" t="str">
        <f t="shared" si="11"/>
        <v>Abaixo do limite de alerta</v>
      </c>
      <c r="U67" s="9" t="s">
        <v>53</v>
      </c>
    </row>
    <row r="68" spans="1:21" x14ac:dyDescent="0.25">
      <c r="A68" s="9" t="str">
        <f t="shared" si="8"/>
        <v>Ministério Público|3º quad. 2024</v>
      </c>
      <c r="B68" s="9" t="s">
        <v>26</v>
      </c>
      <c r="C68" s="9" t="s">
        <v>26</v>
      </c>
      <c r="D68" s="9" t="s">
        <v>70</v>
      </c>
      <c r="E68" s="9" t="s">
        <v>51</v>
      </c>
      <c r="F68" s="9">
        <v>3</v>
      </c>
      <c r="G68" s="9" t="s">
        <v>7</v>
      </c>
      <c r="H68" s="9" t="s">
        <v>55</v>
      </c>
      <c r="I68" s="15">
        <v>660813013.69000006</v>
      </c>
      <c r="J68" s="15">
        <v>40972569817.110001</v>
      </c>
      <c r="K68" s="10">
        <f t="shared" si="9"/>
        <v>1.6128180796071201E-2</v>
      </c>
      <c r="L68" s="16">
        <v>1.61E-2</v>
      </c>
      <c r="M68" s="9" t="str">
        <f t="shared" si="10"/>
        <v>Sim</v>
      </c>
      <c r="N68" s="16">
        <v>0.02</v>
      </c>
      <c r="O68" s="16">
        <v>1.9E-2</v>
      </c>
      <c r="P68" s="16">
        <v>1.7999999999999999E-2</v>
      </c>
      <c r="Q68" s="15">
        <v>819451396.34000003</v>
      </c>
      <c r="R68" s="15">
        <v>778478826.51999998</v>
      </c>
      <c r="S68" s="15">
        <v>737506256.71000004</v>
      </c>
      <c r="T68" s="9" t="str">
        <f t="shared" si="11"/>
        <v>Abaixo do limite de alerta</v>
      </c>
      <c r="U68" s="9" t="s">
        <v>53</v>
      </c>
    </row>
    <row r="69" spans="1:21" x14ac:dyDescent="0.25">
      <c r="A69" s="9" t="str">
        <f t="shared" si="8"/>
        <v>Ministério Público|1º quad. 2025</v>
      </c>
      <c r="B69" s="9" t="s">
        <v>26</v>
      </c>
      <c r="C69" s="9" t="s">
        <v>26</v>
      </c>
      <c r="D69" s="9" t="s">
        <v>70</v>
      </c>
      <c r="E69" s="9" t="s">
        <v>56</v>
      </c>
      <c r="F69" s="9">
        <v>1</v>
      </c>
      <c r="G69" s="9" t="s">
        <v>8</v>
      </c>
      <c r="H69" s="9" t="s">
        <v>57</v>
      </c>
      <c r="I69" s="15">
        <v>715638130.64999998</v>
      </c>
      <c r="J69" s="15">
        <v>41062907173.040001</v>
      </c>
      <c r="K69" s="10">
        <f t="shared" si="9"/>
        <v>1.7427848633178481E-2</v>
      </c>
      <c r="L69" s="16">
        <v>1.7399999999999999E-2</v>
      </c>
      <c r="M69" s="9" t="str">
        <f t="shared" si="10"/>
        <v>Sim</v>
      </c>
      <c r="N69" s="16">
        <v>0.02</v>
      </c>
      <c r="O69" s="16">
        <v>1.9E-2</v>
      </c>
      <c r="P69" s="16">
        <v>1.7999999999999999E-2</v>
      </c>
      <c r="Q69" s="15">
        <v>821258143.46000004</v>
      </c>
      <c r="R69" s="15">
        <v>780195236.28999996</v>
      </c>
      <c r="S69" s="15">
        <v>739132329.11000001</v>
      </c>
      <c r="T69" s="9" t="str">
        <f t="shared" si="11"/>
        <v>Abaixo do limite de alerta</v>
      </c>
      <c r="U69" s="9" t="s">
        <v>53</v>
      </c>
    </row>
    <row r="70" spans="1:21" x14ac:dyDescent="0.25">
      <c r="A70" s="9" t="str">
        <f t="shared" si="8"/>
        <v>Ministério Público|2º quad. 2025</v>
      </c>
      <c r="B70" s="9" t="s">
        <v>26</v>
      </c>
      <c r="C70" s="9" t="s">
        <v>26</v>
      </c>
      <c r="D70" s="9" t="s">
        <v>70</v>
      </c>
      <c r="E70" s="9" t="s">
        <v>56</v>
      </c>
      <c r="F70" s="9">
        <v>2</v>
      </c>
      <c r="G70" s="9" t="s">
        <v>9</v>
      </c>
      <c r="H70" s="9" t="s">
        <v>58</v>
      </c>
      <c r="I70" s="15">
        <v>750571446.26999998</v>
      </c>
      <c r="J70" s="15">
        <v>42830906825.120003</v>
      </c>
      <c r="K70" s="10">
        <f t="shared" si="9"/>
        <v>1.7524061522549775E-2</v>
      </c>
      <c r="L70" s="16">
        <v>1.7500000000000002E-2</v>
      </c>
      <c r="M70" s="9" t="str">
        <f t="shared" si="10"/>
        <v>Sim</v>
      </c>
      <c r="N70" s="16">
        <v>0.02</v>
      </c>
      <c r="O70" s="16">
        <v>1.9E-2</v>
      </c>
      <c r="P70" s="16">
        <v>1.7999999999999999E-2</v>
      </c>
      <c r="Q70" s="15">
        <v>856618136.5</v>
      </c>
      <c r="R70" s="15">
        <v>813787229.67999995</v>
      </c>
      <c r="S70" s="15">
        <v>770956322.85000002</v>
      </c>
      <c r="T70" s="9" t="str">
        <f t="shared" si="11"/>
        <v>Abaixo do limite de alerta</v>
      </c>
      <c r="U70" s="9" t="s">
        <v>53</v>
      </c>
    </row>
    <row r="71" spans="1:21" x14ac:dyDescent="0.25">
      <c r="A71" s="9" t="str">
        <f t="shared" si="8"/>
        <v>Ministério Público|3º quad. 2025</v>
      </c>
      <c r="B71" s="9" t="s">
        <v>26</v>
      </c>
      <c r="C71" s="9" t="s">
        <v>26</v>
      </c>
      <c r="D71" s="9" t="s">
        <v>70</v>
      </c>
      <c r="E71" s="9" t="s">
        <v>56</v>
      </c>
      <c r="F71" s="9">
        <v>3</v>
      </c>
      <c r="G71" s="9" t="s">
        <v>10</v>
      </c>
      <c r="H71" s="9" t="s">
        <v>59</v>
      </c>
      <c r="I71" s="15">
        <v>747118073.26999998</v>
      </c>
      <c r="J71" s="15">
        <v>44657312944.139999</v>
      </c>
      <c r="K71" s="10">
        <f t="shared" si="9"/>
        <v>1.6730027491903495E-2</v>
      </c>
      <c r="L71" s="16">
        <v>1.67E-2</v>
      </c>
      <c r="M71" s="9" t="str">
        <f t="shared" si="10"/>
        <v>Sim</v>
      </c>
      <c r="N71" s="16">
        <v>0.02</v>
      </c>
      <c r="O71" s="16">
        <v>1.9E-2</v>
      </c>
      <c r="P71" s="16">
        <v>1.7999999999999999E-2</v>
      </c>
      <c r="Q71" s="15">
        <v>893146258.88</v>
      </c>
      <c r="R71" s="15">
        <v>848488945.94000006</v>
      </c>
      <c r="S71" s="15">
        <v>803831632.99000001</v>
      </c>
      <c r="T71" s="9" t="str">
        <f t="shared" si="11"/>
        <v>Abaixo do limite de alerta</v>
      </c>
      <c r="U71" s="9" t="s">
        <v>53</v>
      </c>
    </row>
    <row r="72" spans="1:21" x14ac:dyDescent="0.25">
      <c r="A72" s="9" t="str">
        <f t="shared" si="8"/>
        <v>Ministério Público|1º quad. 2026</v>
      </c>
      <c r="B72" s="9" t="s">
        <v>26</v>
      </c>
      <c r="C72" s="9" t="s">
        <v>26</v>
      </c>
      <c r="D72" s="9" t="s">
        <v>70</v>
      </c>
      <c r="E72" s="9" t="s">
        <v>60</v>
      </c>
      <c r="F72" s="9">
        <v>1</v>
      </c>
      <c r="G72" s="9" t="s">
        <v>11</v>
      </c>
      <c r="H72" s="9" t="s">
        <v>61</v>
      </c>
      <c r="I72" s="15">
        <v>769123453.75</v>
      </c>
      <c r="J72" s="15">
        <v>46711648735.010002</v>
      </c>
      <c r="K72" s="10">
        <f t="shared" si="9"/>
        <v>1.646534589504969E-2</v>
      </c>
      <c r="L72" s="16">
        <v>1.6500000000000001E-2</v>
      </c>
      <c r="M72" s="9" t="str">
        <f t="shared" si="10"/>
        <v>Sim</v>
      </c>
      <c r="N72" s="16">
        <v>0.02</v>
      </c>
      <c r="O72" s="16">
        <v>1.9E-2</v>
      </c>
      <c r="P72" s="16">
        <v>1.7999999999999999E-2</v>
      </c>
      <c r="Q72" s="15">
        <v>934232974.70000005</v>
      </c>
      <c r="R72" s="15">
        <v>887521325.97000003</v>
      </c>
      <c r="S72" s="15">
        <v>840809677.23000002</v>
      </c>
      <c r="T72" s="9" t="str">
        <f t="shared" si="11"/>
        <v>Abaixo do limite de alerta</v>
      </c>
      <c r="U72" s="9" t="s">
        <v>53</v>
      </c>
    </row>
    <row r="73" spans="1:21" x14ac:dyDescent="0.25">
      <c r="A73" s="9" t="str">
        <f t="shared" si="8"/>
        <v>Ministério Público|2º quad. 2026</v>
      </c>
      <c r="B73" s="9" t="s">
        <v>26</v>
      </c>
      <c r="C73" s="9" t="s">
        <v>26</v>
      </c>
      <c r="D73" s="9" t="s">
        <v>70</v>
      </c>
      <c r="E73" s="9" t="s">
        <v>60</v>
      </c>
      <c r="F73" s="9">
        <v>2</v>
      </c>
      <c r="G73" s="9" t="s">
        <v>12</v>
      </c>
      <c r="H73" s="9" t="s">
        <v>62</v>
      </c>
      <c r="I73" s="15">
        <v>819830586.24000001</v>
      </c>
      <c r="J73" s="15">
        <v>46579377916.389999</v>
      </c>
      <c r="K73" s="10">
        <f t="shared" si="9"/>
        <v>1.7600719951897947E-2</v>
      </c>
      <c r="L73" s="16">
        <v>1.7600000000000001E-2</v>
      </c>
      <c r="M73" s="9" t="str">
        <f t="shared" si="10"/>
        <v>Sim</v>
      </c>
      <c r="N73" s="16">
        <v>0.02</v>
      </c>
      <c r="O73" s="16">
        <v>1.9E-2</v>
      </c>
      <c r="P73" s="16">
        <v>1.7999999999999999E-2</v>
      </c>
      <c r="Q73" s="15">
        <v>931587558.33000004</v>
      </c>
      <c r="R73" s="15">
        <v>885008180.40999997</v>
      </c>
      <c r="S73" s="15">
        <v>838428802.5</v>
      </c>
      <c r="T73" s="9" t="str">
        <f t="shared" si="11"/>
        <v>Abaixo do limite de alerta</v>
      </c>
      <c r="U73" s="9" t="s">
        <v>53</v>
      </c>
    </row>
  </sheetData>
  <autoFilter ref="A1:U73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71</v>
      </c>
    </row>
    <row r="3" spans="1:2" ht="30" customHeight="1" x14ac:dyDescent="0.25">
      <c r="A3" s="18" t="s">
        <v>72</v>
      </c>
      <c r="B3" s="19" t="s">
        <v>73</v>
      </c>
    </row>
    <row r="4" spans="1:2" ht="15" customHeight="1" x14ac:dyDescent="0.25">
      <c r="A4" s="18" t="s">
        <v>74</v>
      </c>
      <c r="B4" s="19" t="s">
        <v>75</v>
      </c>
    </row>
    <row r="5" spans="1:2" ht="30" customHeight="1" x14ac:dyDescent="0.25">
      <c r="A5" s="18" t="s">
        <v>76</v>
      </c>
      <c r="B5" s="19" t="s">
        <v>77</v>
      </c>
    </row>
    <row r="6" spans="1:2" ht="30" customHeight="1" x14ac:dyDescent="0.25">
      <c r="A6" s="18" t="s">
        <v>78</v>
      </c>
      <c r="B6" s="19" t="s">
        <v>79</v>
      </c>
    </row>
    <row r="7" spans="1:2" ht="30" customHeight="1" x14ac:dyDescent="0.25">
      <c r="A7" s="18" t="s">
        <v>80</v>
      </c>
      <c r="B7" s="19" t="s">
        <v>81</v>
      </c>
    </row>
    <row r="8" spans="1:2" ht="60" customHeight="1" x14ac:dyDescent="0.25">
      <c r="A8" s="18" t="s">
        <v>82</v>
      </c>
      <c r="B8" s="19" t="s">
        <v>83</v>
      </c>
    </row>
    <row r="9" spans="1:2" ht="45" customHeight="1" x14ac:dyDescent="0.25">
      <c r="A9" s="18" t="s">
        <v>84</v>
      </c>
      <c r="B9" s="19" t="s">
        <v>85</v>
      </c>
    </row>
    <row r="10" spans="1:2" ht="15" customHeight="1" x14ac:dyDescent="0.25">
      <c r="A10" s="18" t="s">
        <v>86</v>
      </c>
      <c r="B10" s="19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2026-10-15T10:08:07Z</dcterms:created>
  <dcterms:modified xsi:type="dcterms:W3CDTF">2026-10-15T10:08:34Z</dcterms:modified>
</cp:coreProperties>
</file>