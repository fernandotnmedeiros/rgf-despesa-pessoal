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499CCB5F15A4322B91C02C72A4C8551F57834335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M32" i="2"/>
  <c r="T32" i="2"/>
  <c r="M31" i="2"/>
  <c r="T31" i="2"/>
  <c r="T29" i="2"/>
  <c r="M29" i="2"/>
  <c r="T28" i="2"/>
  <c r="M28" i="2"/>
  <c r="M27" i="2"/>
  <c r="T27" i="2"/>
  <c r="T26" i="2"/>
  <c r="M26" i="2"/>
  <c r="T25" i="2"/>
  <c r="L8" i="1" s="1"/>
  <c r="M25" i="2"/>
  <c r="M24" i="2"/>
  <c r="T24" i="2"/>
  <c r="T23" i="2"/>
  <c r="M23" i="2"/>
  <c r="T22" i="2"/>
  <c r="M22" i="2"/>
  <c r="T21" i="2"/>
  <c r="M21" i="2"/>
  <c r="T20" i="2"/>
  <c r="M20" i="2"/>
  <c r="T19" i="2"/>
  <c r="M19" i="2"/>
  <c r="M18" i="2"/>
  <c r="T18" i="2"/>
  <c r="M17" i="2"/>
  <c r="T17" i="2"/>
  <c r="L7" i="1" s="1"/>
  <c r="T16" i="2"/>
  <c r="M16" i="2"/>
  <c r="T15" i="2"/>
  <c r="M15" i="2"/>
  <c r="T14" i="2"/>
  <c r="M14" i="2"/>
  <c r="M13" i="2"/>
  <c r="T13" i="2"/>
  <c r="T12" i="2"/>
  <c r="M12" i="2"/>
  <c r="T11" i="2"/>
  <c r="M11" i="2"/>
  <c r="T10" i="2"/>
  <c r="M10" i="2"/>
  <c r="M9" i="2"/>
  <c r="T9" i="2"/>
  <c r="L6" i="1" s="1"/>
  <c r="M8" i="2"/>
  <c r="T8" i="2"/>
  <c r="T7" i="2"/>
  <c r="M7" i="2"/>
  <c r="T6" i="2"/>
  <c r="M6" i="2"/>
  <c r="M5" i="2"/>
  <c r="T5" i="2"/>
  <c r="M4" i="2"/>
  <c r="T4" i="2"/>
  <c r="T3" i="2"/>
  <c r="M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<sst xmlns="http://schemas.openxmlformats.org/spreadsheetml/2006/main" count="427" uniqueCount="83">
  <si>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Ceará (CE)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</si>
  <si>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</si>
  <si>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</si>
  <si>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</si>
  <si>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</si>
  <si>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</si>
  <si>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</si>
  <si>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</si>
  <si>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</si>
  <si>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</si>
  <si>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</si>
  <si>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</si>
  <si>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</si>
  <si>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</si>
  <si>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</si>
  <si>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</si>
  <si>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</si>
  <si>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</si>
  <si>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</si>
  <si>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</si>
  <si>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</si>
  <si>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</si>
  <si>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</si>
  <si>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</si>
  <si>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</si>
  <si>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</si>
  <si>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</si>
  <si>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</si>
  <si>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</si>
  <si>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</si>
  <si>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</si>
  <si>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</si>
  <si>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</si>
  <si>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</si>
  <si>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</si>
  <si>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</si>
  <si>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</si>
  <si>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</si>
  <si>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</si>
  <si>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</si>
  <si>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</si>
  <si>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</si>
  <si>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</si>
  <si>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</si>
  <si>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</si>
  <si>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</si>
  <si>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</si>
  <si>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Ceará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</si>
  <si>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</si>
  <si>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</si>
  <si>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</si>
  <si>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</si>
  <si>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</si>
  <si>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</si>
  <si>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</si>
  <si>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</si>
  <si>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</si>
  <si>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</si>
  <si>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</si>
  <si>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</si>
  <si>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Ceará</t>
  </si>
  <si>
    <t>Tribunal de Justiça do Estado do Ceará</t>
  </si>
  <si>
    <t>Tribunal de Contas do Estado do Ceará</t>
  </si>
  <si>
    <t>Defensoria Pública do Estado do Ceará</t>
  </si>
  <si>
    <t>Calculado (despesa líquida / RCL Ajustada do Executivo)</t>
  </si>
  <si>
    <t>Ministério Público do Estado do Ceará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</si>
  <si>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</si>
  <si>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</si>
  <si>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</si>
  <si>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</si>
  <si>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Ceará (CE).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</si>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</sst>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0.43035963209857431</v>
      </c>
      <c r="D6" s="7">
        <f>IFERROR(IF(INDEX(Dados!$K$2:$K$49,MATCH($A6&amp;"|"&amp;D$5,Dados!$A$2:$A$49,0))="","",INDEX(Dados!$K$2:$K$49,MATCH($A6&amp;"|"&amp;D$5,Dados!$A$2:$A$49,0))),"")</f>
        <v>0.43588009250644738</v>
      </c>
      <c r="E6" s="7">
        <f>IFERROR(IF(INDEX(Dados!$K$2:$K$49,MATCH($A6&amp;"|"&amp;E$5,Dados!$A$2:$A$49,0))="","",INDEX(Dados!$K$2:$K$49,MATCH($A6&amp;"|"&amp;E$5,Dados!$A$2:$A$49,0))),"")</f>
        <v>0.43539833534610095</v>
      </c>
      <c r="F6" s="7">
        <f>IFERROR(IF(INDEX(Dados!$K$2:$K$49,MATCH($A6&amp;"|"&amp;F$5,Dados!$A$2:$A$49,0))="","",INDEX(Dados!$K$2:$K$49,MATCH($A6&amp;"|"&amp;F$5,Dados!$A$2:$A$49,0))),"")</f>
        <v>0.41702735571850874</v>
      </c>
      <c r="G6" s="7">
        <f>IFERROR(IF(INDEX(Dados!$K$2:$K$49,MATCH($A6&amp;"|"&amp;G$5,Dados!$A$2:$A$49,0))="","",INDEX(Dados!$K$2:$K$49,MATCH($A6&amp;"|"&amp;G$5,Dados!$A$2:$A$49,0))),"")</f>
        <v>0.41587026448660658</v>
      </c>
      <c r="H6" s="7">
        <f>IFERROR(IF(INDEX(Dados!$K$2:$K$49,MATCH($A6&amp;"|"&amp;H$5,Dados!$A$2:$A$49,0))="","",INDEX(Dados!$K$2:$K$49,MATCH($A6&amp;"|"&amp;H$5,Dados!$A$2:$A$49,0))),"")</f>
        <v>0.40921466362975556</v>
      </c>
      <c r="I6" s="7">
        <f>IFERROR(IF(INDEX(Dados!$K$2:$K$49,MATCH($A6&amp;"|"&amp;I$5,Dados!$A$2:$A$49,0))="","",INDEX(Dados!$K$2:$K$49,MATCH($A6&amp;"|"&amp;I$5,Dados!$A$2:$A$49,0))),"")</f>
        <v>0.40992672600870472</v>
      </c>
      <c r="J6" s="7">
        <f>IFERROR(IF(INDEX(Dados!$K$2:$K$49,MATCH($A6&amp;"|"&amp;J$5,Dados!$A$2:$A$49,0))="","",INDEX(Dados!$K$2:$K$49,MATCH($A6&amp;"|"&amp;J$5,Dados!$A$2:$A$49,0))),"")</f>
        <v>0.41588759666071162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1.7057029338826555E-2</v>
      </c>
      <c r="D7" s="10">
        <f>IFERROR(IF(INDEX(Dados!$K$2:$K$49,MATCH($A7&amp;"|"&amp;D$5,Dados!$A$2:$A$49,0))="","",INDEX(Dados!$K$2:$K$49,MATCH($A7&amp;"|"&amp;D$5,Dados!$A$2:$A$49,0))),"")</f>
        <v>1.7732342818188803E-2</v>
      </c>
      <c r="E7" s="10">
        <f>IFERROR(IF(INDEX(Dados!$K$2:$K$49,MATCH($A7&amp;"|"&amp;E$5,Dados!$A$2:$A$49,0))="","",INDEX(Dados!$K$2:$K$49,MATCH($A7&amp;"|"&amp;E$5,Dados!$A$2:$A$49,0))),"")</f>
        <v>1.8038951645831334E-2</v>
      </c>
      <c r="F7" s="10">
        <f>IFERROR(IF(INDEX(Dados!$K$2:$K$49,MATCH($A7&amp;"|"&amp;F$5,Dados!$A$2:$A$49,0))="","",INDEX(Dados!$K$2:$K$49,MATCH($A7&amp;"|"&amp;F$5,Dados!$A$2:$A$49,0))),"")</f>
        <v>1.8112784543482335E-2</v>
      </c>
      <c r="G7" s="10">
        <f>IFERROR(IF(INDEX(Dados!$K$2:$K$49,MATCH($A7&amp;"|"&amp;G$5,Dados!$A$2:$A$49,0))="","",INDEX(Dados!$K$2:$K$49,MATCH($A7&amp;"|"&amp;G$5,Dados!$A$2:$A$49,0))),"")</f>
        <v>1.6548994865184175E-2</v>
      </c>
      <c r="H7" s="10">
        <f>IFERROR(IF(INDEX(Dados!$K$2:$K$49,MATCH($A7&amp;"|"&amp;H$5,Dados!$A$2:$A$49,0))="","",INDEX(Dados!$K$2:$K$49,MATCH($A7&amp;"|"&amp;H$5,Dados!$A$2:$A$49,0))),"")</f>
        <v>1.5701810778810707E-2</v>
      </c>
      <c r="I7" s="10">
        <f>IFERROR(IF(INDEX(Dados!$K$2:$K$49,MATCH($A7&amp;"|"&amp;I$5,Dados!$A$2:$A$49,0))="","",INDEX(Dados!$K$2:$K$49,MATCH($A7&amp;"|"&amp;I$5,Dados!$A$2:$A$49,0))),"")</f>
        <v>1.5357259233084728E-2</v>
      </c>
      <c r="J7" s="10">
        <f>IFERROR(IF(INDEX(Dados!$K$2:$K$49,MATCH($A7&amp;"|"&amp;J$5,Dados!$A$2:$A$49,0))="","",INDEX(Dados!$K$2:$K$49,MATCH($A7&amp;"|"&amp;J$5,Dados!$A$2:$A$49,0))),"")</f>
        <v>1.5830494924389104E-2</v>
      </c>
      <c r="K7" s="10">
        <f>IFERROR(IF(INDEX(Dados!$N$2:$N$49,MATCH($A7&amp;"|"&amp;J$5,Dados!$A$2:$A$49,0))=0,"—",INDEX(Dados!$N$2:$N$49,MATCH($A7&amp;"|"&amp;J$5,Dados!$A$2:$A$49,0))),"—")</f>
        <v>2.3400000000000001E-2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3.890948484279768E-2</v>
      </c>
      <c r="D8" s="10">
        <f>IFERROR(IF(INDEX(Dados!$K$2:$K$49,MATCH($A8&amp;"|"&amp;D$5,Dados!$A$2:$A$49,0))="","",INDEX(Dados!$K$2:$K$49,MATCH($A8&amp;"|"&amp;D$5,Dados!$A$2:$A$49,0))),"")</f>
        <v>3.9786182565853277E-2</v>
      </c>
      <c r="E8" s="10">
        <f>IFERROR(IF(INDEX(Dados!$K$2:$K$49,MATCH($A8&amp;"|"&amp;E$5,Dados!$A$2:$A$49,0))="","",INDEX(Dados!$K$2:$K$49,MATCH($A8&amp;"|"&amp;E$5,Dados!$A$2:$A$49,0))),"")</f>
        <v>4.0424207232254358E-2</v>
      </c>
      <c r="F8" s="10">
        <f>IFERROR(IF(INDEX(Dados!$K$2:$K$49,MATCH($A8&amp;"|"&amp;F$5,Dados!$A$2:$A$49,0))="","",INDEX(Dados!$K$2:$K$49,MATCH($A8&amp;"|"&amp;F$5,Dados!$A$2:$A$49,0))),"")</f>
        <v>4.2032928433339313E-2</v>
      </c>
      <c r="G8" s="10">
        <f>IFERROR(IF(INDEX(Dados!$K$2:$K$49,MATCH($A8&amp;"|"&amp;G$5,Dados!$A$2:$A$49,0))="","",INDEX(Dados!$K$2:$K$49,MATCH($A8&amp;"|"&amp;G$5,Dados!$A$2:$A$49,0))),"")</f>
        <v>4.2060119933340301E-2</v>
      </c>
      <c r="H8" s="10">
        <f>IFERROR(IF(INDEX(Dados!$K$2:$K$49,MATCH($A8&amp;"|"&amp;H$5,Dados!$A$2:$A$49,0))="","",INDEX(Dados!$K$2:$K$49,MATCH($A8&amp;"|"&amp;H$5,Dados!$A$2:$A$49,0))),"")</f>
        <v>4.0756317663467385E-2</v>
      </c>
      <c r="I8" s="10">
        <f>IFERROR(IF(INDEX(Dados!$K$2:$K$49,MATCH($A8&amp;"|"&amp;I$5,Dados!$A$2:$A$49,0))="","",INDEX(Dados!$K$2:$K$49,MATCH($A8&amp;"|"&amp;I$5,Dados!$A$2:$A$49,0))),"")</f>
        <v>4.0533762861612629E-2</v>
      </c>
      <c r="J8" s="10">
        <f>IFERROR(IF(INDEX(Dados!$K$2:$K$49,MATCH($A8&amp;"|"&amp;J$5,Dados!$A$2:$A$49,0))="","",INDEX(Dados!$K$2:$K$49,MATCH($A8&amp;"|"&amp;J$5,Dados!$A$2:$A$49,0))),"")</f>
        <v>3.9666104865540883E-2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7.0536818425858405E-3</v>
      </c>
      <c r="D9" s="10">
        <f>IFERROR(IF(INDEX(Dados!$K$2:$K$49,MATCH($A9&amp;"|"&amp;D$5,Dados!$A$2:$A$49,0))="","",INDEX(Dados!$K$2:$K$49,MATCH($A9&amp;"|"&amp;D$5,Dados!$A$2:$A$49,0))),"")</f>
        <v>7.1060341377666763E-3</v>
      </c>
      <c r="E9" s="10">
        <f>IFERROR(IF(INDEX(Dados!$K$2:$K$49,MATCH($A9&amp;"|"&amp;E$5,Dados!$A$2:$A$49,0))="","",INDEX(Dados!$K$2:$K$49,MATCH($A9&amp;"|"&amp;E$5,Dados!$A$2:$A$49,0))),"")</f>
        <v>6.9197248078960898E-3</v>
      </c>
      <c r="F9" s="10">
        <f>IFERROR(IF(INDEX(Dados!$K$2:$K$49,MATCH($A9&amp;"|"&amp;F$5,Dados!$A$2:$A$49,0))="","",INDEX(Dados!$K$2:$K$49,MATCH($A9&amp;"|"&amp;F$5,Dados!$A$2:$A$49,0))),"")</f>
        <v>7.0767014576901058E-3</v>
      </c>
      <c r="G9" s="10">
        <f>IFERROR(IF(INDEX(Dados!$K$2:$K$49,MATCH($A9&amp;"|"&amp;G$5,Dados!$A$2:$A$49,0))="","",INDEX(Dados!$K$2:$K$49,MATCH($A9&amp;"|"&amp;G$5,Dados!$A$2:$A$49,0))),"")</f>
        <v>7.0044371168474315E-3</v>
      </c>
      <c r="H9" s="10">
        <f>IFERROR(IF(INDEX(Dados!$K$2:$K$49,MATCH($A9&amp;"|"&amp;H$5,Dados!$A$2:$A$49,0))="","",INDEX(Dados!$K$2:$K$49,MATCH($A9&amp;"|"&amp;H$5,Dados!$A$2:$A$49,0))),"")</f>
        <v>6.9780879399425656E-3</v>
      </c>
      <c r="I9" s="10">
        <f>IFERROR(IF(INDEX(Dados!$K$2:$K$49,MATCH($A9&amp;"|"&amp;I$5,Dados!$A$2:$A$49,0))="","",INDEX(Dados!$K$2:$K$49,MATCH($A9&amp;"|"&amp;I$5,Dados!$A$2:$A$49,0))),"")</f>
        <v>6.9134357295284844E-3</v>
      </c>
      <c r="J9" s="10">
        <f>IFERROR(IF(INDEX(Dados!$K$2:$K$49,MATCH($A9&amp;"|"&amp;J$5,Dados!$A$2:$A$49,0))="","",INDEX(Dados!$K$2:$K$49,MATCH($A9&amp;"|"&amp;J$5,Dados!$A$2:$A$49,0))),"")</f>
        <v>6.90203117339708E-3</v>
      </c>
      <c r="K9" s="10">
        <f>IFERROR(IF(INDEX(Dados!$N$2:$N$49,MATCH($A9&amp;"|"&amp;J$5,Dados!$A$2:$A$49,0))=0,"—",INDEX(Dados!$N$2:$N$49,MATCH($A9&amp;"|"&amp;J$5,Dados!$A$2:$A$49,0))),"—")</f>
        <v>1.06E-2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6.8122886391150748E-3</v>
      </c>
      <c r="D10" s="10">
        <f>IFERROR(IF(INDEX(Dados!$K$2:$K$49,MATCH($A10&amp;"|"&amp;D$5,Dados!$A$2:$A$49,0))="","",INDEX(Dados!$K$2:$K$49,MATCH($A10&amp;"|"&amp;D$5,Dados!$A$2:$A$49,0))),"")</f>
        <v>7.0362013922405497E-3</v>
      </c>
      <c r="E10" s="10">
        <f>IFERROR(IF(INDEX(Dados!$K$2:$K$49,MATCH($A10&amp;"|"&amp;E$5,Dados!$A$2:$A$49,0))="","",INDEX(Dados!$K$2:$K$49,MATCH($A10&amp;"|"&amp;E$5,Dados!$A$2:$A$49,0))),"")</f>
        <v>7.2295905185077664E-3</v>
      </c>
      <c r="F10" s="10">
        <f>IFERROR(IF(INDEX(Dados!$K$2:$K$49,MATCH($A10&amp;"|"&amp;F$5,Dados!$A$2:$A$49,0))="","",INDEX(Dados!$K$2:$K$49,MATCH($A10&amp;"|"&amp;F$5,Dados!$A$2:$A$49,0))),"")</f>
        <v>7.4541442914929593E-3</v>
      </c>
      <c r="G10" s="10">
        <f>IFERROR(IF(INDEX(Dados!$K$2:$K$49,MATCH($A10&amp;"|"&amp;G$5,Dados!$A$2:$A$49,0))="","",INDEX(Dados!$K$2:$K$49,MATCH($A10&amp;"|"&amp;G$5,Dados!$A$2:$A$49,0))),"")</f>
        <v>7.3189132147578962E-3</v>
      </c>
      <c r="H10" s="10">
        <f>IFERROR(IF(INDEX(Dados!$K$2:$K$49,MATCH($A10&amp;"|"&amp;H$5,Dados!$A$2:$A$49,0))="","",INDEX(Dados!$K$2:$K$49,MATCH($A10&amp;"|"&amp;H$5,Dados!$A$2:$A$49,0))),"")</f>
        <v>7.4466907285257308E-3</v>
      </c>
      <c r="I10" s="10">
        <f>IFERROR(IF(INDEX(Dados!$K$2:$K$49,MATCH($A10&amp;"|"&amp;I$5,Dados!$A$2:$A$49,0))="","",INDEX(Dados!$K$2:$K$49,MATCH($A10&amp;"|"&amp;I$5,Dados!$A$2:$A$49,0))),"")</f>
        <v>7.517620368842742E-3</v>
      </c>
      <c r="J10" s="10">
        <f>IFERROR(IF(INDEX(Dados!$K$2:$K$49,MATCH($A10&amp;"|"&amp;J$5,Dados!$A$2:$A$49,0))="","",INDEX(Dados!$K$2:$K$49,MATCH($A10&amp;"|"&amp;J$5,Dados!$A$2:$A$49,0))),"")</f>
        <v>7.5309453289565996E-3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1.4593896489420506E-2</v>
      </c>
      <c r="D11" s="10">
        <f>IFERROR(IF(INDEX(Dados!$K$2:$K$49,MATCH($A11&amp;"|"&amp;D$5,Dados!$A$2:$A$49,0))="","",INDEX(Dados!$K$2:$K$49,MATCH($A11&amp;"|"&amp;D$5,Dados!$A$2:$A$49,0))),"")</f>
        <v>1.5098880365306483E-2</v>
      </c>
      <c r="E11" s="10">
        <f>IFERROR(IF(INDEX(Dados!$K$2:$K$49,MATCH($A11&amp;"|"&amp;E$5,Dados!$A$2:$A$49,0))="","",INDEX(Dados!$K$2:$K$49,MATCH($A11&amp;"|"&amp;E$5,Dados!$A$2:$A$49,0))),"")</f>
        <v>1.543999994835683E-2</v>
      </c>
      <c r="F11" s="10">
        <f>IFERROR(IF(INDEX(Dados!$K$2:$K$49,MATCH($A11&amp;"|"&amp;F$5,Dados!$A$2:$A$49,0))="","",INDEX(Dados!$K$2:$K$49,MATCH($A11&amp;"|"&amp;F$5,Dados!$A$2:$A$49,0))),"")</f>
        <v>1.6434661586800303E-2</v>
      </c>
      <c r="G11" s="10">
        <f>IFERROR(IF(INDEX(Dados!$K$2:$K$49,MATCH($A11&amp;"|"&amp;G$5,Dados!$A$2:$A$49,0))="","",INDEX(Dados!$K$2:$K$49,MATCH($A11&amp;"|"&amp;G$5,Dados!$A$2:$A$49,0))),"")</f>
        <v>1.633992047554279E-2</v>
      </c>
      <c r="H11" s="10">
        <f>IFERROR(IF(INDEX(Dados!$K$2:$K$49,MATCH($A11&amp;"|"&amp;H$5,Dados!$A$2:$A$49,0))="","",INDEX(Dados!$K$2:$K$49,MATCH($A11&amp;"|"&amp;H$5,Dados!$A$2:$A$49,0))),"")</f>
        <v>1.6259302618682425E-2</v>
      </c>
      <c r="I11" s="10">
        <f>IFERROR(IF(INDEX(Dados!$K$2:$K$49,MATCH($A11&amp;"|"&amp;I$5,Dados!$A$2:$A$49,0))="","",INDEX(Dados!$K$2:$K$49,MATCH($A11&amp;"|"&amp;I$5,Dados!$A$2:$A$49,0))),"")</f>
        <v>1.6615847932358652E-2</v>
      </c>
      <c r="J11" s="10">
        <f>IFERROR(IF(INDEX(Dados!$K$2:$K$49,MATCH($A11&amp;"|"&amp;J$5,Dados!$A$2:$A$49,0))="","",INDEX(Dados!$K$2:$K$49,MATCH($A11&amp;"|"&amp;J$5,Dados!$A$2:$A$49,0))),"")</f>
        <v>1.6655516398412572E-2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34481.724548669998</v>
      </c>
      <c r="D12" s="12">
        <f>IFERROR(INDEX(Dados!$J$2:$J$49,MATCH("Governo|"&amp;D$5,Dados!$A$2:$A$49,0))/1000000,"")</f>
        <v>35186.704195680002</v>
      </c>
      <c r="E12" s="12">
        <f>IFERROR(INDEX(Dados!$J$2:$J$49,MATCH("Governo|"&amp;E$5,Dados!$A$2:$A$49,0))/1000000,"")</f>
        <v>36164.440163059997</v>
      </c>
      <c r="F12" s="12">
        <f>IFERROR(INDEX(Dados!$J$2:$J$49,MATCH("Governo|"&amp;F$5,Dados!$A$2:$A$49,0))/1000000,"")</f>
        <v>36273.923688139999</v>
      </c>
      <c r="G12" s="12">
        <f>IFERROR(INDEX(Dados!$J$2:$J$49,MATCH("Governo|"&amp;G$5,Dados!$A$2:$A$49,0))/1000000,"")</f>
        <v>38075.255002080004</v>
      </c>
      <c r="H12" s="12">
        <f>IFERROR(INDEX(Dados!$J$2:$J$49,MATCH("Governo|"&amp;H$5,Dados!$A$2:$A$49,0))/1000000,"")</f>
        <v>39414.799676809998</v>
      </c>
      <c r="I12" s="12">
        <f>IFERROR(INDEX(Dados!$J$2:$J$49,MATCH("Governo|"&amp;I$5,Dados!$A$2:$A$49,0))/1000000,"")</f>
        <v>40690.096057230003</v>
      </c>
      <c r="J12" s="12">
        <f>IFERROR(INDEX(Dados!$J$2:$J$49,MATCH("Governo|"&amp;J$5,Dados!$A$2:$A$49,0))/1000000,"")</f>
        <v>41764.818437949994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14839.54229089</v>
      </c>
      <c r="D16" s="13">
        <f>IFERROR(IF(INDEX(Dados!$I$2:$I$49,MATCH($A16&amp;"|"&amp;D$15,Dados!$A$2:$A$49,0))="","",INDEX(Dados!$I$2:$I$49,MATCH($A16&amp;"|"&amp;D$15,Dados!$A$2:$A$49,0))/1000000),"")</f>
        <v>15337.18387981</v>
      </c>
      <c r="E16" s="13">
        <f>IFERROR(IF(INDEX(Dados!$I$2:$I$49,MATCH($A16&amp;"|"&amp;E$15,Dados!$A$2:$A$49,0))="","",INDEX(Dados!$I$2:$I$49,MATCH($A16&amp;"|"&amp;E$15,Dados!$A$2:$A$49,0))/1000000),"")</f>
        <v>15745.937045719998</v>
      </c>
      <c r="F16" s="13">
        <f>IFERROR(IF(INDEX(Dados!$I$2:$I$49,MATCH($A16&amp;"|"&amp;F$15,Dados!$A$2:$A$49,0))="","",INDEX(Dados!$I$2:$I$49,MATCH($A16&amp;"|"&amp;F$15,Dados!$A$2:$A$49,0))/1000000),"")</f>
        <v>15127.2184772</v>
      </c>
      <c r="G16" s="13">
        <f>IFERROR(IF(INDEX(Dados!$I$2:$I$49,MATCH($A16&amp;"|"&amp;G$15,Dados!$A$2:$A$49,0))="","",INDEX(Dados!$I$2:$I$49,MATCH($A16&amp;"|"&amp;G$15,Dados!$A$2:$A$49,0))/1000000),"")</f>
        <v>15834.366368110001</v>
      </c>
      <c r="H16" s="13">
        <f>IFERROR(IF(INDEX(Dados!$I$2:$I$49,MATCH($A16&amp;"|"&amp;H$15,Dados!$A$2:$A$49,0))="","",INDEX(Dados!$I$2:$I$49,MATCH($A16&amp;"|"&amp;H$15,Dados!$A$2:$A$49,0))/1000000),"")</f>
        <v>16129.113991780001</v>
      </c>
      <c r="I16" s="13">
        <f>IFERROR(IF(INDEX(Dados!$I$2:$I$49,MATCH($A16&amp;"|"&amp;I$15,Dados!$A$2:$A$49,0))="","",INDEX(Dados!$I$2:$I$49,MATCH($A16&amp;"|"&amp;I$15,Dados!$A$2:$A$49,0))/1000000),"")</f>
        <v>16679.957857720001</v>
      </c>
      <c r="J16" s="13">
        <f>IFERROR(IF(INDEX(Dados!$I$2:$I$49,MATCH($A16&amp;"|"&amp;J$15,Dados!$A$2:$A$49,0))="","",INDEX(Dados!$I$2:$I$49,MATCH($A16&amp;"|"&amp;J$15,Dados!$A$2:$A$49,0))/1000000),"")</f>
        <v>17369.46996513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588.15578728000003</v>
      </c>
      <c r="D17" s="14">
        <f>IFERROR(IF(INDEX(Dados!$I$2:$I$49,MATCH($A17&amp;"|"&amp;D$15,Dados!$A$2:$A$49,0))="","",INDEX(Dados!$I$2:$I$49,MATCH($A17&amp;"|"&amp;D$15,Dados!$A$2:$A$49,0))/1000000),"")</f>
        <v>623.94270144000006</v>
      </c>
      <c r="E17" s="14">
        <f>IFERROR(IF(INDEX(Dados!$I$2:$I$49,MATCH($A17&amp;"|"&amp;E$15,Dados!$A$2:$A$49,0))="","",INDEX(Dados!$I$2:$I$49,MATCH($A17&amp;"|"&amp;E$15,Dados!$A$2:$A$49,0))/1000000),"")</f>
        <v>652.36858740000002</v>
      </c>
      <c r="F17" s="14">
        <f>IFERROR(IF(INDEX(Dados!$I$2:$I$49,MATCH($A17&amp;"|"&amp;F$15,Dados!$A$2:$A$49,0))="","",INDEX(Dados!$I$2:$I$49,MATCH($A17&amp;"|"&amp;F$15,Dados!$A$2:$A$49,0))/1000000),"")</f>
        <v>657.02176430999998</v>
      </c>
      <c r="G17" s="14">
        <f>IFERROR(IF(INDEX(Dados!$I$2:$I$49,MATCH($A17&amp;"|"&amp;G$15,Dados!$A$2:$A$49,0))="","",INDEX(Dados!$I$2:$I$49,MATCH($A17&amp;"|"&amp;G$15,Dados!$A$2:$A$49,0))/1000000),"")</f>
        <v>630.10719951999999</v>
      </c>
      <c r="H17" s="14">
        <f>IFERROR(IF(INDEX(Dados!$I$2:$I$49,MATCH($A17&amp;"|"&amp;H$15,Dados!$A$2:$A$49,0))="","",INDEX(Dados!$I$2:$I$49,MATCH($A17&amp;"|"&amp;H$15,Dados!$A$2:$A$49,0))/1000000),"")</f>
        <v>618.88372641000001</v>
      </c>
      <c r="I17" s="14">
        <f>IFERROR(IF(INDEX(Dados!$I$2:$I$49,MATCH($A17&amp;"|"&amp;I$15,Dados!$A$2:$A$49,0))="","",INDEX(Dados!$I$2:$I$49,MATCH($A17&amp;"|"&amp;I$15,Dados!$A$2:$A$49,0))/1000000),"")</f>
        <v>624.88835337</v>
      </c>
      <c r="J17" s="14">
        <f>IFERROR(IF(INDEX(Dados!$I$2:$I$49,MATCH($A17&amp;"|"&amp;J$15,Dados!$A$2:$A$49,0))="","",INDEX(Dados!$I$2:$I$49,MATCH($A17&amp;"|"&amp;J$15,Dados!$A$2:$A$49,0))/1000000),"")</f>
        <v>661.15774629999999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1341.6661386800001</v>
      </c>
      <c r="D18" s="14">
        <f>IFERROR(IF(INDEX(Dados!$I$2:$I$49,MATCH($A18&amp;"|"&amp;D$15,Dados!$A$2:$A$49,0))="","",INDEX(Dados!$I$2:$I$49,MATCH($A18&amp;"|"&amp;D$15,Dados!$A$2:$A$49,0))/1000000),"")</f>
        <v>1399.9446370200001</v>
      </c>
      <c r="E18" s="14">
        <f>IFERROR(IF(INDEX(Dados!$I$2:$I$49,MATCH($A18&amp;"|"&amp;E$15,Dados!$A$2:$A$49,0))="","",INDEX(Dados!$I$2:$I$49,MATCH($A18&amp;"|"&amp;E$15,Dados!$A$2:$A$49,0))/1000000),"")</f>
        <v>1461.9188235899999</v>
      </c>
      <c r="F18" s="14">
        <f>IFERROR(IF(INDEX(Dados!$I$2:$I$49,MATCH($A18&amp;"|"&amp;F$15,Dados!$A$2:$A$49,0))="","",INDEX(Dados!$I$2:$I$49,MATCH($A18&amp;"|"&amp;F$15,Dados!$A$2:$A$49,0))/1000000),"")</f>
        <v>1524.6992383800002</v>
      </c>
      <c r="G18" s="14">
        <f>IFERROR(IF(INDEX(Dados!$I$2:$I$49,MATCH($A18&amp;"|"&amp;G$15,Dados!$A$2:$A$49,0))="","",INDEX(Dados!$I$2:$I$49,MATCH($A18&amp;"|"&amp;G$15,Dados!$A$2:$A$49,0))/1000000),"")</f>
        <v>1601.44979188</v>
      </c>
      <c r="H18" s="14">
        <f>IFERROR(IF(INDEX(Dados!$I$2:$I$49,MATCH($A18&amp;"|"&amp;H$15,Dados!$A$2:$A$49,0))="","",INDEX(Dados!$I$2:$I$49,MATCH($A18&amp;"|"&amp;H$15,Dados!$A$2:$A$49,0))/1000000),"")</f>
        <v>1606.4020962699999</v>
      </c>
      <c r="I18" s="14">
        <f>IFERROR(IF(INDEX(Dados!$I$2:$I$49,MATCH($A18&amp;"|"&amp;I$15,Dados!$A$2:$A$49,0))="","",INDEX(Dados!$I$2:$I$49,MATCH($A18&amp;"|"&amp;I$15,Dados!$A$2:$A$49,0))/1000000),"")</f>
        <v>1649.3227044</v>
      </c>
      <c r="J18" s="14">
        <f>IFERROR(IF(INDEX(Dados!$I$2:$I$49,MATCH($A18&amp;"|"&amp;J$15,Dados!$A$2:$A$49,0))="","",INDEX(Dados!$I$2:$I$49,MATCH($A18&amp;"|"&amp;J$15,Dados!$A$2:$A$49,0))/1000000),"")</f>
        <v>1656.6476678499998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243.22311435</v>
      </c>
      <c r="D19" s="14">
        <f>IFERROR(IF(INDEX(Dados!$I$2:$I$49,MATCH($A19&amp;"|"&amp;D$15,Dados!$A$2:$A$49,0))="","",INDEX(Dados!$I$2:$I$49,MATCH($A19&amp;"|"&amp;D$15,Dados!$A$2:$A$49,0))/1000000),"")</f>
        <v>250.03792121000001</v>
      </c>
      <c r="E19" s="14">
        <f>IFERROR(IF(INDEX(Dados!$I$2:$I$49,MATCH($A19&amp;"|"&amp;E$15,Dados!$A$2:$A$49,0))="","",INDEX(Dados!$I$2:$I$49,MATCH($A19&amp;"|"&amp;E$15,Dados!$A$2:$A$49,0))/1000000),"")</f>
        <v>250.24797375999998</v>
      </c>
      <c r="F19" s="14">
        <f>IFERROR(IF(INDEX(Dados!$I$2:$I$49,MATCH($A19&amp;"|"&amp;F$15,Dados!$A$2:$A$49,0))="","",INDEX(Dados!$I$2:$I$49,MATCH($A19&amp;"|"&amp;F$15,Dados!$A$2:$A$49,0))/1000000),"")</f>
        <v>256.69972863999999</v>
      </c>
      <c r="G19" s="14">
        <f>IFERROR(IF(INDEX(Dados!$I$2:$I$49,MATCH($A19&amp;"|"&amp;G$15,Dados!$A$2:$A$49,0))="","",INDEX(Dados!$I$2:$I$49,MATCH($A19&amp;"|"&amp;G$15,Dados!$A$2:$A$49,0))/1000000),"")</f>
        <v>266.69572936999998</v>
      </c>
      <c r="H19" s="14">
        <f>IFERROR(IF(INDEX(Dados!$I$2:$I$49,MATCH($A19&amp;"|"&amp;H$15,Dados!$A$2:$A$49,0))="","",INDEX(Dados!$I$2:$I$49,MATCH($A19&amp;"|"&amp;H$15,Dados!$A$2:$A$49,0))/1000000),"")</f>
        <v>275.03993827999994</v>
      </c>
      <c r="I19" s="14">
        <f>IFERROR(IF(INDEX(Dados!$I$2:$I$49,MATCH($A19&amp;"|"&amp;I$15,Dados!$A$2:$A$49,0))="","",INDEX(Dados!$I$2:$I$49,MATCH($A19&amp;"|"&amp;I$15,Dados!$A$2:$A$49,0))/1000000),"")</f>
        <v>281.30836392000003</v>
      </c>
      <c r="J19" s="14">
        <f>IFERROR(IF(INDEX(Dados!$I$2:$I$49,MATCH($A19&amp;"|"&amp;J$15,Dados!$A$2:$A$49,0))="","",INDEX(Dados!$I$2:$I$49,MATCH($A19&amp;"|"&amp;J$15,Dados!$A$2:$A$49,0))/1000000),"")</f>
        <v>288.26207880999999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234.89946040000001</v>
      </c>
      <c r="D20" s="14">
        <f>IFERROR(IF(INDEX(Dados!$I$2:$I$49,MATCH($A20&amp;"|"&amp;D$15,Dados!$A$2:$A$49,0))="","",INDEX(Dados!$I$2:$I$49,MATCH($A20&amp;"|"&amp;D$15,Dados!$A$2:$A$49,0))/1000000),"")</f>
        <v>247.58073705000001</v>
      </c>
      <c r="E20" s="14">
        <f>IFERROR(IF(INDEX(Dados!$I$2:$I$49,MATCH($A20&amp;"|"&amp;E$15,Dados!$A$2:$A$49,0))="","",INDEX(Dados!$I$2:$I$49,MATCH($A20&amp;"|"&amp;E$15,Dados!$A$2:$A$49,0))/1000000),"")</f>
        <v>261.45409371</v>
      </c>
      <c r="F20" s="14">
        <f>IFERROR(IF(INDEX(Dados!$I$2:$I$49,MATCH($A20&amp;"|"&amp;F$15,Dados!$A$2:$A$49,0))="","",INDEX(Dados!$I$2:$I$49,MATCH($A20&amp;"|"&amp;F$15,Dados!$A$2:$A$49,0))/1000000),"")</f>
        <v>270.39106119000002</v>
      </c>
      <c r="G20" s="14">
        <f>IFERROR(IF(INDEX(Dados!$I$2:$I$49,MATCH($A20&amp;"|"&amp;G$15,Dados!$A$2:$A$49,0))="","",INDEX(Dados!$I$2:$I$49,MATCH($A20&amp;"|"&amp;G$15,Dados!$A$2:$A$49,0))/1000000),"")</f>
        <v>278.66948699</v>
      </c>
      <c r="H20" s="14">
        <f>IFERROR(IF(INDEX(Dados!$I$2:$I$49,MATCH($A20&amp;"|"&amp;H$15,Dados!$A$2:$A$49,0))="","",INDEX(Dados!$I$2:$I$49,MATCH($A20&amp;"|"&amp;H$15,Dados!$A$2:$A$49,0))/1000000),"")</f>
        <v>293.50982332000001</v>
      </c>
      <c r="I20" s="14">
        <f>IFERROR(IF(INDEX(Dados!$I$2:$I$49,MATCH($A20&amp;"|"&amp;I$15,Dados!$A$2:$A$49,0))="","",INDEX(Dados!$I$2:$I$49,MATCH($A20&amp;"|"&amp;I$15,Dados!$A$2:$A$49,0))/1000000),"")</f>
        <v>305.89269493</v>
      </c>
      <c r="J20" s="14">
        <f>IFERROR(IF(INDEX(Dados!$I$2:$I$49,MATCH($A20&amp;"|"&amp;J$15,Dados!$A$2:$A$49,0))="","",INDEX(Dados!$I$2:$I$49,MATCH($A20&amp;"|"&amp;J$15,Dados!$A$2:$A$49,0))/1000000),"")</f>
        <v>314.52856432999999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503.22271883999997</v>
      </c>
      <c r="D21" s="14">
        <f>IFERROR(IF(INDEX(Dados!$I$2:$I$49,MATCH($A21&amp;"|"&amp;D$15,Dados!$A$2:$A$49,0))="","",INDEX(Dados!$I$2:$I$49,MATCH($A21&amp;"|"&amp;D$15,Dados!$A$2:$A$49,0))/1000000),"")</f>
        <v>531.27983710000001</v>
      </c>
      <c r="E21" s="14">
        <f>IFERROR(IF(INDEX(Dados!$I$2:$I$49,MATCH($A21&amp;"|"&amp;E$15,Dados!$A$2:$A$49,0))="","",INDEX(Dados!$I$2:$I$49,MATCH($A21&amp;"|"&amp;E$15,Dados!$A$2:$A$49,0))/1000000),"")</f>
        <v>558.37895424999999</v>
      </c>
      <c r="F21" s="14">
        <f>IFERROR(IF(INDEX(Dados!$I$2:$I$49,MATCH($A21&amp;"|"&amp;F$15,Dados!$A$2:$A$49,0))="","",INDEX(Dados!$I$2:$I$49,MATCH($A21&amp;"|"&amp;F$15,Dados!$A$2:$A$49,0))/1000000),"")</f>
        <v>596.14966024</v>
      </c>
      <c r="G21" s="14">
        <f>IFERROR(IF(INDEX(Dados!$I$2:$I$49,MATCH($A21&amp;"|"&amp;G$15,Dados!$A$2:$A$49,0))="","",INDEX(Dados!$I$2:$I$49,MATCH($A21&amp;"|"&amp;G$15,Dados!$A$2:$A$49,0))/1000000),"")</f>
        <v>622.14663882000002</v>
      </c>
      <c r="H21" s="14">
        <f>IFERROR(IF(INDEX(Dados!$I$2:$I$49,MATCH($A21&amp;"|"&amp;H$15,Dados!$A$2:$A$49,0))="","",INDEX(Dados!$I$2:$I$49,MATCH($A21&amp;"|"&amp;H$15,Dados!$A$2:$A$49,0))/1000000),"")</f>
        <v>640.85715560000006</v>
      </c>
      <c r="I21" s="14">
        <f>IFERROR(IF(INDEX(Dados!$I$2:$I$49,MATCH($A21&amp;"|"&amp;I$15,Dados!$A$2:$A$49,0))="","",INDEX(Dados!$I$2:$I$49,MATCH($A21&amp;"|"&amp;I$15,Dados!$A$2:$A$49,0))/1000000),"")</f>
        <v>676.10044844000004</v>
      </c>
      <c r="J21" s="14">
        <f>IFERROR(IF(INDEX(Dados!$I$2:$I$49,MATCH($A21&amp;"|"&amp;J$15,Dados!$A$2:$A$49,0))="","",INDEX(Dados!$I$2:$I$49,MATCH($A21&amp;"|"&amp;J$15,Dados!$A$2:$A$49,0))/1000000),"")</f>
        <v>695.61461837000002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14839542290.889999</v>
      </c>
      <c r="J2" s="15">
        <v>34481724548.669998</v>
      </c>
      <c r="K2" s="10">
        <f t="shared" ref="K2:K49" si="1">IF(OR(I2="",J2="",J2=0),"",I2/J2)</f>
        <v>0.43035963209857431</v>
      </c>
      <c r="L2" s="16">
        <v>0.4304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16896045028.85</v>
      </c>
      <c r="R2" s="15">
        <v>16051242777.41</v>
      </c>
      <c r="S2" s="15">
        <v>15206440525.969999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15337183879.809999</v>
      </c>
      <c r="J3" s="15">
        <v>35186704195.68</v>
      </c>
      <c r="K3" s="10">
        <f t="shared" si="1"/>
        <v>0.43588009250644738</v>
      </c>
      <c r="L3" s="16">
        <v>0.43590000000000001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17241485055.880001</v>
      </c>
      <c r="R3" s="15">
        <v>16379410803.09</v>
      </c>
      <c r="S3" s="15">
        <v>15517336550.290001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15745937045.719999</v>
      </c>
      <c r="J4" s="15">
        <v>36164440163.059998</v>
      </c>
      <c r="K4" s="10">
        <f t="shared" si="1"/>
        <v>0.43539833534610095</v>
      </c>
      <c r="L4" s="16">
        <v>0.43540000000000001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17720575679.900002</v>
      </c>
      <c r="R4" s="15">
        <v>16834546895.91</v>
      </c>
      <c r="S4" s="15">
        <v>15948518111.91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15127218477.200001</v>
      </c>
      <c r="J5" s="15">
        <v>36273923688.139999</v>
      </c>
      <c r="K5" s="10">
        <f t="shared" si="1"/>
        <v>0.41702735571850874</v>
      </c>
      <c r="L5" s="16">
        <v>0.41699999999999998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17774222607.189999</v>
      </c>
      <c r="R5" s="15">
        <v>16885511476.83</v>
      </c>
      <c r="S5" s="15">
        <v>15996800346.469999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15834366368.110001</v>
      </c>
      <c r="J6" s="15">
        <v>38075255002.080002</v>
      </c>
      <c r="K6" s="10">
        <f t="shared" si="1"/>
        <v>0.41587026448660658</v>
      </c>
      <c r="L6" s="16">
        <v>0.41589999999999999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18656874951.02</v>
      </c>
      <c r="R6" s="15">
        <v>17724031203.470001</v>
      </c>
      <c r="S6" s="15">
        <v>16791187455.92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16129113991.780001</v>
      </c>
      <c r="J7" s="15">
        <v>39414799676.809998</v>
      </c>
      <c r="K7" s="10">
        <f t="shared" si="1"/>
        <v>0.40921466362975556</v>
      </c>
      <c r="L7" s="16">
        <v>0.40920000000000001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19313251841.639999</v>
      </c>
      <c r="R7" s="15">
        <v>18347589249.560001</v>
      </c>
      <c r="S7" s="15">
        <v>17381926657.48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16679957857.719999</v>
      </c>
      <c r="J8" s="15">
        <v>40690096057.230003</v>
      </c>
      <c r="K8" s="10">
        <f t="shared" si="1"/>
        <v>0.40992672600870472</v>
      </c>
      <c r="L8" s="16">
        <v>0.40989999999999999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19938147068.040001</v>
      </c>
      <c r="R8" s="15">
        <v>18941239714.639999</v>
      </c>
      <c r="S8" s="15">
        <v>17944332361.240002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17369469965.130001</v>
      </c>
      <c r="J9" s="15">
        <v>41764818437.949997</v>
      </c>
      <c r="K9" s="10">
        <f t="shared" si="1"/>
        <v>0.41588759666071162</v>
      </c>
      <c r="L9" s="16">
        <v>0.41589999999999999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20464761034.599998</v>
      </c>
      <c r="R9" s="15">
        <v>19441522982.869999</v>
      </c>
      <c r="S9" s="15">
        <v>18418284931.139999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588155787.27999997</v>
      </c>
      <c r="J10" s="15">
        <v>34481724548.669998</v>
      </c>
      <c r="K10" s="10">
        <f t="shared" si="1"/>
        <v>1.7057029338826555E-2</v>
      </c>
      <c r="L10" s="16">
        <v>1.7100000000000001E-2</v>
      </c>
      <c r="M10" s="9" t="str">
        <f t="shared" si="2"/>
        <v>Sim</v>
      </c>
      <c r="N10" s="16">
        <v>2.3400000000000001E-2</v>
      </c>
      <c r="O10" s="16">
        <v>2.2200000000000001E-2</v>
      </c>
      <c r="P10" s="16">
        <v>2.1100000000000001E-2</v>
      </c>
      <c r="Q10" s="15">
        <v>806872354.44000006</v>
      </c>
      <c r="R10" s="15">
        <v>766528736.72000003</v>
      </c>
      <c r="S10" s="15">
        <v>726185119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623942701.44000006</v>
      </c>
      <c r="J11" s="15">
        <v>35186704195.68</v>
      </c>
      <c r="K11" s="10">
        <f t="shared" si="1"/>
        <v>1.7732342818188803E-2</v>
      </c>
      <c r="L11" s="16">
        <v>1.77E-2</v>
      </c>
      <c r="M11" s="9" t="str">
        <f t="shared" si="2"/>
        <v>Sim</v>
      </c>
      <c r="N11" s="16">
        <v>2.3400000000000001E-2</v>
      </c>
      <c r="O11" s="16">
        <v>2.2200000000000001E-2</v>
      </c>
      <c r="P11" s="16">
        <v>2.1100000000000001E-2</v>
      </c>
      <c r="Q11" s="15">
        <v>823368878.17999995</v>
      </c>
      <c r="R11" s="15">
        <v>782200434.26999998</v>
      </c>
      <c r="S11" s="15">
        <v>741031990.36000001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652368587.39999998</v>
      </c>
      <c r="J12" s="15">
        <v>36164440163.059998</v>
      </c>
      <c r="K12" s="10">
        <f t="shared" si="1"/>
        <v>1.8038951645831334E-2</v>
      </c>
      <c r="L12" s="16">
        <v>1.7999999999999999E-2</v>
      </c>
      <c r="M12" s="9" t="str">
        <f t="shared" si="2"/>
        <v>Sim</v>
      </c>
      <c r="N12" s="16">
        <v>2.3400000000000001E-2</v>
      </c>
      <c r="O12" s="16">
        <v>2.2200000000000001E-2</v>
      </c>
      <c r="P12" s="16">
        <v>2.1100000000000001E-2</v>
      </c>
      <c r="Q12" s="15">
        <v>846247899.82000005</v>
      </c>
      <c r="R12" s="15">
        <v>803935504.83000004</v>
      </c>
      <c r="S12" s="15">
        <v>761623109.84000003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657021764.30999994</v>
      </c>
      <c r="J13" s="15">
        <v>36273923688.139999</v>
      </c>
      <c r="K13" s="10">
        <f t="shared" si="1"/>
        <v>1.8112784543482335E-2</v>
      </c>
      <c r="L13" s="16">
        <v>1.8100000000000002E-2</v>
      </c>
      <c r="M13" s="9" t="str">
        <f t="shared" si="2"/>
        <v>Sim</v>
      </c>
      <c r="N13" s="16">
        <v>2.3400000000000001E-2</v>
      </c>
      <c r="O13" s="16">
        <v>2.2200000000000001E-2</v>
      </c>
      <c r="P13" s="16">
        <v>2.1100000000000001E-2</v>
      </c>
      <c r="Q13" s="15">
        <v>848809814.29999995</v>
      </c>
      <c r="R13" s="15">
        <v>806369323.59000003</v>
      </c>
      <c r="S13" s="15">
        <v>763928832.87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630107199.51999998</v>
      </c>
      <c r="J14" s="15">
        <v>38075255002.080002</v>
      </c>
      <c r="K14" s="10">
        <f t="shared" si="1"/>
        <v>1.6548994865184175E-2</v>
      </c>
      <c r="L14" s="16">
        <v>1.6500000000000001E-2</v>
      </c>
      <c r="M14" s="9" t="str">
        <f t="shared" si="2"/>
        <v>Sim</v>
      </c>
      <c r="N14" s="16">
        <v>2.3400000000000001E-2</v>
      </c>
      <c r="O14" s="16">
        <v>2.2200000000000001E-2</v>
      </c>
      <c r="P14" s="16">
        <v>2.1100000000000001E-2</v>
      </c>
      <c r="Q14" s="15">
        <v>890960967.04999995</v>
      </c>
      <c r="R14" s="15">
        <v>846412918.70000005</v>
      </c>
      <c r="S14" s="15">
        <v>801864870.35000002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618883726.40999997</v>
      </c>
      <c r="J15" s="15">
        <v>39414799676.809998</v>
      </c>
      <c r="K15" s="10">
        <f t="shared" si="1"/>
        <v>1.5701810778810707E-2</v>
      </c>
      <c r="L15" s="16">
        <v>1.5699999999999999E-2</v>
      </c>
      <c r="M15" s="9" t="str">
        <f t="shared" si="2"/>
        <v>Sim</v>
      </c>
      <c r="N15" s="16">
        <v>2.3400000000000001E-2</v>
      </c>
      <c r="O15" s="16">
        <v>2.2200000000000001E-2</v>
      </c>
      <c r="P15" s="16">
        <v>2.1100000000000001E-2</v>
      </c>
      <c r="Q15" s="15">
        <v>922306312.44000006</v>
      </c>
      <c r="R15" s="15">
        <v>876190996.82000005</v>
      </c>
      <c r="S15" s="15">
        <v>830075681.20000005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624888353.37</v>
      </c>
      <c r="J16" s="15">
        <v>40690096057.230003</v>
      </c>
      <c r="K16" s="10">
        <f t="shared" si="1"/>
        <v>1.5357259233084728E-2</v>
      </c>
      <c r="L16" s="16">
        <v>1.54E-2</v>
      </c>
      <c r="M16" s="9" t="str">
        <f t="shared" si="2"/>
        <v>Sim</v>
      </c>
      <c r="N16" s="16">
        <v>2.3400000000000001E-2</v>
      </c>
      <c r="O16" s="16">
        <v>2.2200000000000001E-2</v>
      </c>
      <c r="P16" s="16">
        <v>2.1100000000000001E-2</v>
      </c>
      <c r="Q16" s="15">
        <v>952148247.74000001</v>
      </c>
      <c r="R16" s="15">
        <v>904540835.35000002</v>
      </c>
      <c r="S16" s="15">
        <v>856933422.97000003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661157746.29999995</v>
      </c>
      <c r="J17" s="15">
        <v>41764818437.949997</v>
      </c>
      <c r="K17" s="10">
        <f t="shared" si="1"/>
        <v>1.5830494924389104E-2</v>
      </c>
      <c r="L17" s="16">
        <v>1.5800000000000002E-2</v>
      </c>
      <c r="M17" s="9" t="str">
        <f t="shared" si="2"/>
        <v>Sim</v>
      </c>
      <c r="N17" s="16">
        <v>2.3400000000000001E-2</v>
      </c>
      <c r="O17" s="16">
        <v>2.2200000000000001E-2</v>
      </c>
      <c r="P17" s="16">
        <v>2.1100000000000001E-2</v>
      </c>
      <c r="Q17" s="15">
        <v>977296751.45000005</v>
      </c>
      <c r="R17" s="15">
        <v>928431913.88</v>
      </c>
      <c r="S17" s="15">
        <v>879567076.30999994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1341666138.6800001</v>
      </c>
      <c r="J18" s="15">
        <v>34481724548.669998</v>
      </c>
      <c r="K18" s="10">
        <f t="shared" si="1"/>
        <v>3.890948484279768E-2</v>
      </c>
      <c r="L18" s="16">
        <v>3.8899999999999997E-2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2068903472.9200001</v>
      </c>
      <c r="R18" s="15">
        <v>1965458299.27</v>
      </c>
      <c r="S18" s="15">
        <v>1862013125.6300001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1399944637.02</v>
      </c>
      <c r="J19" s="15">
        <v>35186704195.68</v>
      </c>
      <c r="K19" s="10">
        <f t="shared" si="1"/>
        <v>3.9786182565853277E-2</v>
      </c>
      <c r="L19" s="16">
        <v>3.9800000000000002E-2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2111202251.74</v>
      </c>
      <c r="R19" s="15">
        <v>2005642139.1500001</v>
      </c>
      <c r="S19" s="15">
        <v>1900082026.5699999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1461918823.5899999</v>
      </c>
      <c r="J20" s="15">
        <v>36164440163.059998</v>
      </c>
      <c r="K20" s="10">
        <f t="shared" si="1"/>
        <v>4.0424207232254358E-2</v>
      </c>
      <c r="L20" s="16">
        <v>4.0399999999999998E-2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2169866409.7800002</v>
      </c>
      <c r="R20" s="15">
        <v>2061373089.29</v>
      </c>
      <c r="S20" s="15">
        <v>1952879768.8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1524699238.3800001</v>
      </c>
      <c r="J21" s="15">
        <v>36273923688.139999</v>
      </c>
      <c r="K21" s="10">
        <f t="shared" si="1"/>
        <v>4.2032928433339313E-2</v>
      </c>
      <c r="L21" s="16">
        <v>4.2000000000000003E-2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2176435421.29</v>
      </c>
      <c r="R21" s="15">
        <v>2067613650.23</v>
      </c>
      <c r="S21" s="15">
        <v>1958791879.1600001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1601449791.8800001</v>
      </c>
      <c r="J22" s="15">
        <v>38075255002.080002</v>
      </c>
      <c r="K22" s="10">
        <f t="shared" si="1"/>
        <v>4.2060119933340301E-2</v>
      </c>
      <c r="L22" s="16">
        <v>4.2099999999999999E-2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2284515300.1199999</v>
      </c>
      <c r="R22" s="15">
        <v>2170289535.1100001</v>
      </c>
      <c r="S22" s="15">
        <v>2056063770.1099999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1606402096.27</v>
      </c>
      <c r="J23" s="15">
        <v>39414799676.809998</v>
      </c>
      <c r="K23" s="10">
        <f t="shared" si="1"/>
        <v>4.0756317663467385E-2</v>
      </c>
      <c r="L23" s="16">
        <v>4.0800000000000003E-2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2364887980.6100001</v>
      </c>
      <c r="R23" s="15">
        <v>2246643581.5799999</v>
      </c>
      <c r="S23" s="15">
        <v>2128399182.55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1649322704.4000001</v>
      </c>
      <c r="J24" s="15">
        <v>40690096057.230003</v>
      </c>
      <c r="K24" s="10">
        <f t="shared" si="1"/>
        <v>4.0533762861612629E-2</v>
      </c>
      <c r="L24" s="16">
        <v>4.0500000000000001E-2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2441405763.4299998</v>
      </c>
      <c r="R24" s="15">
        <v>2319335475.2600002</v>
      </c>
      <c r="S24" s="15">
        <v>2197265187.0900002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1656647667.8499999</v>
      </c>
      <c r="J25" s="15">
        <v>41764818437.949997</v>
      </c>
      <c r="K25" s="10">
        <f t="shared" si="1"/>
        <v>3.9666104865540883E-2</v>
      </c>
      <c r="L25" s="16">
        <v>3.9699999999999999E-2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2505889106.2800002</v>
      </c>
      <c r="R25" s="15">
        <v>2380594650.9699998</v>
      </c>
      <c r="S25" s="15">
        <v>2255300195.6500001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243223114.34999999</v>
      </c>
      <c r="J26" s="15">
        <v>34481724548.669998</v>
      </c>
      <c r="K26" s="10">
        <f t="shared" si="1"/>
        <v>7.0536818425858405E-3</v>
      </c>
      <c r="L26" s="16">
        <v>7.1000000000000004E-3</v>
      </c>
      <c r="M26" s="9" t="str">
        <f t="shared" si="2"/>
        <v>Sim</v>
      </c>
      <c r="N26" s="16">
        <v>1.06E-2</v>
      </c>
      <c r="O26" s="16">
        <v>1.01E-2</v>
      </c>
      <c r="P26" s="16">
        <v>9.4999999999999998E-3</v>
      </c>
      <c r="Q26" s="15">
        <v>365506280.22000003</v>
      </c>
      <c r="R26" s="15">
        <v>347230966.20999998</v>
      </c>
      <c r="S26" s="15">
        <v>328955652.19999999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250037921.21000001</v>
      </c>
      <c r="J27" s="15">
        <v>35186704195.68</v>
      </c>
      <c r="K27" s="10">
        <f t="shared" si="1"/>
        <v>7.1060341377666763E-3</v>
      </c>
      <c r="L27" s="16">
        <v>7.1000000000000004E-3</v>
      </c>
      <c r="M27" s="9" t="str">
        <f t="shared" si="2"/>
        <v>Sim</v>
      </c>
      <c r="N27" s="16">
        <v>1.06E-2</v>
      </c>
      <c r="O27" s="16">
        <v>1.01E-2</v>
      </c>
      <c r="P27" s="16">
        <v>9.4999999999999998E-3</v>
      </c>
      <c r="Q27" s="15">
        <v>372979064.47000003</v>
      </c>
      <c r="R27" s="15">
        <v>354330111.25</v>
      </c>
      <c r="S27" s="15">
        <v>335681158.01999998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250247973.75999999</v>
      </c>
      <c r="J28" s="15">
        <v>36164440163.059998</v>
      </c>
      <c r="K28" s="10">
        <f t="shared" si="1"/>
        <v>6.9197248078960898E-3</v>
      </c>
      <c r="L28" s="16">
        <v>6.8999999999999999E-3</v>
      </c>
      <c r="M28" s="9" t="str">
        <f t="shared" si="2"/>
        <v>Sim</v>
      </c>
      <c r="N28" s="16">
        <v>1.06E-2</v>
      </c>
      <c r="O28" s="16">
        <v>1.01E-2</v>
      </c>
      <c r="P28" s="16">
        <v>9.4999999999999998E-3</v>
      </c>
      <c r="Q28" s="15">
        <v>383343065.73000002</v>
      </c>
      <c r="R28" s="15">
        <v>364175912.44</v>
      </c>
      <c r="S28" s="15">
        <v>345008759.16000003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256699728.63999999</v>
      </c>
      <c r="J29" s="15">
        <v>36273923688.139999</v>
      </c>
      <c r="K29" s="10">
        <f t="shared" si="1"/>
        <v>7.0767014576901058E-3</v>
      </c>
      <c r="L29" s="16">
        <v>7.1000000000000004E-3</v>
      </c>
      <c r="M29" s="9" t="str">
        <f t="shared" si="2"/>
        <v>Sim</v>
      </c>
      <c r="N29" s="16">
        <v>1.06E-2</v>
      </c>
      <c r="O29" s="16">
        <v>1.01E-2</v>
      </c>
      <c r="P29" s="16">
        <v>9.4999999999999998E-3</v>
      </c>
      <c r="Q29" s="15">
        <v>384503591.08999997</v>
      </c>
      <c r="R29" s="15">
        <v>365278411.54000002</v>
      </c>
      <c r="S29" s="15">
        <v>346053231.98000002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266695729.37</v>
      </c>
      <c r="J30" s="15">
        <v>38075255002.080002</v>
      </c>
      <c r="K30" s="10">
        <f t="shared" si="1"/>
        <v>7.0044371168474315E-3</v>
      </c>
      <c r="L30" s="16">
        <v>6.9999999999999993E-3</v>
      </c>
      <c r="M30" s="9" t="str">
        <f t="shared" si="2"/>
        <v>Sim</v>
      </c>
      <c r="N30" s="16">
        <v>1.06E-2</v>
      </c>
      <c r="O30" s="16">
        <v>1.01E-2</v>
      </c>
      <c r="P30" s="16">
        <v>9.4999999999999998E-3</v>
      </c>
      <c r="Q30" s="15">
        <v>403597703.01999998</v>
      </c>
      <c r="R30" s="15">
        <v>383417817.87</v>
      </c>
      <c r="S30" s="15">
        <v>363237932.72000003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275039938.27999997</v>
      </c>
      <c r="J31" s="15">
        <v>39414799676.809998</v>
      </c>
      <c r="K31" s="10">
        <f t="shared" si="1"/>
        <v>6.9780879399425656E-3</v>
      </c>
      <c r="L31" s="16">
        <v>6.9999999999999993E-3</v>
      </c>
      <c r="M31" s="9" t="str">
        <f t="shared" si="2"/>
        <v>Sim</v>
      </c>
      <c r="N31" s="16">
        <v>1.06E-2</v>
      </c>
      <c r="O31" s="16">
        <v>1.01E-2</v>
      </c>
      <c r="P31" s="16">
        <v>9.4999999999999998E-3</v>
      </c>
      <c r="Q31" s="15">
        <v>417796876.56999999</v>
      </c>
      <c r="R31" s="15">
        <v>396907032.74000001</v>
      </c>
      <c r="S31" s="15">
        <v>376017188.91000003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281308363.92000002</v>
      </c>
      <c r="J32" s="15">
        <v>40690096057.230003</v>
      </c>
      <c r="K32" s="10">
        <f t="shared" si="1"/>
        <v>6.9134357295284844E-3</v>
      </c>
      <c r="L32" s="16">
        <v>6.8999999999999999E-3</v>
      </c>
      <c r="M32" s="9" t="str">
        <f t="shared" si="2"/>
        <v>Sim</v>
      </c>
      <c r="N32" s="16">
        <v>1.06E-2</v>
      </c>
      <c r="O32" s="16">
        <v>1.01E-2</v>
      </c>
      <c r="P32" s="16">
        <v>9.4999999999999998E-3</v>
      </c>
      <c r="Q32" s="15">
        <v>431315018.19999999</v>
      </c>
      <c r="R32" s="15">
        <v>409749267.29000002</v>
      </c>
      <c r="S32" s="15">
        <v>388183516.38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288262078.81</v>
      </c>
      <c r="J33" s="15">
        <v>41764818437.949997</v>
      </c>
      <c r="K33" s="10">
        <f t="shared" si="1"/>
        <v>6.90203117339708E-3</v>
      </c>
      <c r="L33" s="16">
        <v>6.8999999999999999E-3</v>
      </c>
      <c r="M33" s="9" t="str">
        <f t="shared" si="2"/>
        <v>Sim</v>
      </c>
      <c r="N33" s="16">
        <v>1.06E-2</v>
      </c>
      <c r="O33" s="16">
        <v>1.01E-2</v>
      </c>
      <c r="P33" s="16">
        <v>9.4999999999999998E-3</v>
      </c>
      <c r="Q33" s="15">
        <v>442707075.44</v>
      </c>
      <c r="R33" s="15">
        <v>420571721.67000002</v>
      </c>
      <c r="S33" s="15">
        <v>398436367.89999998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234899460.40000001</v>
      </c>
      <c r="J34" s="15">
        <v>34481724548.669998</v>
      </c>
      <c r="K34" s="10">
        <f t="shared" si="1"/>
        <v>6.8122886391150748E-3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247580737.05000001</v>
      </c>
      <c r="J35" s="15">
        <v>35186704195.68</v>
      </c>
      <c r="K35" s="10">
        <f t="shared" si="1"/>
        <v>7.0362013922405497E-3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261454093.71000001</v>
      </c>
      <c r="J36" s="15">
        <v>36164440163.059998</v>
      </c>
      <c r="K36" s="10">
        <f t="shared" si="1"/>
        <v>7.2295905185077664E-3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270391061.19</v>
      </c>
      <c r="J37" s="15">
        <v>36273923688.139999</v>
      </c>
      <c r="K37" s="10">
        <f t="shared" si="1"/>
        <v>7.4541442914929593E-3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278669486.99000001</v>
      </c>
      <c r="J38" s="15">
        <v>38075255002.080002</v>
      </c>
      <c r="K38" s="10">
        <f t="shared" si="1"/>
        <v>7.3189132147578962E-3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293509823.31999999</v>
      </c>
      <c r="J39" s="15">
        <v>39414799676.809998</v>
      </c>
      <c r="K39" s="10">
        <f t="shared" si="1"/>
        <v>7.4466907285257308E-3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305892694.93000001</v>
      </c>
      <c r="J40" s="15">
        <v>40690096057.230003</v>
      </c>
      <c r="K40" s="10">
        <f t="shared" si="1"/>
        <v>7.517620368842742E-3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314528564.32999998</v>
      </c>
      <c r="J41" s="15">
        <v>41764818437.949997</v>
      </c>
      <c r="K41" s="10">
        <f t="shared" si="1"/>
        <v>7.5309453289565996E-3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503222718.83999997</v>
      </c>
      <c r="J42" s="15">
        <v>34481724548.669998</v>
      </c>
      <c r="K42" s="10">
        <f t="shared" si="1"/>
        <v>1.4593896489420506E-2</v>
      </c>
      <c r="L42" s="16">
        <v>1.46E-2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689634490.97000003</v>
      </c>
      <c r="R42" s="15">
        <v>655152766.41999996</v>
      </c>
      <c r="S42" s="15">
        <v>620671041.87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531279837.10000002</v>
      </c>
      <c r="J43" s="15">
        <v>35186704195.68</v>
      </c>
      <c r="K43" s="10">
        <f t="shared" si="1"/>
        <v>1.5098880365306483E-2</v>
      </c>
      <c r="L43" s="16">
        <v>1.5100000000000001E-2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703734083.90999997</v>
      </c>
      <c r="R43" s="15">
        <v>668547379.71000004</v>
      </c>
      <c r="S43" s="15">
        <v>633360675.51999998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558378954.25</v>
      </c>
      <c r="J44" s="15">
        <v>36164440163.059998</v>
      </c>
      <c r="K44" s="10">
        <f t="shared" si="1"/>
        <v>1.543999994835683E-2</v>
      </c>
      <c r="L44" s="16">
        <v>1.54E-2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723288803.25999999</v>
      </c>
      <c r="R44" s="15">
        <v>687124363.10000002</v>
      </c>
      <c r="S44" s="15">
        <v>650959922.92999995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596149660.24000001</v>
      </c>
      <c r="J45" s="15">
        <v>36273923688.139999</v>
      </c>
      <c r="K45" s="10">
        <f t="shared" si="1"/>
        <v>1.6434661586800303E-2</v>
      </c>
      <c r="L45" s="16">
        <v>1.6400000000000001E-2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725478473.75999999</v>
      </c>
      <c r="R45" s="15">
        <v>689204550.07000005</v>
      </c>
      <c r="S45" s="15">
        <v>652930626.38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622146638.82000005</v>
      </c>
      <c r="J46" s="15">
        <v>38075255002.080002</v>
      </c>
      <c r="K46" s="10">
        <f t="shared" si="1"/>
        <v>1.633992047554279E-2</v>
      </c>
      <c r="L46" s="16">
        <v>1.6299999999999999E-2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761505100.03999996</v>
      </c>
      <c r="R46" s="15">
        <v>723429845.03999996</v>
      </c>
      <c r="S46" s="15">
        <v>685354590.03999996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640857155.60000002</v>
      </c>
      <c r="J47" s="15">
        <v>39414799676.809998</v>
      </c>
      <c r="K47" s="10">
        <f t="shared" si="1"/>
        <v>1.6259302618682425E-2</v>
      </c>
      <c r="L47" s="16">
        <v>1.6299999999999999E-2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788295993.52999997</v>
      </c>
      <c r="R47" s="15">
        <v>748881193.85000002</v>
      </c>
      <c r="S47" s="15">
        <v>709466394.17999995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676100448.44000006</v>
      </c>
      <c r="J48" s="15">
        <v>40690096057.230003</v>
      </c>
      <c r="K48" s="10">
        <f t="shared" si="1"/>
        <v>1.6615847932358652E-2</v>
      </c>
      <c r="L48" s="16">
        <v>1.66E-2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813801921.13999999</v>
      </c>
      <c r="R48" s="15">
        <v>773111825.08000004</v>
      </c>
      <c r="S48" s="15">
        <v>732421729.02999997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695614618.37</v>
      </c>
      <c r="J49" s="15">
        <v>41764818437.949997</v>
      </c>
      <c r="K49" s="10">
        <f t="shared" si="1"/>
        <v>1.6655516398412572E-2</v>
      </c>
      <c r="L49" s="16">
        <v>1.67E-2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835296368.75999999</v>
      </c>
      <c r="R49" s="15">
        <v>793531550.32000005</v>
      </c>
      <c r="S49" s="15">
        <v>751766731.88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2026-10-15T09:56:21Z</dcterms:created>
  <dcterms:modified xsi:type="dcterms:W3CDTF">2026-10-15T09:56:53Z</dcterms:modified>
</cp:coreProperties>
</file>