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BA8FCE177B7D7D2288DAC872A4C8551F778244C2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J21" i="1" s="1"/>
  <c r="K4" i="2"/>
  <c r="A4" i="2"/>
  <c r="K3" i="2"/>
  <c r="A3" i="2"/>
  <c r="K2" i="2"/>
  <c r="A2" i="2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M30" i="2"/>
  <c r="T30" i="2"/>
  <c r="T24" i="2"/>
  <c r="M24" i="2"/>
  <c r="T11" i="2"/>
  <c r="M11" i="2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T32" i="2"/>
  <c r="M32" i="2"/>
  <c r="T31" i="2"/>
  <c r="M31" i="2"/>
  <c r="T29" i="2"/>
  <c r="M29" i="2"/>
  <c r="T28" i="2"/>
  <c r="M28" i="2"/>
  <c r="T27" i="2"/>
  <c r="M27" i="2"/>
  <c r="T26" i="2"/>
  <c r="M26" i="2"/>
  <c r="T25" i="2"/>
  <c r="L8" i="1" s="1"/>
  <c r="M25" i="2"/>
  <c r="T23" i="2"/>
  <c r="M23" i="2"/>
  <c r="T22" i="2"/>
  <c r="M22" i="2"/>
  <c r="T21" i="2"/>
  <c r="M21" i="2"/>
  <c r="T20" i="2"/>
  <c r="M20" i="2"/>
  <c r="T19" i="2"/>
  <c r="M19" i="2"/>
  <c r="T18" i="2"/>
  <c r="M18" i="2"/>
  <c r="T17" i="2"/>
  <c r="L7" i="1" s="1"/>
  <c r="M17" i="2"/>
  <c r="T16" i="2"/>
  <c r="M16" i="2"/>
  <c r="T15" i="2"/>
  <c r="M15" i="2"/>
  <c r="T14" i="2"/>
  <c r="M14" i="2"/>
  <c r="T13" i="2"/>
  <c r="M13" i="2"/>
  <c r="T12" i="2"/>
  <c r="M12" i="2"/>
  <c r="T10" i="2"/>
  <c r="M10" i="2"/>
  <c r="M9" i="2"/>
  <c r="T9" i="2"/>
  <c r="L6" i="1" s="1"/>
  <c r="T8" i="2"/>
  <c r="M8" i="2"/>
  <c r="T7" i="2"/>
  <c r="M7" i="2"/>
  <c r="T6" i="2"/>
  <c r="M6" i="2"/>
  <c r="T5" i="2"/>
  <c r="M5" i="2"/>
  <c r="T4" i="2"/>
  <c r="M4" i="2"/>
  <c r="M3" i="2"/>
  <c r="T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<sst xmlns="http://schemas.openxmlformats.org/spreadsheetml/2006/main" count="427" uniqueCount="83">
  <si>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Mato Grosso (MT)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</si>
  <si>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</si>
  <si>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</si>
  <si>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</si>
  <si>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</si>
  <si>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</si>
  <si>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</si>
  <si>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</si>
  <si>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</si>
  <si>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</si>
  <si>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</si>
  <si>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</si>
  <si>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</si>
  <si>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</si>
  <si>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</si>
  <si>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</si>
  <si>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</si>
  <si>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</si>
  <si>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</si>
  <si>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</si>
  <si>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</si>
  <si>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</si>
  <si>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</si>
  <si>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</si>
  <si>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</si>
  <si>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</si>
  <si>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</si>
  <si>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</si>
  <si>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</si>
  <si>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</si>
  <si>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</si>
  <si>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</si>
  <si>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</si>
  <si>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</si>
  <si>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</si>
  <si>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</si>
  <si>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</si>
  <si>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</si>
  <si>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</si>
  <si>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</si>
  <si>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</si>
  <si>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</si>
  <si>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</si>
  <si>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</si>
  <si>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</si>
  <si>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</si>
  <si>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</si>
  <si>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Mato Grosso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</si>
  <si>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</si>
  <si>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</si>
  <si>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</si>
  <si>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</si>
  <si>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</si>
  <si>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</si>
  <si>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</si>
  <si>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</si>
  <si>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</si>
  <si>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</si>
  <si>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</si>
  <si>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</si>
  <si>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Mato Grosso</t>
  </si>
  <si>
    <t>Tribunal de Justiça do Estado do Mato Grosso</t>
  </si>
  <si>
    <t>Tribunal de Contas do Estado do Mato Grosso</t>
  </si>
  <si>
    <t>Defensoria Pública do Estado do Mato Grosso</t>
  </si>
  <si>
    <t>Calculado (despesa líquida / RCL Ajustada do Executivo)</t>
  </si>
  <si>
    <t>Ministério Público do Estado do Mato Grosso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</si>
  <si>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</si>
  <si>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</si>
  <si>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</si>
  <si>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</si>
  <si>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Mato Grosso (MT).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</si>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</sst>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0.37522868762310246</v>
      </c>
      <c r="D6" s="7">
        <f>IFERROR(IF(INDEX(Dados!$K$2:$K$49,MATCH($A6&amp;"|"&amp;D$5,Dados!$A$2:$A$49,0))="","",INDEX(Dados!$K$2:$K$49,MATCH($A6&amp;"|"&amp;D$5,Dados!$A$2:$A$49,0))),"")</f>
        <v>0.3757071960279566</v>
      </c>
      <c r="E6" s="7">
        <f>IFERROR(IF(INDEX(Dados!$K$2:$K$49,MATCH($A6&amp;"|"&amp;E$5,Dados!$A$2:$A$49,0))="","",INDEX(Dados!$K$2:$K$49,MATCH($A6&amp;"|"&amp;E$5,Dados!$A$2:$A$49,0))),"")</f>
        <v>0.37781967134446831</v>
      </c>
      <c r="F6" s="7">
        <f>IFERROR(IF(INDEX(Dados!$K$2:$K$49,MATCH($A6&amp;"|"&amp;F$5,Dados!$A$2:$A$49,0))="","",INDEX(Dados!$K$2:$K$49,MATCH($A6&amp;"|"&amp;F$5,Dados!$A$2:$A$49,0))),"")</f>
        <v>0.36858483207559123</v>
      </c>
      <c r="G6" s="7">
        <f>IFERROR(IF(INDEX(Dados!$K$2:$K$49,MATCH($A6&amp;"|"&amp;G$5,Dados!$A$2:$A$49,0))="","",INDEX(Dados!$K$2:$K$49,MATCH($A6&amp;"|"&amp;G$5,Dados!$A$2:$A$49,0))),"")</f>
        <v>0.36436642299032829</v>
      </c>
      <c r="H6" s="7">
        <f>IFERROR(IF(INDEX(Dados!$K$2:$K$49,MATCH($A6&amp;"|"&amp;H$5,Dados!$A$2:$A$49,0))="","",INDEX(Dados!$K$2:$K$49,MATCH($A6&amp;"|"&amp;H$5,Dados!$A$2:$A$49,0))),"")</f>
        <v>0.36276330776265542</v>
      </c>
      <c r="I6" s="7">
        <f>IFERROR(IF(INDEX(Dados!$K$2:$K$49,MATCH($A6&amp;"|"&amp;I$5,Dados!$A$2:$A$49,0))="","",INDEX(Dados!$K$2:$K$49,MATCH($A6&amp;"|"&amp;I$5,Dados!$A$2:$A$49,0))),"")</f>
        <v>0.36889511586535179</v>
      </c>
      <c r="J6" s="7">
        <f>IFERROR(IF(INDEX(Dados!$K$2:$K$49,MATCH($A6&amp;"|"&amp;J$5,Dados!$A$2:$A$49,0))="","",INDEX(Dados!$K$2:$K$49,MATCH($A6&amp;"|"&amp;J$5,Dados!$A$2:$A$49,0))),"")</f>
        <v>0.37510649195083257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1.2562952218552083E-2</v>
      </c>
      <c r="D7" s="10">
        <f>IFERROR(IF(INDEX(Dados!$K$2:$K$49,MATCH($A7&amp;"|"&amp;D$5,Dados!$A$2:$A$49,0))="","",INDEX(Dados!$K$2:$K$49,MATCH($A7&amp;"|"&amp;D$5,Dados!$A$2:$A$49,0))),"")</f>
        <v>1.1702465459649774E-2</v>
      </c>
      <c r="E7" s="10">
        <f>IFERROR(IF(INDEX(Dados!$K$2:$K$49,MATCH($A7&amp;"|"&amp;E$5,Dados!$A$2:$A$49,0))="","",INDEX(Dados!$K$2:$K$49,MATCH($A7&amp;"|"&amp;E$5,Dados!$A$2:$A$49,0))),"")</f>
        <v>1.3103407527631223E-2</v>
      </c>
      <c r="F7" s="10">
        <f>IFERROR(IF(INDEX(Dados!$K$2:$K$49,MATCH($A7&amp;"|"&amp;F$5,Dados!$A$2:$A$49,0))="","",INDEX(Dados!$K$2:$K$49,MATCH($A7&amp;"|"&amp;F$5,Dados!$A$2:$A$49,0))),"")</f>
        <v>1.1771036231661768E-2</v>
      </c>
      <c r="G7" s="10">
        <f>IFERROR(IF(INDEX(Dados!$K$2:$K$49,MATCH($A7&amp;"|"&amp;G$5,Dados!$A$2:$A$49,0))="","",INDEX(Dados!$K$2:$K$49,MATCH($A7&amp;"|"&amp;G$5,Dados!$A$2:$A$49,0))),"")</f>
        <v>1.1355866412170131E-2</v>
      </c>
      <c r="H7" s="10">
        <f>IFERROR(IF(INDEX(Dados!$K$2:$K$49,MATCH($A7&amp;"|"&amp;H$5,Dados!$A$2:$A$49,0))="","",INDEX(Dados!$K$2:$K$49,MATCH($A7&amp;"|"&amp;H$5,Dados!$A$2:$A$49,0))),"")</f>
        <v>1.1860915410390015E-2</v>
      </c>
      <c r="I7" s="10">
        <f>IFERROR(IF(INDEX(Dados!$K$2:$K$49,MATCH($A7&amp;"|"&amp;I$5,Dados!$A$2:$A$49,0))="","",INDEX(Dados!$K$2:$K$49,MATCH($A7&amp;"|"&amp;I$5,Dados!$A$2:$A$49,0))),"")</f>
        <v>1.2247785513300543E-2</v>
      </c>
      <c r="J7" s="10">
        <f>IFERROR(IF(INDEX(Dados!$K$2:$K$49,MATCH($A7&amp;"|"&amp;J$5,Dados!$A$2:$A$49,0))="","",INDEX(Dados!$K$2:$K$49,MATCH($A7&amp;"|"&amp;J$5,Dados!$A$2:$A$49,0))),"")</f>
        <v>1.2183293080567892E-2</v>
      </c>
      <c r="K7" s="10">
        <f>IFERROR(IF(INDEX(Dados!$N$2:$N$49,MATCH($A7&amp;"|"&amp;J$5,Dados!$A$2:$A$49,0))=0,"—",INDEX(Dados!$N$2:$N$49,MATCH($A7&amp;"|"&amp;J$5,Dados!$A$2:$A$49,0))),"—")</f>
        <v>1.77E-2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3.6170693259955797E-2</v>
      </c>
      <c r="D8" s="10">
        <f>IFERROR(IF(INDEX(Dados!$K$2:$K$49,MATCH($A8&amp;"|"&amp;D$5,Dados!$A$2:$A$49,0))="","",INDEX(Dados!$K$2:$K$49,MATCH($A8&amp;"|"&amp;D$5,Dados!$A$2:$A$49,0))),"")</f>
        <v>3.866699438271623E-2</v>
      </c>
      <c r="E8" s="10">
        <f>IFERROR(IF(INDEX(Dados!$K$2:$K$49,MATCH($A8&amp;"|"&amp;E$5,Dados!$A$2:$A$49,0))="","",INDEX(Dados!$K$2:$K$49,MATCH($A8&amp;"|"&amp;E$5,Dados!$A$2:$A$49,0))),"")</f>
        <v>3.5622488818265602E-2</v>
      </c>
      <c r="F8" s="10">
        <f>IFERROR(IF(INDEX(Dados!$K$2:$K$49,MATCH($A8&amp;"|"&amp;F$5,Dados!$A$2:$A$49,0))="","",INDEX(Dados!$K$2:$K$49,MATCH($A8&amp;"|"&amp;F$5,Dados!$A$2:$A$49,0))),"")</f>
        <v>3.5217000995960507E-2</v>
      </c>
      <c r="G8" s="10">
        <f>IFERROR(IF(INDEX(Dados!$K$2:$K$49,MATCH($A8&amp;"|"&amp;G$5,Dados!$A$2:$A$49,0))="","",INDEX(Dados!$K$2:$K$49,MATCH($A8&amp;"|"&amp;G$5,Dados!$A$2:$A$49,0))),"")</f>
        <v>3.6093887197983787E-2</v>
      </c>
      <c r="H8" s="10">
        <f>IFERROR(IF(INDEX(Dados!$K$2:$K$49,MATCH($A8&amp;"|"&amp;H$5,Dados!$A$2:$A$49,0))="","",INDEX(Dados!$K$2:$K$49,MATCH($A8&amp;"|"&amp;H$5,Dados!$A$2:$A$49,0))),"")</f>
        <v>3.3539077909921514E-2</v>
      </c>
      <c r="I8" s="10">
        <f>IFERROR(IF(INDEX(Dados!$K$2:$K$49,MATCH($A8&amp;"|"&amp;I$5,Dados!$A$2:$A$49,0))="","",INDEX(Dados!$K$2:$K$49,MATCH($A8&amp;"|"&amp;I$5,Dados!$A$2:$A$49,0))),"")</f>
        <v>3.4966964899957785E-2</v>
      </c>
      <c r="J8" s="10">
        <f>IFERROR(IF(INDEX(Dados!$K$2:$K$49,MATCH($A8&amp;"|"&amp;J$5,Dados!$A$2:$A$49,0))="","",INDEX(Dados!$K$2:$K$49,MATCH($A8&amp;"|"&amp;J$5,Dados!$A$2:$A$49,0))),"")</f>
        <v>3.5765587144821739E-2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1.077204810409161E-2</v>
      </c>
      <c r="D9" s="10">
        <f>IFERROR(IF(INDEX(Dados!$K$2:$K$49,MATCH($A9&amp;"|"&amp;D$5,Dados!$A$2:$A$49,0))="","",INDEX(Dados!$K$2:$K$49,MATCH($A9&amp;"|"&amp;D$5,Dados!$A$2:$A$49,0))),"")</f>
        <v>1.1117779806047131E-2</v>
      </c>
      <c r="E9" s="10">
        <f>IFERROR(IF(INDEX(Dados!$K$2:$K$49,MATCH($A9&amp;"|"&amp;E$5,Dados!$A$2:$A$49,0))="","",INDEX(Dados!$K$2:$K$49,MATCH($A9&amp;"|"&amp;E$5,Dados!$A$2:$A$49,0))),"")</f>
        <v>1.1437646969586254E-2</v>
      </c>
      <c r="F9" s="10">
        <f>IFERROR(IF(INDEX(Dados!$K$2:$K$49,MATCH($A9&amp;"|"&amp;F$5,Dados!$A$2:$A$49,0))="","",INDEX(Dados!$K$2:$K$49,MATCH($A9&amp;"|"&amp;F$5,Dados!$A$2:$A$49,0))),"")</f>
        <v>1.1169825154567178E-2</v>
      </c>
      <c r="G9" s="10">
        <f>IFERROR(IF(INDEX(Dados!$K$2:$K$49,MATCH($A9&amp;"|"&amp;G$5,Dados!$A$2:$A$49,0))="","",INDEX(Dados!$K$2:$K$49,MATCH($A9&amp;"|"&amp;G$5,Dados!$A$2:$A$49,0))),"")</f>
        <v>1.0957375628974468E-2</v>
      </c>
      <c r="H9" s="10">
        <f>IFERROR(IF(INDEX(Dados!$K$2:$K$49,MATCH($A9&amp;"|"&amp;H$5,Dados!$A$2:$A$49,0))="","",INDEX(Dados!$K$2:$K$49,MATCH($A9&amp;"|"&amp;H$5,Dados!$A$2:$A$49,0))),"")</f>
        <v>1.0712254668943247E-2</v>
      </c>
      <c r="I9" s="10">
        <f>IFERROR(IF(INDEX(Dados!$K$2:$K$49,MATCH($A9&amp;"|"&amp;I$5,Dados!$A$2:$A$49,0))="","",INDEX(Dados!$K$2:$K$49,MATCH($A9&amp;"|"&amp;I$5,Dados!$A$2:$A$49,0))),"")</f>
        <v>1.0642954469927204E-2</v>
      </c>
      <c r="J9" s="10">
        <f>IFERROR(IF(INDEX(Dados!$K$2:$K$49,MATCH($A9&amp;"|"&amp;J$5,Dados!$A$2:$A$49,0))="","",INDEX(Dados!$K$2:$K$49,MATCH($A9&amp;"|"&amp;J$5,Dados!$A$2:$A$49,0))),"")</f>
        <v>1.043887796909331E-2</v>
      </c>
      <c r="K9" s="10">
        <f>IFERROR(IF(INDEX(Dados!$N$2:$N$49,MATCH($A9&amp;"|"&amp;J$5,Dados!$A$2:$A$49,0))=0,"—",INDEX(Dados!$N$2:$N$49,MATCH($A9&amp;"|"&amp;J$5,Dados!$A$2:$A$49,0))),"—")</f>
        <v>1.23E-2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6.8599797485028582E-3</v>
      </c>
      <c r="D10" s="10">
        <f>IFERROR(IF(INDEX(Dados!$K$2:$K$49,MATCH($A10&amp;"|"&amp;D$5,Dados!$A$2:$A$49,0))="","",INDEX(Dados!$K$2:$K$49,MATCH($A10&amp;"|"&amp;D$5,Dados!$A$2:$A$49,0))),"")</f>
        <v>7.1712658738050487E-3</v>
      </c>
      <c r="E10" s="10">
        <f>IFERROR(IF(INDEX(Dados!$K$2:$K$49,MATCH($A10&amp;"|"&amp;E$5,Dados!$A$2:$A$49,0))="","",INDEX(Dados!$K$2:$K$49,MATCH($A10&amp;"|"&amp;E$5,Dados!$A$2:$A$49,0))),"")</f>
        <v>6.9423360307613235E-3</v>
      </c>
      <c r="F10" s="10">
        <f>IFERROR(IF(INDEX(Dados!$K$2:$K$49,MATCH($A10&amp;"|"&amp;F$5,Dados!$A$2:$A$49,0))="","",INDEX(Dados!$K$2:$K$49,MATCH($A10&amp;"|"&amp;F$5,Dados!$A$2:$A$49,0))),"")</f>
        <v>6.907550223457278E-3</v>
      </c>
      <c r="G10" s="10">
        <f>IFERROR(IF(INDEX(Dados!$K$2:$K$49,MATCH($A10&amp;"|"&amp;G$5,Dados!$A$2:$A$49,0))="","",INDEX(Dados!$K$2:$K$49,MATCH($A10&amp;"|"&amp;G$5,Dados!$A$2:$A$49,0))),"")</f>
        <v>6.8515344921725747E-3</v>
      </c>
      <c r="H10" s="10">
        <f>IFERROR(IF(INDEX(Dados!$K$2:$K$49,MATCH($A10&amp;"|"&amp;H$5,Dados!$A$2:$A$49,0))="","",INDEX(Dados!$K$2:$K$49,MATCH($A10&amp;"|"&amp;H$5,Dados!$A$2:$A$49,0))),"")</f>
        <v>7.069030842425824E-3</v>
      </c>
      <c r="I10" s="10">
        <f>IFERROR(IF(INDEX(Dados!$K$2:$K$49,MATCH($A10&amp;"|"&amp;I$5,Dados!$A$2:$A$49,0))="","",INDEX(Dados!$K$2:$K$49,MATCH($A10&amp;"|"&amp;I$5,Dados!$A$2:$A$49,0))),"")</f>
        <v>7.4952637248751099E-3</v>
      </c>
      <c r="J10" s="10">
        <f>IFERROR(IF(INDEX(Dados!$K$2:$K$49,MATCH($A10&amp;"|"&amp;J$5,Dados!$A$2:$A$49,0))="","",INDEX(Dados!$K$2:$K$49,MATCH($A10&amp;"|"&amp;J$5,Dados!$A$2:$A$49,0))),"")</f>
        <v>7.782031888517703E-3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1.2920875477737154E-2</v>
      </c>
      <c r="D11" s="10">
        <f>IFERROR(IF(INDEX(Dados!$K$2:$K$49,MATCH($A11&amp;"|"&amp;D$5,Dados!$A$2:$A$49,0))="","",INDEX(Dados!$K$2:$K$49,MATCH($A11&amp;"|"&amp;D$5,Dados!$A$2:$A$49,0))),"")</f>
        <v>1.3955533381152479E-2</v>
      </c>
      <c r="E11" s="10">
        <f>IFERROR(IF(INDEX(Dados!$K$2:$K$49,MATCH($A11&amp;"|"&amp;E$5,Dados!$A$2:$A$49,0))="","",INDEX(Dados!$K$2:$K$49,MATCH($A11&amp;"|"&amp;E$5,Dados!$A$2:$A$49,0))),"")</f>
        <v>1.3824737620590024E-2</v>
      </c>
      <c r="F11" s="10">
        <f>IFERROR(IF(INDEX(Dados!$K$2:$K$49,MATCH($A11&amp;"|"&amp;F$5,Dados!$A$2:$A$49,0))="","",INDEX(Dados!$K$2:$K$49,MATCH($A11&amp;"|"&amp;F$5,Dados!$A$2:$A$49,0))),"")</f>
        <v>1.3611157776404047E-2</v>
      </c>
      <c r="G11" s="10">
        <f>IFERROR(IF(INDEX(Dados!$K$2:$K$49,MATCH($A11&amp;"|"&amp;G$5,Dados!$A$2:$A$49,0))="","",INDEX(Dados!$K$2:$K$49,MATCH($A11&amp;"|"&amp;G$5,Dados!$A$2:$A$49,0))),"")</f>
        <v>1.303879018833879E-2</v>
      </c>
      <c r="H11" s="10">
        <f>IFERROR(IF(INDEX(Dados!$K$2:$K$49,MATCH($A11&amp;"|"&amp;H$5,Dados!$A$2:$A$49,0))="","",INDEX(Dados!$K$2:$K$49,MATCH($A11&amp;"|"&amp;H$5,Dados!$A$2:$A$49,0))),"")</f>
        <v>1.2207164021792033E-2</v>
      </c>
      <c r="I11" s="10">
        <f>IFERROR(IF(INDEX(Dados!$K$2:$K$49,MATCH($A11&amp;"|"&amp;I$5,Dados!$A$2:$A$49,0))="","",INDEX(Dados!$K$2:$K$49,MATCH($A11&amp;"|"&amp;I$5,Dados!$A$2:$A$49,0))),"")</f>
        <v>1.2399005390600192E-2</v>
      </c>
      <c r="J11" s="10">
        <f>IFERROR(IF(INDEX(Dados!$K$2:$K$49,MATCH($A11&amp;"|"&amp;J$5,Dados!$A$2:$A$49,0))="","",INDEX(Dados!$K$2:$K$49,MATCH($A11&amp;"|"&amp;J$5,Dados!$A$2:$A$49,0))),"")</f>
        <v>1.2305419844379668E-2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31705.134602980001</v>
      </c>
      <c r="D12" s="12">
        <f>IFERROR(INDEX(Dados!$J$2:$J$49,MATCH("Governo|"&amp;D$5,Dados!$A$2:$A$49,0))/1000000,"")</f>
        <v>32440.022434499999</v>
      </c>
      <c r="E12" s="12">
        <f>IFERROR(INDEX(Dados!$J$2:$J$49,MATCH("Governo|"&amp;E$5,Dados!$A$2:$A$49,0))/1000000,"")</f>
        <v>32886.763926200001</v>
      </c>
      <c r="F12" s="12">
        <f>IFERROR(INDEX(Dados!$J$2:$J$49,MATCH("Governo|"&amp;F$5,Dados!$A$2:$A$49,0))/1000000,"")</f>
        <v>34518.542256889996</v>
      </c>
      <c r="G12" s="12">
        <f>IFERROR(INDEX(Dados!$J$2:$J$49,MATCH("Governo|"&amp;G$5,Dados!$A$2:$A$49,0))/1000000,"")</f>
        <v>35780.445473940003</v>
      </c>
      <c r="H12" s="12">
        <f>IFERROR(INDEX(Dados!$J$2:$J$49,MATCH("Governo|"&amp;H$5,Dados!$A$2:$A$49,0))/1000000,"")</f>
        <v>37063.71175912</v>
      </c>
      <c r="I12" s="12">
        <f>IFERROR(INDEX(Dados!$J$2:$J$49,MATCH("Governo|"&amp;I$5,Dados!$A$2:$A$49,0))/1000000,"")</f>
        <v>37989.446179860002</v>
      </c>
      <c r="J12" s="12">
        <f>IFERROR(INDEX(Dados!$J$2:$J$49,MATCH("Governo|"&amp;J$5,Dados!$A$2:$A$49,0))/1000000,"")</f>
        <v>38839.48761068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11896.67604799</v>
      </c>
      <c r="D16" s="13">
        <f>IFERROR(IF(INDEX(Dados!$I$2:$I$49,MATCH($A16&amp;"|"&amp;D$15,Dados!$A$2:$A$49,0))="","",INDEX(Dados!$I$2:$I$49,MATCH($A16&amp;"|"&amp;D$15,Dados!$A$2:$A$49,0))/1000000),"")</f>
        <v>12187.949867950001</v>
      </c>
      <c r="E16" s="13">
        <f>IFERROR(IF(INDEX(Dados!$I$2:$I$49,MATCH($A16&amp;"|"&amp;E$15,Dados!$A$2:$A$49,0))="","",INDEX(Dados!$I$2:$I$49,MATCH($A16&amp;"|"&amp;E$15,Dados!$A$2:$A$49,0))/1000000),"")</f>
        <v>12425.266338180001</v>
      </c>
      <c r="F16" s="13">
        <f>IFERROR(IF(INDEX(Dados!$I$2:$I$49,MATCH($A16&amp;"|"&amp;F$15,Dados!$A$2:$A$49,0))="","",INDEX(Dados!$I$2:$I$49,MATCH($A16&amp;"|"&amp;F$15,Dados!$A$2:$A$49,0))/1000000),"")</f>
        <v>12723.01110125</v>
      </c>
      <c r="G16" s="13">
        <f>IFERROR(IF(INDEX(Dados!$I$2:$I$49,MATCH($A16&amp;"|"&amp;G$15,Dados!$A$2:$A$49,0))="","",INDEX(Dados!$I$2:$I$49,MATCH($A16&amp;"|"&amp;G$15,Dados!$A$2:$A$49,0))/1000000),"")</f>
        <v>13037.192930339999</v>
      </c>
      <c r="H16" s="13">
        <f>IFERROR(IF(INDEX(Dados!$I$2:$I$49,MATCH($A16&amp;"|"&amp;H$15,Dados!$A$2:$A$49,0))="","",INDEX(Dados!$I$2:$I$49,MATCH($A16&amp;"|"&amp;H$15,Dados!$A$2:$A$49,0))/1000000),"")</f>
        <v>13445.3546757</v>
      </c>
      <c r="I16" s="13">
        <f>IFERROR(IF(INDEX(Dados!$I$2:$I$49,MATCH($A16&amp;"|"&amp;I$15,Dados!$A$2:$A$49,0))="","",INDEX(Dados!$I$2:$I$49,MATCH($A16&amp;"|"&amp;I$15,Dados!$A$2:$A$49,0))/1000000),"")</f>
        <v>14014.121150180001</v>
      </c>
      <c r="J16" s="13">
        <f>IFERROR(IF(INDEX(Dados!$I$2:$I$49,MATCH($A16&amp;"|"&amp;J$15,Dados!$A$2:$A$49,0))="","",INDEX(Dados!$I$2:$I$49,MATCH($A16&amp;"|"&amp;J$15,Dados!$A$2:$A$49,0))/1000000),"")</f>
        <v>14568.943946809999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398.31009110000002</v>
      </c>
      <c r="D17" s="14">
        <f>IFERROR(IF(INDEX(Dados!$I$2:$I$49,MATCH($A17&amp;"|"&amp;D$15,Dados!$A$2:$A$49,0))="","",INDEX(Dados!$I$2:$I$49,MATCH($A17&amp;"|"&amp;D$15,Dados!$A$2:$A$49,0))/1000000),"")</f>
        <v>379.62824205000004</v>
      </c>
      <c r="E17" s="14">
        <f>IFERROR(IF(INDEX(Dados!$I$2:$I$49,MATCH($A17&amp;"|"&amp;E$15,Dados!$A$2:$A$49,0))="","",INDEX(Dados!$I$2:$I$49,MATCH($A17&amp;"|"&amp;E$15,Dados!$A$2:$A$49,0))/1000000),"")</f>
        <v>430.92866999</v>
      </c>
      <c r="F17" s="14">
        <f>IFERROR(IF(INDEX(Dados!$I$2:$I$49,MATCH($A17&amp;"|"&amp;F$15,Dados!$A$2:$A$49,0))="","",INDEX(Dados!$I$2:$I$49,MATCH($A17&amp;"|"&amp;F$15,Dados!$A$2:$A$49,0))/1000000),"")</f>
        <v>406.31901156999999</v>
      </c>
      <c r="G17" s="14">
        <f>IFERROR(IF(INDEX(Dados!$I$2:$I$49,MATCH($A17&amp;"|"&amp;G$15,Dados!$A$2:$A$49,0))="","",INDEX(Dados!$I$2:$I$49,MATCH($A17&amp;"|"&amp;G$15,Dados!$A$2:$A$49,0))/1000000),"")</f>
        <v>406.31795897000001</v>
      </c>
      <c r="H17" s="14">
        <f>IFERROR(IF(INDEX(Dados!$I$2:$I$49,MATCH($A17&amp;"|"&amp;H$15,Dados!$A$2:$A$49,0))="","",INDEX(Dados!$I$2:$I$49,MATCH($A17&amp;"|"&amp;H$15,Dados!$A$2:$A$49,0))/1000000),"")</f>
        <v>439.60954997000005</v>
      </c>
      <c r="I17" s="14">
        <f>IFERROR(IF(INDEX(Dados!$I$2:$I$49,MATCH($A17&amp;"|"&amp;I$15,Dados!$A$2:$A$49,0))="","",INDEX(Dados!$I$2:$I$49,MATCH($A17&amp;"|"&amp;I$15,Dados!$A$2:$A$49,0))/1000000),"")</f>
        <v>465.28658858</v>
      </c>
      <c r="J17" s="14">
        <f>IFERROR(IF(INDEX(Dados!$I$2:$I$49,MATCH($A17&amp;"|"&amp;J$15,Dados!$A$2:$A$49,0))="","",INDEX(Dados!$I$2:$I$49,MATCH($A17&amp;"|"&amp;J$15,Dados!$A$2:$A$49,0))/1000000),"")</f>
        <v>473.19286066000001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1146.7966984899999</v>
      </c>
      <c r="D18" s="14">
        <f>IFERROR(IF(INDEX(Dados!$I$2:$I$49,MATCH($A18&amp;"|"&amp;D$15,Dados!$A$2:$A$49,0))="","",INDEX(Dados!$I$2:$I$49,MATCH($A18&amp;"|"&amp;D$15,Dados!$A$2:$A$49,0))/1000000),"")</f>
        <v>1254.35816525</v>
      </c>
      <c r="E18" s="14">
        <f>IFERROR(IF(INDEX(Dados!$I$2:$I$49,MATCH($A18&amp;"|"&amp;E$15,Dados!$A$2:$A$49,0))="","",INDEX(Dados!$I$2:$I$49,MATCH($A18&amp;"|"&amp;E$15,Dados!$A$2:$A$49,0))/1000000),"")</f>
        <v>1171.5083802300001</v>
      </c>
      <c r="F18" s="14">
        <f>IFERROR(IF(INDEX(Dados!$I$2:$I$49,MATCH($A18&amp;"|"&amp;F$15,Dados!$A$2:$A$49,0))="","",INDEX(Dados!$I$2:$I$49,MATCH($A18&amp;"|"&amp;F$15,Dados!$A$2:$A$49,0))/1000000),"")</f>
        <v>1215.6395370400001</v>
      </c>
      <c r="G18" s="14">
        <f>IFERROR(IF(INDEX(Dados!$I$2:$I$49,MATCH($A18&amp;"|"&amp;G$15,Dados!$A$2:$A$49,0))="","",INDEX(Dados!$I$2:$I$49,MATCH($A18&amp;"|"&amp;G$15,Dados!$A$2:$A$49,0))/1000000),"")</f>
        <v>1291.45536283</v>
      </c>
      <c r="H18" s="14">
        <f>IFERROR(IF(INDEX(Dados!$I$2:$I$49,MATCH($A18&amp;"|"&amp;H$15,Dados!$A$2:$A$49,0))="","",INDEX(Dados!$I$2:$I$49,MATCH($A18&amp;"|"&amp;H$15,Dados!$A$2:$A$49,0))/1000000),"")</f>
        <v>1243.0827163199999</v>
      </c>
      <c r="I18" s="14">
        <f>IFERROR(IF(INDEX(Dados!$I$2:$I$49,MATCH($A18&amp;"|"&amp;I$15,Dados!$A$2:$A$49,0))="","",INDEX(Dados!$I$2:$I$49,MATCH($A18&amp;"|"&amp;I$15,Dados!$A$2:$A$49,0))/1000000),"")</f>
        <v>1328.37563114</v>
      </c>
      <c r="J18" s="14">
        <f>IFERROR(IF(INDEX(Dados!$I$2:$I$49,MATCH($A18&amp;"|"&amp;J$15,Dados!$A$2:$A$49,0))="","",INDEX(Dados!$I$2:$I$49,MATCH($A18&amp;"|"&amp;J$15,Dados!$A$2:$A$49,0))/1000000),"")</f>
        <v>1389.1170787999999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341.52923508999999</v>
      </c>
      <c r="D19" s="14">
        <f>IFERROR(IF(INDEX(Dados!$I$2:$I$49,MATCH($A19&amp;"|"&amp;D$15,Dados!$A$2:$A$49,0))="","",INDEX(Dados!$I$2:$I$49,MATCH($A19&amp;"|"&amp;D$15,Dados!$A$2:$A$49,0))/1000000),"")</f>
        <v>360.66102632999997</v>
      </c>
      <c r="E19" s="14">
        <f>IFERROR(IF(INDEX(Dados!$I$2:$I$49,MATCH($A19&amp;"|"&amp;E$15,Dados!$A$2:$A$49,0))="","",INDEX(Dados!$I$2:$I$49,MATCH($A19&amp;"|"&amp;E$15,Dados!$A$2:$A$49,0))/1000000),"")</f>
        <v>376.14719575999999</v>
      </c>
      <c r="F19" s="14">
        <f>IFERROR(IF(INDEX(Dados!$I$2:$I$49,MATCH($A19&amp;"|"&amp;F$15,Dados!$A$2:$A$49,0))="","",INDEX(Dados!$I$2:$I$49,MATCH($A19&amp;"|"&amp;F$15,Dados!$A$2:$A$49,0))/1000000),"")</f>
        <v>385.56608160000002</v>
      </c>
      <c r="G19" s="14">
        <f>IFERROR(IF(INDEX(Dados!$I$2:$I$49,MATCH($A19&amp;"|"&amp;G$15,Dados!$A$2:$A$49,0))="","",INDEX(Dados!$I$2:$I$49,MATCH($A19&amp;"|"&amp;G$15,Dados!$A$2:$A$49,0))/1000000),"")</f>
        <v>392.05978123</v>
      </c>
      <c r="H19" s="14">
        <f>IFERROR(IF(INDEX(Dados!$I$2:$I$49,MATCH($A19&amp;"|"&amp;H$15,Dados!$A$2:$A$49,0))="","",INDEX(Dados!$I$2:$I$49,MATCH($A19&amp;"|"&amp;H$15,Dados!$A$2:$A$49,0))/1000000),"")</f>
        <v>397.03591933999996</v>
      </c>
      <c r="I19" s="14">
        <f>IFERROR(IF(INDEX(Dados!$I$2:$I$49,MATCH($A19&amp;"|"&amp;I$15,Dados!$A$2:$A$49,0))="","",INDEX(Dados!$I$2:$I$49,MATCH($A19&amp;"|"&amp;I$15,Dados!$A$2:$A$49,0))/1000000),"")</f>
        <v>404.31994602999998</v>
      </c>
      <c r="J19" s="14">
        <f>IFERROR(IF(INDEX(Dados!$I$2:$I$49,MATCH($A19&amp;"|"&amp;J$15,Dados!$A$2:$A$49,0))="","",INDEX(Dados!$I$2:$I$49,MATCH($A19&amp;"|"&amp;J$15,Dados!$A$2:$A$49,0))/1000000),"")</f>
        <v>405.44067154999999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217.4965813</v>
      </c>
      <c r="D20" s="14">
        <f>IFERROR(IF(INDEX(Dados!$I$2:$I$49,MATCH($A20&amp;"|"&amp;D$15,Dados!$A$2:$A$49,0))="","",INDEX(Dados!$I$2:$I$49,MATCH($A20&amp;"|"&amp;D$15,Dados!$A$2:$A$49,0))/1000000),"")</f>
        <v>232.63602583000002</v>
      </c>
      <c r="E20" s="14">
        <f>IFERROR(IF(INDEX(Dados!$I$2:$I$49,MATCH($A20&amp;"|"&amp;E$15,Dados!$A$2:$A$49,0))="","",INDEX(Dados!$I$2:$I$49,MATCH($A20&amp;"|"&amp;E$15,Dados!$A$2:$A$49,0))/1000000),"")</f>
        <v>228.31096613999998</v>
      </c>
      <c r="F20" s="14">
        <f>IFERROR(IF(INDEX(Dados!$I$2:$I$49,MATCH($A20&amp;"|"&amp;F$15,Dados!$A$2:$A$49,0))="","",INDEX(Dados!$I$2:$I$49,MATCH($A20&amp;"|"&amp;F$15,Dados!$A$2:$A$49,0))/1000000),"")</f>
        <v>238.43856428000001</v>
      </c>
      <c r="G20" s="14">
        <f>IFERROR(IF(INDEX(Dados!$I$2:$I$49,MATCH($A20&amp;"|"&amp;G$15,Dados!$A$2:$A$49,0))="","",INDEX(Dados!$I$2:$I$49,MATCH($A20&amp;"|"&amp;G$15,Dados!$A$2:$A$49,0))/1000000),"")</f>
        <v>245.15095631</v>
      </c>
      <c r="H20" s="14">
        <f>IFERROR(IF(INDEX(Dados!$I$2:$I$49,MATCH($A20&amp;"|"&amp;H$15,Dados!$A$2:$A$49,0))="","",INDEX(Dados!$I$2:$I$49,MATCH($A20&amp;"|"&amp;H$15,Dados!$A$2:$A$49,0))/1000000),"")</f>
        <v>262.00452156</v>
      </c>
      <c r="I20" s="14">
        <f>IFERROR(IF(INDEX(Dados!$I$2:$I$49,MATCH($A20&amp;"|"&amp;I$15,Dados!$A$2:$A$49,0))="","",INDEX(Dados!$I$2:$I$49,MATCH($A20&amp;"|"&amp;I$15,Dados!$A$2:$A$49,0))/1000000),"")</f>
        <v>284.74091787999998</v>
      </c>
      <c r="J20" s="14">
        <f>IFERROR(IF(INDEX(Dados!$I$2:$I$49,MATCH($A20&amp;"|"&amp;J$15,Dados!$A$2:$A$49,0))="","",INDEX(Dados!$I$2:$I$49,MATCH($A20&amp;"|"&amp;J$15,Dados!$A$2:$A$49,0))/1000000),"")</f>
        <v>302.25013111999999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409.65809621</v>
      </c>
      <c r="D21" s="14">
        <f>IFERROR(IF(INDEX(Dados!$I$2:$I$49,MATCH($A21&amp;"|"&amp;D$15,Dados!$A$2:$A$49,0))="","",INDEX(Dados!$I$2:$I$49,MATCH($A21&amp;"|"&amp;D$15,Dados!$A$2:$A$49,0))/1000000),"")</f>
        <v>452.71781597</v>
      </c>
      <c r="E21" s="14">
        <f>IFERROR(IF(INDEX(Dados!$I$2:$I$49,MATCH($A21&amp;"|"&amp;E$15,Dados!$A$2:$A$49,0))="","",INDEX(Dados!$I$2:$I$49,MATCH($A21&amp;"|"&amp;E$15,Dados!$A$2:$A$49,0))/1000000),"")</f>
        <v>454.65088247000006</v>
      </c>
      <c r="F21" s="14">
        <f>IFERROR(IF(INDEX(Dados!$I$2:$I$49,MATCH($A21&amp;"|"&amp;F$15,Dados!$A$2:$A$49,0))="","",INDEX(Dados!$I$2:$I$49,MATCH($A21&amp;"|"&amp;F$15,Dados!$A$2:$A$49,0))/1000000),"")</f>
        <v>469.83732487000003</v>
      </c>
      <c r="G21" s="14">
        <f>IFERROR(IF(INDEX(Dados!$I$2:$I$49,MATCH($A21&amp;"|"&amp;G$15,Dados!$A$2:$A$49,0))="","",INDEX(Dados!$I$2:$I$49,MATCH($A21&amp;"|"&amp;G$15,Dados!$A$2:$A$49,0))/1000000),"")</f>
        <v>466.53372137999997</v>
      </c>
      <c r="H21" s="14">
        <f>IFERROR(IF(INDEX(Dados!$I$2:$I$49,MATCH($A21&amp;"|"&amp;H$15,Dados!$A$2:$A$49,0))="","",INDEX(Dados!$I$2:$I$49,MATCH($A21&amp;"|"&amp;H$15,Dados!$A$2:$A$49,0))/1000000),"")</f>
        <v>452.4428087</v>
      </c>
      <c r="I21" s="14">
        <f>IFERROR(IF(INDEX(Dados!$I$2:$I$49,MATCH($A21&amp;"|"&amp;I$15,Dados!$A$2:$A$49,0))="","",INDEX(Dados!$I$2:$I$49,MATCH($A21&amp;"|"&amp;I$15,Dados!$A$2:$A$49,0))/1000000),"")</f>
        <v>471.03134797000001</v>
      </c>
      <c r="J21" s="14">
        <f>IFERROR(IF(INDEX(Dados!$I$2:$I$49,MATCH($A21&amp;"|"&amp;J$15,Dados!$A$2:$A$49,0))="","",INDEX(Dados!$I$2:$I$49,MATCH($A21&amp;"|"&amp;J$15,Dados!$A$2:$A$49,0))/1000000),"")</f>
        <v>477.93620159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11896676047.99</v>
      </c>
      <c r="J2" s="15">
        <v>31705134602.98</v>
      </c>
      <c r="K2" s="10">
        <f t="shared" ref="K2:K49" si="1">IF(OR(I2="",J2="",J2=0),"",I2/J2)</f>
        <v>0.37522868762310246</v>
      </c>
      <c r="L2" s="16">
        <v>0.37519999999999998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15535515955.459999</v>
      </c>
      <c r="R2" s="15">
        <v>14758740157.690001</v>
      </c>
      <c r="S2" s="15">
        <v>13981964359.91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12187949867.950001</v>
      </c>
      <c r="J3" s="15">
        <v>32440022434.5</v>
      </c>
      <c r="K3" s="10">
        <f t="shared" si="1"/>
        <v>0.3757071960279566</v>
      </c>
      <c r="L3" s="16">
        <v>0.37569999999999998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15895610992.91</v>
      </c>
      <c r="R3" s="15">
        <v>15100830443.26</v>
      </c>
      <c r="S3" s="15">
        <v>14306049893.620001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12425266338.18</v>
      </c>
      <c r="J4" s="15">
        <v>32886763926.200001</v>
      </c>
      <c r="K4" s="10">
        <f t="shared" si="1"/>
        <v>0.37781967134446831</v>
      </c>
      <c r="L4" s="16">
        <v>0.37780000000000002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16114416323.84</v>
      </c>
      <c r="R4" s="15">
        <v>15308695507.65</v>
      </c>
      <c r="S4" s="15">
        <v>14502974691.459999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12723011101.25</v>
      </c>
      <c r="J5" s="15">
        <v>34518542256.889999</v>
      </c>
      <c r="K5" s="10">
        <f t="shared" si="1"/>
        <v>0.36858483207559123</v>
      </c>
      <c r="L5" s="16">
        <v>0.36859999999999998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16914085705.879999</v>
      </c>
      <c r="R5" s="15">
        <v>16068381420.59</v>
      </c>
      <c r="S5" s="15">
        <v>15222677135.290001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13037192930.34</v>
      </c>
      <c r="J6" s="15">
        <v>35780445473.940002</v>
      </c>
      <c r="K6" s="10">
        <f t="shared" si="1"/>
        <v>0.36436642299032829</v>
      </c>
      <c r="L6" s="16">
        <v>0.3644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17532418282.23</v>
      </c>
      <c r="R6" s="15">
        <v>16655797368.120001</v>
      </c>
      <c r="S6" s="15">
        <v>15779176454.01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13445354675.700001</v>
      </c>
      <c r="J7" s="15">
        <v>37063711759.120003</v>
      </c>
      <c r="K7" s="10">
        <f t="shared" si="1"/>
        <v>0.36276330776265542</v>
      </c>
      <c r="L7" s="16">
        <v>0.36280000000000001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18161218761.970001</v>
      </c>
      <c r="R7" s="15">
        <v>17253157823.869999</v>
      </c>
      <c r="S7" s="15">
        <v>16345096885.77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14014121150.18</v>
      </c>
      <c r="J8" s="15">
        <v>37989446179.860001</v>
      </c>
      <c r="K8" s="10">
        <f t="shared" si="1"/>
        <v>0.36889511586535179</v>
      </c>
      <c r="L8" s="16">
        <v>0.36890000000000001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18614828628.130001</v>
      </c>
      <c r="R8" s="15">
        <v>17684087196.720001</v>
      </c>
      <c r="S8" s="15">
        <v>16753345765.32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14568943946.809999</v>
      </c>
      <c r="J9" s="15">
        <v>38839487610.68</v>
      </c>
      <c r="K9" s="10">
        <f t="shared" si="1"/>
        <v>0.37510649195083257</v>
      </c>
      <c r="L9" s="16">
        <v>0.37509999999999999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19031348929.23</v>
      </c>
      <c r="R9" s="15">
        <v>18079781482.77</v>
      </c>
      <c r="S9" s="15">
        <v>17128214036.309999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398310091.10000002</v>
      </c>
      <c r="J10" s="15">
        <v>31705134602.98</v>
      </c>
      <c r="K10" s="10">
        <f t="shared" si="1"/>
        <v>1.2562952218552083E-2</v>
      </c>
      <c r="L10" s="16">
        <v>1.26E-2</v>
      </c>
      <c r="M10" s="9" t="str">
        <f t="shared" si="2"/>
        <v>Sim</v>
      </c>
      <c r="N10" s="16">
        <v>1.77E-2</v>
      </c>
      <c r="O10" s="16">
        <v>1.6799999999999999E-2</v>
      </c>
      <c r="P10" s="16">
        <v>1.5900000000000001E-2</v>
      </c>
      <c r="Q10" s="15">
        <v>561180882.47000003</v>
      </c>
      <c r="R10" s="15">
        <v>533121838.35000002</v>
      </c>
      <c r="S10" s="15">
        <v>505062794.22000003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379628242.05000001</v>
      </c>
      <c r="J11" s="15">
        <v>32440022434.5</v>
      </c>
      <c r="K11" s="10">
        <f t="shared" si="1"/>
        <v>1.1702465459649774E-2</v>
      </c>
      <c r="L11" s="16">
        <v>1.17E-2</v>
      </c>
      <c r="M11" s="9" t="str">
        <f t="shared" si="2"/>
        <v>Sim</v>
      </c>
      <c r="N11" s="16">
        <v>1.77E-2</v>
      </c>
      <c r="O11" s="16">
        <v>1.6799999999999999E-2</v>
      </c>
      <c r="P11" s="16">
        <v>1.5900000000000001E-2</v>
      </c>
      <c r="Q11" s="15">
        <v>574188397.09000003</v>
      </c>
      <c r="R11" s="15">
        <v>545478977.24000001</v>
      </c>
      <c r="S11" s="15">
        <v>516769557.38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430928669.99000001</v>
      </c>
      <c r="J12" s="15">
        <v>32886763926.200001</v>
      </c>
      <c r="K12" s="10">
        <f t="shared" si="1"/>
        <v>1.3103407527631223E-2</v>
      </c>
      <c r="L12" s="16">
        <v>1.3100000000000001E-2</v>
      </c>
      <c r="M12" s="9" t="str">
        <f t="shared" si="2"/>
        <v>Sim</v>
      </c>
      <c r="N12" s="16">
        <v>1.77E-2</v>
      </c>
      <c r="O12" s="16">
        <v>1.6799999999999999E-2</v>
      </c>
      <c r="P12" s="16">
        <v>1.5900000000000001E-2</v>
      </c>
      <c r="Q12" s="15">
        <v>582095721.49000001</v>
      </c>
      <c r="R12" s="15">
        <v>552990935.41999996</v>
      </c>
      <c r="S12" s="15">
        <v>523886149.33999997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406319011.56999999</v>
      </c>
      <c r="J13" s="15">
        <v>34518542256.889999</v>
      </c>
      <c r="K13" s="10">
        <f t="shared" si="1"/>
        <v>1.1771036231661768E-2</v>
      </c>
      <c r="L13" s="16">
        <v>1.18E-2</v>
      </c>
      <c r="M13" s="9" t="str">
        <f t="shared" si="2"/>
        <v>Sim</v>
      </c>
      <c r="N13" s="16">
        <v>1.77E-2</v>
      </c>
      <c r="O13" s="16">
        <v>1.6799999999999999E-2</v>
      </c>
      <c r="P13" s="16">
        <v>1.5900000000000001E-2</v>
      </c>
      <c r="Q13" s="15">
        <v>610978197.95000005</v>
      </c>
      <c r="R13" s="15">
        <v>580429288.04999995</v>
      </c>
      <c r="S13" s="15">
        <v>549880378.15999997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406317958.97000003</v>
      </c>
      <c r="J14" s="15">
        <v>35780445473.940002</v>
      </c>
      <c r="K14" s="10">
        <f t="shared" si="1"/>
        <v>1.1355866412170131E-2</v>
      </c>
      <c r="L14" s="16">
        <v>1.14E-2</v>
      </c>
      <c r="M14" s="9" t="str">
        <f t="shared" si="2"/>
        <v>Sim</v>
      </c>
      <c r="N14" s="16">
        <v>1.77E-2</v>
      </c>
      <c r="O14" s="16">
        <v>1.6799999999999999E-2</v>
      </c>
      <c r="P14" s="16">
        <v>1.5900000000000001E-2</v>
      </c>
      <c r="Q14" s="15">
        <v>633313884.88999999</v>
      </c>
      <c r="R14" s="15">
        <v>601648190.64999998</v>
      </c>
      <c r="S14" s="15">
        <v>569982496.39999998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439609549.97000003</v>
      </c>
      <c r="J15" s="15">
        <v>37063711759.120003</v>
      </c>
      <c r="K15" s="10">
        <f t="shared" si="1"/>
        <v>1.1860915410390015E-2</v>
      </c>
      <c r="L15" s="16">
        <v>1.1900000000000001E-2</v>
      </c>
      <c r="M15" s="9" t="str">
        <f t="shared" si="2"/>
        <v>Sim</v>
      </c>
      <c r="N15" s="16">
        <v>1.77E-2</v>
      </c>
      <c r="O15" s="16">
        <v>1.6799999999999999E-2</v>
      </c>
      <c r="P15" s="16">
        <v>1.5900000000000001E-2</v>
      </c>
      <c r="Q15" s="15">
        <v>656027698.13999999</v>
      </c>
      <c r="R15" s="15">
        <v>623226313.23000002</v>
      </c>
      <c r="S15" s="15">
        <v>590424928.33000004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465286588.57999998</v>
      </c>
      <c r="J16" s="15">
        <v>37989446179.860001</v>
      </c>
      <c r="K16" s="10">
        <f t="shared" si="1"/>
        <v>1.2247785513300543E-2</v>
      </c>
      <c r="L16" s="16">
        <v>1.2200000000000001E-2</v>
      </c>
      <c r="M16" s="9" t="str">
        <f t="shared" si="2"/>
        <v>Sim</v>
      </c>
      <c r="N16" s="16">
        <v>1.77E-2</v>
      </c>
      <c r="O16" s="16">
        <v>1.6799999999999999E-2</v>
      </c>
      <c r="P16" s="16">
        <v>1.5900000000000001E-2</v>
      </c>
      <c r="Q16" s="15">
        <v>672413197.38</v>
      </c>
      <c r="R16" s="15">
        <v>638792537.50999999</v>
      </c>
      <c r="S16" s="15">
        <v>605171877.63999999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473192860.66000003</v>
      </c>
      <c r="J17" s="15">
        <v>38839487610.68</v>
      </c>
      <c r="K17" s="10">
        <f t="shared" si="1"/>
        <v>1.2183293080567892E-2</v>
      </c>
      <c r="L17" s="16">
        <v>1.2200000000000001E-2</v>
      </c>
      <c r="M17" s="9" t="str">
        <f t="shared" si="2"/>
        <v>Sim</v>
      </c>
      <c r="N17" s="16">
        <v>1.77E-2</v>
      </c>
      <c r="O17" s="16">
        <v>1.6799999999999999E-2</v>
      </c>
      <c r="P17" s="16">
        <v>1.5900000000000001E-2</v>
      </c>
      <c r="Q17" s="15">
        <v>687458930.71000004</v>
      </c>
      <c r="R17" s="15">
        <v>653085984.16999996</v>
      </c>
      <c r="S17" s="15">
        <v>618713037.63999999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1146796698.49</v>
      </c>
      <c r="J18" s="15">
        <v>31705134602.98</v>
      </c>
      <c r="K18" s="10">
        <f t="shared" si="1"/>
        <v>3.6170693259955797E-2</v>
      </c>
      <c r="L18" s="16">
        <v>3.6200000000000003E-2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1902308076.1800001</v>
      </c>
      <c r="R18" s="15">
        <v>1807192672.3699999</v>
      </c>
      <c r="S18" s="15">
        <v>1712077268.5599999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1254358165.25</v>
      </c>
      <c r="J19" s="15">
        <v>32440022434.5</v>
      </c>
      <c r="K19" s="10">
        <f t="shared" si="1"/>
        <v>3.866699438271623E-2</v>
      </c>
      <c r="L19" s="16">
        <v>3.8699999999999998E-2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1946401346.0699999</v>
      </c>
      <c r="R19" s="15">
        <v>1849081278.77</v>
      </c>
      <c r="S19" s="15">
        <v>1751761211.46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1171508380.23</v>
      </c>
      <c r="J20" s="15">
        <v>32886763926.200001</v>
      </c>
      <c r="K20" s="10">
        <f t="shared" si="1"/>
        <v>3.5622488818265602E-2</v>
      </c>
      <c r="L20" s="16">
        <v>3.56E-2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1973193835.5699999</v>
      </c>
      <c r="R20" s="15">
        <v>1874534143.79</v>
      </c>
      <c r="S20" s="15">
        <v>1775874452.01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1215639537.04</v>
      </c>
      <c r="J21" s="15">
        <v>34518542256.889999</v>
      </c>
      <c r="K21" s="10">
        <f t="shared" si="1"/>
        <v>3.5217000995960507E-2</v>
      </c>
      <c r="L21" s="16">
        <v>3.5200000000000002E-2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2071112535.4100001</v>
      </c>
      <c r="R21" s="15">
        <v>1967556908.6400001</v>
      </c>
      <c r="S21" s="15">
        <v>1864001281.8699999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1291455362.8299999</v>
      </c>
      <c r="J22" s="15">
        <v>35780445473.940002</v>
      </c>
      <c r="K22" s="10">
        <f t="shared" si="1"/>
        <v>3.6093887197983787E-2</v>
      </c>
      <c r="L22" s="16">
        <v>3.61E-2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2146826728.4400001</v>
      </c>
      <c r="R22" s="15">
        <v>2039485392.02</v>
      </c>
      <c r="S22" s="15">
        <v>1932144055.5999999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1243082716.3199999</v>
      </c>
      <c r="J23" s="15">
        <v>37063711759.120003</v>
      </c>
      <c r="K23" s="10">
        <f t="shared" si="1"/>
        <v>3.3539077909921514E-2</v>
      </c>
      <c r="L23" s="16">
        <v>3.3500000000000002E-2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2223822705.5500002</v>
      </c>
      <c r="R23" s="15">
        <v>2112631570.27</v>
      </c>
      <c r="S23" s="15">
        <v>2001440435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1328375631.1400001</v>
      </c>
      <c r="J24" s="15">
        <v>37989446179.860001</v>
      </c>
      <c r="K24" s="10">
        <f t="shared" si="1"/>
        <v>3.4966964899957785E-2</v>
      </c>
      <c r="L24" s="16">
        <v>3.5000000000000003E-2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2279366770.79</v>
      </c>
      <c r="R24" s="15">
        <v>2165398432.25</v>
      </c>
      <c r="S24" s="15">
        <v>2051430093.71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1389117078.8</v>
      </c>
      <c r="J25" s="15">
        <v>38839487610.68</v>
      </c>
      <c r="K25" s="10">
        <f t="shared" si="1"/>
        <v>3.5765587144821739E-2</v>
      </c>
      <c r="L25" s="16">
        <v>3.5799999999999998E-2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2330369256.6399999</v>
      </c>
      <c r="R25" s="15">
        <v>2213850793.8099999</v>
      </c>
      <c r="S25" s="15">
        <v>2097332330.98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341529235.08999997</v>
      </c>
      <c r="J26" s="15">
        <v>31705134602.98</v>
      </c>
      <c r="K26" s="10">
        <f t="shared" si="1"/>
        <v>1.077204810409161E-2</v>
      </c>
      <c r="L26" s="16">
        <v>1.0800000000000001E-2</v>
      </c>
      <c r="M26" s="9" t="str">
        <f t="shared" si="2"/>
        <v>Sim</v>
      </c>
      <c r="N26" s="16">
        <v>1.23E-2</v>
      </c>
      <c r="O26" s="16">
        <v>1.17E-2</v>
      </c>
      <c r="P26" s="16">
        <v>1.11E-2</v>
      </c>
      <c r="Q26" s="15">
        <v>389973155.62</v>
      </c>
      <c r="R26" s="15">
        <v>370474497.83999997</v>
      </c>
      <c r="S26" s="15">
        <v>350975840.06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360661026.32999998</v>
      </c>
      <c r="J27" s="15">
        <v>32440022434.5</v>
      </c>
      <c r="K27" s="10">
        <f t="shared" si="1"/>
        <v>1.1117779806047131E-2</v>
      </c>
      <c r="L27" s="16">
        <v>1.11E-2</v>
      </c>
      <c r="M27" s="9" t="str">
        <f t="shared" si="2"/>
        <v>Sim</v>
      </c>
      <c r="N27" s="16">
        <v>1.23E-2</v>
      </c>
      <c r="O27" s="16">
        <v>1.17E-2</v>
      </c>
      <c r="P27" s="16">
        <v>1.11E-2</v>
      </c>
      <c r="Q27" s="15">
        <v>399012275.94</v>
      </c>
      <c r="R27" s="15">
        <v>379061662.13999999</v>
      </c>
      <c r="S27" s="15">
        <v>359111048.35000002</v>
      </c>
      <c r="T27" s="9" t="str">
        <f t="shared" si="3"/>
        <v>Acima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376147195.75999999</v>
      </c>
      <c r="J28" s="15">
        <v>32886763926.200001</v>
      </c>
      <c r="K28" s="10">
        <f t="shared" si="1"/>
        <v>1.1437646969586254E-2</v>
      </c>
      <c r="L28" s="16">
        <v>1.14E-2</v>
      </c>
      <c r="M28" s="9" t="str">
        <f t="shared" si="2"/>
        <v>Sim</v>
      </c>
      <c r="N28" s="16">
        <v>1.23E-2</v>
      </c>
      <c r="O28" s="16">
        <v>1.17E-2</v>
      </c>
      <c r="P28" s="16">
        <v>1.11E-2</v>
      </c>
      <c r="Q28" s="15">
        <v>404507196.29000002</v>
      </c>
      <c r="R28" s="15">
        <v>384281836.48000002</v>
      </c>
      <c r="S28" s="15">
        <v>364056476.66000003</v>
      </c>
      <c r="T28" s="9" t="str">
        <f t="shared" si="3"/>
        <v>Acima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385566081.60000002</v>
      </c>
      <c r="J29" s="15">
        <v>34518542256.889999</v>
      </c>
      <c r="K29" s="10">
        <f t="shared" si="1"/>
        <v>1.1169825154567178E-2</v>
      </c>
      <c r="L29" s="16">
        <v>1.12E-2</v>
      </c>
      <c r="M29" s="9" t="str">
        <f t="shared" si="2"/>
        <v>Sim</v>
      </c>
      <c r="N29" s="16">
        <v>1.23E-2</v>
      </c>
      <c r="O29" s="16">
        <v>1.17E-2</v>
      </c>
      <c r="P29" s="16">
        <v>1.11E-2</v>
      </c>
      <c r="Q29" s="15">
        <v>424578069.75999999</v>
      </c>
      <c r="R29" s="15">
        <v>403349166.26999998</v>
      </c>
      <c r="S29" s="15">
        <v>382120262.77999997</v>
      </c>
      <c r="T29" s="9" t="str">
        <f t="shared" si="3"/>
        <v>Acima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392059781.23000002</v>
      </c>
      <c r="J30" s="15">
        <v>35780445473.940002</v>
      </c>
      <c r="K30" s="10">
        <f t="shared" si="1"/>
        <v>1.0957375628974468E-2</v>
      </c>
      <c r="L30" s="16">
        <v>1.0999999999999999E-2</v>
      </c>
      <c r="M30" s="9" t="str">
        <f t="shared" si="2"/>
        <v>Sim</v>
      </c>
      <c r="N30" s="16">
        <v>1.23E-2</v>
      </c>
      <c r="O30" s="16">
        <v>1.17E-2</v>
      </c>
      <c r="P30" s="16">
        <v>1.11E-2</v>
      </c>
      <c r="Q30" s="15">
        <v>440099479.32999998</v>
      </c>
      <c r="R30" s="15">
        <v>418094505.36000001</v>
      </c>
      <c r="S30" s="15">
        <v>396089531.39999998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397035919.33999997</v>
      </c>
      <c r="J31" s="15">
        <v>37063711759.120003</v>
      </c>
      <c r="K31" s="10">
        <f t="shared" si="1"/>
        <v>1.0712254668943247E-2</v>
      </c>
      <c r="L31" s="16">
        <v>1.0699999999999999E-2</v>
      </c>
      <c r="M31" s="9" t="str">
        <f t="shared" si="2"/>
        <v>Sim</v>
      </c>
      <c r="N31" s="16">
        <v>1.23E-2</v>
      </c>
      <c r="O31" s="16">
        <v>1.17E-2</v>
      </c>
      <c r="P31" s="16">
        <v>1.11E-2</v>
      </c>
      <c r="Q31" s="15">
        <v>455883654.63999999</v>
      </c>
      <c r="R31" s="15">
        <v>433089471.91000003</v>
      </c>
      <c r="S31" s="15">
        <v>410295289.18000001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404319946.02999997</v>
      </c>
      <c r="J32" s="15">
        <v>37989446179.860001</v>
      </c>
      <c r="K32" s="10">
        <f t="shared" si="1"/>
        <v>1.0642954469927204E-2</v>
      </c>
      <c r="L32" s="16">
        <v>1.06E-2</v>
      </c>
      <c r="M32" s="9" t="str">
        <f t="shared" si="2"/>
        <v>Sim</v>
      </c>
      <c r="N32" s="16">
        <v>1.23E-2</v>
      </c>
      <c r="O32" s="16">
        <v>1.17E-2</v>
      </c>
      <c r="P32" s="16">
        <v>1.11E-2</v>
      </c>
      <c r="Q32" s="15">
        <v>467270188.00999999</v>
      </c>
      <c r="R32" s="15">
        <v>443906678.61000001</v>
      </c>
      <c r="S32" s="15">
        <v>420543169.20999998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405440671.55000001</v>
      </c>
      <c r="J33" s="15">
        <v>38839487610.68</v>
      </c>
      <c r="K33" s="10">
        <f t="shared" si="1"/>
        <v>1.043887796909331E-2</v>
      </c>
      <c r="L33" s="16">
        <v>1.04E-2</v>
      </c>
      <c r="M33" s="9" t="str">
        <f t="shared" si="2"/>
        <v>Sim</v>
      </c>
      <c r="N33" s="16">
        <v>1.23E-2</v>
      </c>
      <c r="O33" s="16">
        <v>1.17E-2</v>
      </c>
      <c r="P33" s="16">
        <v>1.11E-2</v>
      </c>
      <c r="Q33" s="15">
        <v>477725697.61000001</v>
      </c>
      <c r="R33" s="15">
        <v>453839412.73000002</v>
      </c>
      <c r="S33" s="15">
        <v>429953127.85000002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217496581.30000001</v>
      </c>
      <c r="J34" s="15">
        <v>31705134602.98</v>
      </c>
      <c r="K34" s="10">
        <f t="shared" si="1"/>
        <v>6.8599797485028582E-3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232636025.83000001</v>
      </c>
      <c r="J35" s="15">
        <v>32440022434.5</v>
      </c>
      <c r="K35" s="10">
        <f t="shared" si="1"/>
        <v>7.1712658738050487E-3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228310966.13999999</v>
      </c>
      <c r="J36" s="15">
        <v>32886763926.200001</v>
      </c>
      <c r="K36" s="10">
        <f t="shared" si="1"/>
        <v>6.9423360307613235E-3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238438564.28</v>
      </c>
      <c r="J37" s="15">
        <v>34518542256.889999</v>
      </c>
      <c r="K37" s="10">
        <f t="shared" si="1"/>
        <v>6.907550223457278E-3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245150956.31</v>
      </c>
      <c r="J38" s="15">
        <v>35780445473.940002</v>
      </c>
      <c r="K38" s="10">
        <f t="shared" si="1"/>
        <v>6.8515344921725747E-3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262004521.56</v>
      </c>
      <c r="J39" s="15">
        <v>37063711759.120003</v>
      </c>
      <c r="K39" s="10">
        <f t="shared" si="1"/>
        <v>7.069030842425824E-3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284740917.88</v>
      </c>
      <c r="J40" s="15">
        <v>37989446179.860001</v>
      </c>
      <c r="K40" s="10">
        <f t="shared" si="1"/>
        <v>7.4952637248751099E-3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302250131.12</v>
      </c>
      <c r="J41" s="15">
        <v>38839487610.68</v>
      </c>
      <c r="K41" s="10">
        <f t="shared" si="1"/>
        <v>7.782031888517703E-3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409658096.20999998</v>
      </c>
      <c r="J42" s="15">
        <v>31705134602.98</v>
      </c>
      <c r="K42" s="10">
        <f t="shared" si="1"/>
        <v>1.2920875477737154E-2</v>
      </c>
      <c r="L42" s="16">
        <v>1.29E-2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634102692.05999994</v>
      </c>
      <c r="R42" s="15">
        <v>602397557.46000004</v>
      </c>
      <c r="S42" s="15">
        <v>570692422.85000002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452717815.97000003</v>
      </c>
      <c r="J43" s="15">
        <v>32440022434.5</v>
      </c>
      <c r="K43" s="10">
        <f t="shared" si="1"/>
        <v>1.3955533381152479E-2</v>
      </c>
      <c r="L43" s="16">
        <v>1.4E-2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648800448.69000006</v>
      </c>
      <c r="R43" s="15">
        <v>616360426.25999999</v>
      </c>
      <c r="S43" s="15">
        <v>583920403.82000005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454650882.47000003</v>
      </c>
      <c r="J44" s="15">
        <v>32886763926.200001</v>
      </c>
      <c r="K44" s="10">
        <f t="shared" si="1"/>
        <v>1.3824737620590024E-2</v>
      </c>
      <c r="L44" s="16">
        <v>1.38E-2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657735278.51999998</v>
      </c>
      <c r="R44" s="15">
        <v>624848514.59000003</v>
      </c>
      <c r="S44" s="15">
        <v>591961750.66999996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469837324.87</v>
      </c>
      <c r="J45" s="15">
        <v>34518542256.889999</v>
      </c>
      <c r="K45" s="10">
        <f t="shared" si="1"/>
        <v>1.3611157776404047E-2</v>
      </c>
      <c r="L45" s="16">
        <v>1.3599999999999999E-2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690370845.13999999</v>
      </c>
      <c r="R45" s="15">
        <v>655852302.88</v>
      </c>
      <c r="S45" s="15">
        <v>621333760.63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466533721.38</v>
      </c>
      <c r="J46" s="15">
        <v>35780445473.940002</v>
      </c>
      <c r="K46" s="10">
        <f t="shared" si="1"/>
        <v>1.303879018833879E-2</v>
      </c>
      <c r="L46" s="16">
        <v>1.2999999999999999E-2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715608909.48000002</v>
      </c>
      <c r="R46" s="15">
        <v>679828464.00999999</v>
      </c>
      <c r="S46" s="15">
        <v>644048018.52999997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452442808.69999999</v>
      </c>
      <c r="J47" s="15">
        <v>37063711759.120003</v>
      </c>
      <c r="K47" s="10">
        <f t="shared" si="1"/>
        <v>1.2207164021792033E-2</v>
      </c>
      <c r="L47" s="16">
        <v>1.2200000000000001E-2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741274235.17999995</v>
      </c>
      <c r="R47" s="15">
        <v>704210523.41999996</v>
      </c>
      <c r="S47" s="15">
        <v>667146811.65999997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471031347.97000003</v>
      </c>
      <c r="J48" s="15">
        <v>37989446179.860001</v>
      </c>
      <c r="K48" s="10">
        <f t="shared" si="1"/>
        <v>1.2399005390600192E-2</v>
      </c>
      <c r="L48" s="16">
        <v>1.24E-2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759788923.60000002</v>
      </c>
      <c r="R48" s="15">
        <v>721799477.41999996</v>
      </c>
      <c r="S48" s="15">
        <v>683810031.24000001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477936201.58999997</v>
      </c>
      <c r="J49" s="15">
        <v>38839487610.68</v>
      </c>
      <c r="K49" s="10">
        <f t="shared" si="1"/>
        <v>1.2305419844379668E-2</v>
      </c>
      <c r="L49" s="16">
        <v>1.23E-2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776789752.21000004</v>
      </c>
      <c r="R49" s="15">
        <v>737950264.60000002</v>
      </c>
      <c r="S49" s="15">
        <v>699110776.99000001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2026-10-15T10:08:06Z</dcterms:created>
  <dcterms:modified xsi:type="dcterms:W3CDTF">2026-10-15T10:08:33Z</dcterms:modified>
</cp:coreProperties>
</file>