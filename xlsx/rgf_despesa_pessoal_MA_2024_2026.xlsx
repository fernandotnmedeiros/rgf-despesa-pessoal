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AA8DF887BF0EBDA383E59873A4C8551F77824523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T24" i="2"/>
  <c r="K24" i="2"/>
  <c r="M24" i="2" s="1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1" i="1"/>
  <c r="I21" i="1"/>
  <c r="H21" i="1"/>
  <c r="G21" i="1"/>
  <c r="F21" i="1"/>
  <c r="E21" i="1"/>
  <c r="D21" i="1"/>
  <c r="C21" i="1"/>
  <c r="J20" i="1"/>
  <c r="I20" i="1"/>
  <c r="H20" i="1"/>
  <c r="G20" i="1"/>
  <c r="F20" i="1"/>
  <c r="E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M43" i="2" l="1"/>
  <c r="T43" i="2"/>
  <c r="M30" i="2"/>
  <c r="T30" i="2"/>
  <c r="T11" i="2"/>
  <c r="M11" i="2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M33" i="2"/>
  <c r="T33" i="2"/>
  <c r="L9" i="1" s="1"/>
  <c r="M32" i="2"/>
  <c r="T32" i="2"/>
  <c r="M31" i="2"/>
  <c r="T31" i="2"/>
  <c r="T29" i="2"/>
  <c r="M29" i="2"/>
  <c r="T28" i="2"/>
  <c r="M28" i="2"/>
  <c r="T27" i="2"/>
  <c r="M27" i="2"/>
  <c r="M26" i="2"/>
  <c r="T26" i="2"/>
  <c r="M25" i="2"/>
  <c r="T25" i="2"/>
  <c r="L8" i="1" s="1"/>
  <c r="T23" i="2"/>
  <c r="M23" i="2"/>
  <c r="T22" i="2"/>
  <c r="M22" i="2"/>
  <c r="T21" i="2"/>
  <c r="M21" i="2"/>
  <c r="T20" i="2"/>
  <c r="M20" i="2"/>
  <c r="T19" i="2"/>
  <c r="M19" i="2"/>
  <c r="T18" i="2"/>
  <c r="M18" i="2"/>
  <c r="T17" i="2"/>
  <c r="L7" i="1" s="1"/>
  <c r="M17" i="2"/>
  <c r="T16" i="2"/>
  <c r="M16" i="2"/>
  <c r="T15" i="2"/>
  <c r="M15" i="2"/>
  <c r="T14" i="2"/>
  <c r="M14" i="2"/>
  <c r="M13" i="2"/>
  <c r="T13" i="2"/>
  <c r="M12" i="2"/>
  <c r="T12" i="2"/>
  <c r="T10" i="2"/>
  <c r="M10" i="2"/>
  <c r="T9" i="2"/>
  <c r="L6" i="1" s="1"/>
  <c r="M9" i="2"/>
  <c r="M8" i="2"/>
  <c r="T8" i="2"/>
  <c r="M7" i="2"/>
  <c r="T7" i="2"/>
  <c r="T6" i="2"/>
  <c r="M6" i="2"/>
  <c r="T5" i="2"/>
  <c r="M5" i="2"/>
  <c r="M4" i="2"/>
  <c r="T4" i="2"/>
  <c r="M3" i="2"/>
  <c r="T3" i="2"/>
  <c r="M2" i="2"/>
  <c r="T2" i="2"/>
  <c r="D11" i="1"/>
  <c r="C11" i="1"/>
  <c r="L10" i="1"/>
  <c r="K10" i="1"/>
  <c r="J10" i="1"/>
  <c r="I10" i="1"/>
  <c r="H10" i="1"/>
  <c r="G10" i="1"/>
  <c r="F10" i="1"/>
  <c r="E10" i="1"/>
  <c r="D10" i="1"/>
  <c r="C10" i="1"/>
  <c r="K9" i="1"/>
  <c r="J9" i="1"/>
  <c r="I9" i="1"/>
  <c r="H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<sst xmlns="http://schemas.openxmlformats.org/spreadsheetml/2006/main" count="427" uniqueCount="83">
  <si>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Maranhão (MA)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</si>
  <si>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</si>
  <si>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</si>
  <si>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</si>
  <si>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</si>
  <si>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</si>
  <si>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</si>
  <si>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</si>
  <si>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</si>
  <si>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</si>
  <si>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</si>
  <si>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</si>
  <si>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</si>
  <si>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</si>
  <si>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</si>
  <si>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</si>
  <si>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</si>
  <si>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</si>
  <si>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</si>
  <si>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</si>
  <si>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</si>
  <si>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</si>
  <si>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</si>
  <si>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</si>
  <si>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</si>
  <si>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</si>
  <si>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</si>
  <si>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</si>
  <si>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</si>
  <si>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</si>
  <si>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</si>
  <si>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</si>
  <si>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</si>
  <si>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</si>
  <si>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</si>
  <si>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</si>
  <si>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</si>
  <si>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</si>
  <si>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</si>
  <si>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</si>
  <si>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</si>
  <si>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</si>
  <si>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</si>
  <si>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</si>
  <si>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</si>
  <si>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</si>
  <si>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</si>
  <si>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Maranhão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</si>
  <si>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</si>
  <si>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</si>
  <si>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</si>
  <si>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</si>
  <si>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</si>
  <si>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</si>
  <si>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</si>
  <si>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</si>
  <si>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</si>
  <si>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</si>
  <si>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</si>
  <si>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</si>
  <si>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Maranhão</t>
  </si>
  <si>
    <t>Tribunal de Justiça do Estado do Maranhão</t>
  </si>
  <si>
    <t>Tribunal de Contas do Estado do Maranhão</t>
  </si>
  <si>
    <t>Defensoria Pública do Estado do Maranhão</t>
  </si>
  <si>
    <t>Calculado (despesa líquida / RCL Ajustada do Executivo)</t>
  </si>
  <si>
    <t>Ministério Público do Estado do Maranhão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</si>
  <si>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</si>
  <si>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</si>
  <si>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</si>
  <si>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</si>
  <si>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Maranhão (MA).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</si>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</sst>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0.3256749910684778</v>
      </c>
      <c r="D6" s="7">
        <f>IFERROR(IF(INDEX(Dados!$K$2:$K$49,MATCH($A6&amp;"|"&amp;D$5,Dados!$A$2:$A$49,0))="","",INDEX(Dados!$K$2:$K$49,MATCH($A6&amp;"|"&amp;D$5,Dados!$A$2:$A$49,0))),"")</f>
        <v>0.32612673136389708</v>
      </c>
      <c r="E6" s="7">
        <f>IFERROR(IF(INDEX(Dados!$K$2:$K$49,MATCH($A6&amp;"|"&amp;E$5,Dados!$A$2:$A$49,0))="","",INDEX(Dados!$K$2:$K$49,MATCH($A6&amp;"|"&amp;E$5,Dados!$A$2:$A$49,0))),"")</f>
        <v>0.3103896537879236</v>
      </c>
      <c r="F6" s="7">
        <f>IFERROR(IF(INDEX(Dados!$K$2:$K$49,MATCH($A6&amp;"|"&amp;F$5,Dados!$A$2:$A$49,0))="","",INDEX(Dados!$K$2:$K$49,MATCH($A6&amp;"|"&amp;F$5,Dados!$A$2:$A$49,0))),"")</f>
        <v>0.33185192346275383</v>
      </c>
      <c r="G6" s="7">
        <f>IFERROR(IF(INDEX(Dados!$K$2:$K$49,MATCH($A6&amp;"|"&amp;G$5,Dados!$A$2:$A$49,0))="","",INDEX(Dados!$K$2:$K$49,MATCH($A6&amp;"|"&amp;G$5,Dados!$A$2:$A$49,0))),"")</f>
        <v>0.30059665506706112</v>
      </c>
      <c r="H6" s="7">
        <f>IFERROR(IF(INDEX(Dados!$K$2:$K$49,MATCH($A6&amp;"|"&amp;H$5,Dados!$A$2:$A$49,0))="","",INDEX(Dados!$K$2:$K$49,MATCH($A6&amp;"|"&amp;H$5,Dados!$A$2:$A$49,0))),"")</f>
        <v>0.30136683005174941</v>
      </c>
      <c r="I6" s="7">
        <f>IFERROR(IF(INDEX(Dados!$K$2:$K$49,MATCH($A6&amp;"|"&amp;I$5,Dados!$A$2:$A$49,0))="","",INDEX(Dados!$K$2:$K$49,MATCH($A6&amp;"|"&amp;I$5,Dados!$A$2:$A$49,0))),"")</f>
        <v>0.29861460803640355</v>
      </c>
      <c r="J6" s="7">
        <f>IFERROR(IF(INDEX(Dados!$K$2:$K$49,MATCH($A6&amp;"|"&amp;J$5,Dados!$A$2:$A$49,0))="","",INDEX(Dados!$K$2:$K$49,MATCH($A6&amp;"|"&amp;J$5,Dados!$A$2:$A$49,0))),"")</f>
        <v>0.29563618168025974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1.9461481169029189E-2</v>
      </c>
      <c r="D7" s="10">
        <f>IFERROR(IF(INDEX(Dados!$K$2:$K$49,MATCH($A7&amp;"|"&amp;D$5,Dados!$A$2:$A$49,0))="","",INDEX(Dados!$K$2:$K$49,MATCH($A7&amp;"|"&amp;D$5,Dados!$A$2:$A$49,0))),"")</f>
        <v>1.8856783464256035E-2</v>
      </c>
      <c r="E7" s="10">
        <f>IFERROR(IF(INDEX(Dados!$K$2:$K$49,MATCH($A7&amp;"|"&amp;E$5,Dados!$A$2:$A$49,0))="","",INDEX(Dados!$K$2:$K$49,MATCH($A7&amp;"|"&amp;E$5,Dados!$A$2:$A$49,0))),"")</f>
        <v>1.7676251604408888E-2</v>
      </c>
      <c r="F7" s="10">
        <f>IFERROR(IF(INDEX(Dados!$K$2:$K$49,MATCH($A7&amp;"|"&amp;F$5,Dados!$A$2:$A$49,0))="","",INDEX(Dados!$K$2:$K$49,MATCH($A7&amp;"|"&amp;F$5,Dados!$A$2:$A$49,0))),"")</f>
        <v>1.8337059969636065E-2</v>
      </c>
      <c r="G7" s="10">
        <f>IFERROR(IF(INDEX(Dados!$K$2:$K$49,MATCH($A7&amp;"|"&amp;G$5,Dados!$A$2:$A$49,0))="","",INDEX(Dados!$K$2:$K$49,MATCH($A7&amp;"|"&amp;G$5,Dados!$A$2:$A$49,0))),"")</f>
        <v>1.6930173317468794E-2</v>
      </c>
      <c r="H7" s="10">
        <f>IFERROR(IF(INDEX(Dados!$K$2:$K$49,MATCH($A7&amp;"|"&amp;H$5,Dados!$A$2:$A$49,0))="","",INDEX(Dados!$K$2:$K$49,MATCH($A7&amp;"|"&amp;H$5,Dados!$A$2:$A$49,0))),"")</f>
        <v>1.6621258351736643E-2</v>
      </c>
      <c r="I7" s="10">
        <f>IFERROR(IF(INDEX(Dados!$K$2:$K$49,MATCH($A7&amp;"|"&amp;I$5,Dados!$A$2:$A$49,0))="","",INDEX(Dados!$K$2:$K$49,MATCH($A7&amp;"|"&amp;I$5,Dados!$A$2:$A$49,0))),"")</f>
        <v>1.618520751259132E-2</v>
      </c>
      <c r="J7" s="10">
        <f>IFERROR(IF(INDEX(Dados!$K$2:$K$49,MATCH($A7&amp;"|"&amp;J$5,Dados!$A$2:$A$49,0))="","",INDEX(Dados!$K$2:$K$49,MATCH($A7&amp;"|"&amp;J$5,Dados!$A$2:$A$49,0))),"")</f>
        <v>1.5532663084763157E-2</v>
      </c>
      <c r="K7" s="10">
        <f>IFERROR(IF(INDEX(Dados!$N$2:$N$49,MATCH($A7&amp;"|"&amp;J$5,Dados!$A$2:$A$49,0))=0,"—",INDEX(Dados!$N$2:$N$49,MATCH($A7&amp;"|"&amp;J$5,Dados!$A$2:$A$49,0))),"—")</f>
        <v>2.1000000000000001E-2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4.6914609740778407E-2</v>
      </c>
      <c r="D8" s="10">
        <f>IFERROR(IF(INDEX(Dados!$K$2:$K$49,MATCH($A8&amp;"|"&amp;D$5,Dados!$A$2:$A$49,0))="","",INDEX(Dados!$K$2:$K$49,MATCH($A8&amp;"|"&amp;D$5,Dados!$A$2:$A$49,0))),"")</f>
        <v>4.6566884528130417E-2</v>
      </c>
      <c r="E8" s="10">
        <f>IFERROR(IF(INDEX(Dados!$K$2:$K$49,MATCH($A8&amp;"|"&amp;E$5,Dados!$A$2:$A$49,0))="","",INDEX(Dados!$K$2:$K$49,MATCH($A8&amp;"|"&amp;E$5,Dados!$A$2:$A$49,0))),"")</f>
        <v>4.5422503105411648E-2</v>
      </c>
      <c r="F8" s="10">
        <f>IFERROR(IF(INDEX(Dados!$K$2:$K$49,MATCH($A8&amp;"|"&amp;F$5,Dados!$A$2:$A$49,0))="","",INDEX(Dados!$K$2:$K$49,MATCH($A8&amp;"|"&amp;F$5,Dados!$A$2:$A$49,0))),"")</f>
        <v>5.0025453624933512E-2</v>
      </c>
      <c r="G8" s="10">
        <f>IFERROR(IF(INDEX(Dados!$K$2:$K$49,MATCH($A8&amp;"|"&amp;G$5,Dados!$A$2:$A$49,0))="","",INDEX(Dados!$K$2:$K$49,MATCH($A8&amp;"|"&amp;G$5,Dados!$A$2:$A$49,0))),"")</f>
        <v>4.6271269797884276E-2</v>
      </c>
      <c r="H8" s="10">
        <f>IFERROR(IF(INDEX(Dados!$K$2:$K$49,MATCH($A8&amp;"|"&amp;H$5,Dados!$A$2:$A$49,0))="","",INDEX(Dados!$K$2:$K$49,MATCH($A8&amp;"|"&amp;H$5,Dados!$A$2:$A$49,0))),"")</f>
        <v>4.8777198605463069E-2</v>
      </c>
      <c r="I8" s="10">
        <f>IFERROR(IF(INDEX(Dados!$K$2:$K$49,MATCH($A8&amp;"|"&amp;I$5,Dados!$A$2:$A$49,0))="","",INDEX(Dados!$K$2:$K$49,MATCH($A8&amp;"|"&amp;I$5,Dados!$A$2:$A$49,0))),"")</f>
        <v>4.7779753909873691E-2</v>
      </c>
      <c r="J8" s="10">
        <f>IFERROR(IF(INDEX(Dados!$K$2:$K$49,MATCH($A8&amp;"|"&amp;J$5,Dados!$A$2:$A$49,0))="","",INDEX(Dados!$K$2:$K$49,MATCH($A8&amp;"|"&amp;J$5,Dados!$A$2:$A$49,0))),"")</f>
        <v>4.6712876994844957E-2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8.1122855889004079E-3</v>
      </c>
      <c r="D9" s="10">
        <f>IFERROR(IF(INDEX(Dados!$K$2:$K$49,MATCH($A9&amp;"|"&amp;D$5,Dados!$A$2:$A$49,0))="","",INDEX(Dados!$K$2:$K$49,MATCH($A9&amp;"|"&amp;D$5,Dados!$A$2:$A$49,0))),"")</f>
        <v>7.6461628620200879E-3</v>
      </c>
      <c r="E9" s="10">
        <f>IFERROR(IF(INDEX(Dados!$K$2:$K$49,MATCH($A9&amp;"|"&amp;E$5,Dados!$A$2:$A$49,0))="","",INDEX(Dados!$K$2:$K$49,MATCH($A9&amp;"|"&amp;E$5,Dados!$A$2:$A$49,0))),"")</f>
        <v>7.468835275098268E-3</v>
      </c>
      <c r="F9" s="10">
        <f>IFERROR(IF(INDEX(Dados!$K$2:$K$49,MATCH($A9&amp;"|"&amp;F$5,Dados!$A$2:$A$49,0))="","",INDEX(Dados!$K$2:$K$49,MATCH($A9&amp;"|"&amp;F$5,Dados!$A$2:$A$49,0))),"")</f>
        <v>7.7794026537730794E-3</v>
      </c>
      <c r="G9" s="10">
        <f>IFERROR(IF(INDEX(Dados!$K$2:$K$49,MATCH($A9&amp;"|"&amp;G$5,Dados!$A$2:$A$49,0))="","",INDEX(Dados!$K$2:$K$49,MATCH($A9&amp;"|"&amp;G$5,Dados!$A$2:$A$49,0))),"")</f>
        <v>7.523868447931654E-3</v>
      </c>
      <c r="H9" s="10">
        <f>IFERROR(IF(INDEX(Dados!$K$2:$K$49,MATCH($A9&amp;"|"&amp;H$5,Dados!$A$2:$A$49,0))="","",INDEX(Dados!$K$2:$K$49,MATCH($A9&amp;"|"&amp;H$5,Dados!$A$2:$A$49,0))),"")</f>
        <v>7.4155970222139897E-3</v>
      </c>
      <c r="I9" s="10">
        <f>IFERROR(IF(INDEX(Dados!$K$2:$K$49,MATCH($A9&amp;"|"&amp;I$5,Dados!$A$2:$A$49,0))="","",INDEX(Dados!$K$2:$K$49,MATCH($A9&amp;"|"&amp;I$5,Dados!$A$2:$A$49,0))),"")</f>
        <v>7.4816673485846421E-3</v>
      </c>
      <c r="J9" s="10">
        <f>IFERROR(IF(INDEX(Dados!$K$2:$K$49,MATCH($A9&amp;"|"&amp;J$5,Dados!$A$2:$A$49,0))="","",INDEX(Dados!$K$2:$K$49,MATCH($A9&amp;"|"&amp;J$5,Dados!$A$2:$A$49,0))),"")</f>
        <v>7.2602126873290889E-3</v>
      </c>
      <c r="K9" s="10">
        <f>IFERROR(IF(INDEX(Dados!$N$2:$N$49,MATCH($A9&amp;"|"&amp;J$5,Dados!$A$2:$A$49,0))=0,"—",INDEX(Dados!$N$2:$N$49,MATCH($A9&amp;"|"&amp;J$5,Dados!$A$2:$A$49,0))),"—")</f>
        <v>9.0000000000000011E-3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7.215746159385153E-3</v>
      </c>
      <c r="D10" s="10">
        <f>IFERROR(IF(INDEX(Dados!$K$2:$K$49,MATCH($A10&amp;"|"&amp;D$5,Dados!$A$2:$A$49,0))="","",INDEX(Dados!$K$2:$K$49,MATCH($A10&amp;"|"&amp;D$5,Dados!$A$2:$A$49,0))),"")</f>
        <v>7.2706724085484153E-3</v>
      </c>
      <c r="E10" s="10">
        <f>IFERROR(IF(INDEX(Dados!$K$2:$K$49,MATCH($A10&amp;"|"&amp;E$5,Dados!$A$2:$A$49,0))="","",INDEX(Dados!$K$2:$K$49,MATCH($A10&amp;"|"&amp;E$5,Dados!$A$2:$A$49,0))),"")</f>
        <v>7.2662256310460369E-3</v>
      </c>
      <c r="F10" s="10">
        <f>IFERROR(IF(INDEX(Dados!$K$2:$K$49,MATCH($A10&amp;"|"&amp;F$5,Dados!$A$2:$A$49,0))="","",INDEX(Dados!$K$2:$K$49,MATCH($A10&amp;"|"&amp;F$5,Dados!$A$2:$A$49,0))),"")</f>
        <v>8.1184481431311392E-3</v>
      </c>
      <c r="G10" s="10">
        <f>IFERROR(IF(INDEX(Dados!$K$2:$K$49,MATCH($A10&amp;"|"&amp;G$5,Dados!$A$2:$A$49,0))="","",INDEX(Dados!$K$2:$K$49,MATCH($A10&amp;"|"&amp;G$5,Dados!$A$2:$A$49,0))),"")</f>
        <v>7.9111672747691521E-3</v>
      </c>
      <c r="H10" s="10">
        <f>IFERROR(IF(INDEX(Dados!$K$2:$K$49,MATCH($A10&amp;"|"&amp;H$5,Dados!$A$2:$A$49,0))="","",INDEX(Dados!$K$2:$K$49,MATCH($A10&amp;"|"&amp;H$5,Dados!$A$2:$A$49,0))),"")</f>
        <v>8.5406615570004941E-3</v>
      </c>
      <c r="I10" s="10">
        <f>IFERROR(IF(INDEX(Dados!$K$2:$K$49,MATCH($A10&amp;"|"&amp;I$5,Dados!$A$2:$A$49,0))="","",INDEX(Dados!$K$2:$K$49,MATCH($A10&amp;"|"&amp;I$5,Dados!$A$2:$A$49,0))),"")</f>
        <v>8.9344515195003589E-3</v>
      </c>
      <c r="J10" s="10">
        <f>IFERROR(IF(INDEX(Dados!$K$2:$K$49,MATCH($A10&amp;"|"&amp;J$5,Dados!$A$2:$A$49,0))="","",INDEX(Dados!$K$2:$K$49,MATCH($A10&amp;"|"&amp;J$5,Dados!$A$2:$A$49,0))),"")</f>
        <v>9.1035951600777036E-3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1.8711580930812741E-2</v>
      </c>
      <c r="D11" s="10">
        <f>IFERROR(IF(INDEX(Dados!$K$2:$K$49,MATCH($A11&amp;"|"&amp;D$5,Dados!$A$2:$A$49,0))="","",INDEX(Dados!$K$2:$K$49,MATCH($A11&amp;"|"&amp;D$5,Dados!$A$2:$A$49,0))),"")</f>
        <v>1.8372791707293279E-2</v>
      </c>
      <c r="E11" s="10">
        <f>IFERROR(IF(INDEX(Dados!$K$2:$K$49,MATCH($A11&amp;"|"&amp;E$5,Dados!$A$2:$A$49,0))="","",INDEX(Dados!$K$2:$K$49,MATCH($A11&amp;"|"&amp;E$5,Dados!$A$2:$A$49,0))),"")</f>
        <v>1.8514562399218688E-2</v>
      </c>
      <c r="F11" s="10">
        <f>IFERROR(IF(INDEX(Dados!$K$2:$K$49,MATCH($A11&amp;"|"&amp;F$5,Dados!$A$2:$A$49,0))="","",INDEX(Dados!$K$2:$K$49,MATCH($A11&amp;"|"&amp;F$5,Dados!$A$2:$A$49,0))),"")</f>
        <v>2.0108389114266181E-2</v>
      </c>
      <c r="G11" s="10">
        <f>IFERROR(IF(INDEX(Dados!$K$2:$K$49,MATCH($A11&amp;"|"&amp;G$5,Dados!$A$2:$A$49,0))="","",INDEX(Dados!$K$2:$K$49,MATCH($A11&amp;"|"&amp;G$5,Dados!$A$2:$A$49,0))),"")</f>
        <v>1.9156636010389739E-2</v>
      </c>
      <c r="H11" s="10">
        <f>IFERROR(IF(INDEX(Dados!$K$2:$K$49,MATCH($A11&amp;"|"&amp;H$5,Dados!$A$2:$A$49,0))="","",INDEX(Dados!$K$2:$K$49,MATCH($A11&amp;"|"&amp;H$5,Dados!$A$2:$A$49,0))),"")</f>
        <v>1.905305613284768E-2</v>
      </c>
      <c r="I11" s="10">
        <f>IFERROR(IF(INDEX(Dados!$K$2:$K$49,MATCH($A11&amp;"|"&amp;I$5,Dados!$A$2:$A$49,0))="","",INDEX(Dados!$K$2:$K$49,MATCH($A11&amp;"|"&amp;I$5,Dados!$A$2:$A$49,0))),"")</f>
        <v>1.8599417218360795E-2</v>
      </c>
      <c r="J11" s="10">
        <f>IFERROR(IF(INDEX(Dados!$K$2:$K$49,MATCH($A11&amp;"|"&amp;J$5,Dados!$A$2:$A$49,0))="","",INDEX(Dados!$K$2:$K$49,MATCH($A11&amp;"|"&amp;J$5,Dados!$A$2:$A$49,0))),"")</f>
        <v>1.7869548695659876E-2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26486.633151779999</v>
      </c>
      <c r="D12" s="12">
        <f>IFERROR(INDEX(Dados!$J$2:$J$49,MATCH("Governo|"&amp;D$5,Dados!$A$2:$A$49,0))/1000000,"")</f>
        <v>27863.49318143</v>
      </c>
      <c r="E12" s="12">
        <f>IFERROR(INDEX(Dados!$J$2:$J$49,MATCH("Governo|"&amp;E$5,Dados!$A$2:$A$49,0))/1000000,"")</f>
        <v>29521.762934729999</v>
      </c>
      <c r="F12" s="12">
        <f>IFERROR(INDEX(Dados!$J$2:$J$49,MATCH("Governo|"&amp;F$5,Dados!$A$2:$A$49,0))/1000000,"")</f>
        <v>28527.20388144</v>
      </c>
      <c r="G12" s="12">
        <f>IFERROR(INDEX(Dados!$J$2:$J$49,MATCH("Governo|"&amp;G$5,Dados!$A$2:$A$49,0))/1000000,"")</f>
        <v>31304.669753330003</v>
      </c>
      <c r="H12" s="12">
        <f>IFERROR(INDEX(Dados!$J$2:$J$49,MATCH("Governo|"&amp;H$5,Dados!$A$2:$A$49,0))/1000000,"")</f>
        <v>32325.883418680001</v>
      </c>
      <c r="I12" s="12">
        <f>IFERROR(INDEX(Dados!$J$2:$J$49,MATCH("Governo|"&amp;I$5,Dados!$A$2:$A$49,0))/1000000,"")</f>
        <v>33721.352132519998</v>
      </c>
      <c r="J12" s="12">
        <f>IFERROR(INDEX(Dados!$J$2:$J$49,MATCH("Governo|"&amp;J$5,Dados!$A$2:$A$49,0))/1000000,"")</f>
        <v>35589.294560330003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8626.0340151399996</v>
      </c>
      <c r="D16" s="13">
        <f>IFERROR(IF(INDEX(Dados!$I$2:$I$49,MATCH($A16&amp;"|"&amp;D$15,Dados!$A$2:$A$49,0))="","",INDEX(Dados!$I$2:$I$49,MATCH($A16&amp;"|"&amp;D$15,Dados!$A$2:$A$49,0))/1000000),"")</f>
        <v>9087.0299556399987</v>
      </c>
      <c r="E16" s="13">
        <f>IFERROR(IF(INDEX(Dados!$I$2:$I$49,MATCH($A16&amp;"|"&amp;E$15,Dados!$A$2:$A$49,0))="","",INDEX(Dados!$I$2:$I$49,MATCH($A16&amp;"|"&amp;E$15,Dados!$A$2:$A$49,0))/1000000),"")</f>
        <v>9163.2497765200005</v>
      </c>
      <c r="F16" s="13">
        <f>IFERROR(IF(INDEX(Dados!$I$2:$I$49,MATCH($A16&amp;"|"&amp;F$15,Dados!$A$2:$A$49,0))="","",INDEX(Dados!$I$2:$I$49,MATCH($A16&amp;"|"&amp;F$15,Dados!$A$2:$A$49,0))/1000000),"")</f>
        <v>9466.8074790699993</v>
      </c>
      <c r="G16" s="13">
        <f>IFERROR(IF(INDEX(Dados!$I$2:$I$49,MATCH($A16&amp;"|"&amp;G$15,Dados!$A$2:$A$49,0))="","",INDEX(Dados!$I$2:$I$49,MATCH($A16&amp;"|"&amp;G$15,Dados!$A$2:$A$49,0))/1000000),"")</f>
        <v>9410.0790158300006</v>
      </c>
      <c r="H16" s="13">
        <f>IFERROR(IF(INDEX(Dados!$I$2:$I$49,MATCH($A16&amp;"|"&amp;H$15,Dados!$A$2:$A$49,0))="","",INDEX(Dados!$I$2:$I$49,MATCH($A16&amp;"|"&amp;H$15,Dados!$A$2:$A$49,0))/1000000),"")</f>
        <v>9741.9490145100008</v>
      </c>
      <c r="I16" s="13">
        <f>IFERROR(IF(INDEX(Dados!$I$2:$I$49,MATCH($A16&amp;"|"&amp;I$15,Dados!$A$2:$A$49,0))="","",INDEX(Dados!$I$2:$I$49,MATCH($A16&amp;"|"&amp;I$15,Dados!$A$2:$A$49,0))/1000000),"")</f>
        <v>10069.688349510001</v>
      </c>
      <c r="J16" s="13">
        <f>IFERROR(IF(INDEX(Dados!$I$2:$I$49,MATCH($A16&amp;"|"&amp;J$15,Dados!$A$2:$A$49,0))="","",INDEX(Dados!$I$2:$I$49,MATCH($A16&amp;"|"&amp;J$15,Dados!$A$2:$A$49,0))/1000000),"")</f>
        <v>10521.48315251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515.46327386999997</v>
      </c>
      <c r="D17" s="14">
        <f>IFERROR(IF(INDEX(Dados!$I$2:$I$49,MATCH($A17&amp;"|"&amp;D$15,Dados!$A$2:$A$49,0))="","",INDEX(Dados!$I$2:$I$49,MATCH($A17&amp;"|"&amp;D$15,Dados!$A$2:$A$49,0))/1000000),"")</f>
        <v>525.41585748</v>
      </c>
      <c r="E17" s="14">
        <f>IFERROR(IF(INDEX(Dados!$I$2:$I$49,MATCH($A17&amp;"|"&amp;E$15,Dados!$A$2:$A$49,0))="","",INDEX(Dados!$I$2:$I$49,MATCH($A17&amp;"|"&amp;E$15,Dados!$A$2:$A$49,0))/1000000),"")</f>
        <v>521.83410944000002</v>
      </c>
      <c r="F17" s="14">
        <f>IFERROR(IF(INDEX(Dados!$I$2:$I$49,MATCH($A17&amp;"|"&amp;F$15,Dados!$A$2:$A$49,0))="","",INDEX(Dados!$I$2:$I$49,MATCH($A17&amp;"|"&amp;F$15,Dados!$A$2:$A$49,0))/1000000),"")</f>
        <v>523.10504833999994</v>
      </c>
      <c r="G17" s="14">
        <f>IFERROR(IF(INDEX(Dados!$I$2:$I$49,MATCH($A17&amp;"|"&amp;G$15,Dados!$A$2:$A$49,0))="","",INDEX(Dados!$I$2:$I$49,MATCH($A17&amp;"|"&amp;G$15,Dados!$A$2:$A$49,0))/1000000),"")</f>
        <v>529.99348456999996</v>
      </c>
      <c r="H17" s="14">
        <f>IFERROR(IF(INDEX(Dados!$I$2:$I$49,MATCH($A17&amp;"|"&amp;H$15,Dados!$A$2:$A$49,0))="","",INDEX(Dados!$I$2:$I$49,MATCH($A17&amp;"|"&amp;H$15,Dados!$A$2:$A$49,0))/1000000),"")</f>
        <v>537.29685974999995</v>
      </c>
      <c r="I17" s="14">
        <f>IFERROR(IF(INDEX(Dados!$I$2:$I$49,MATCH($A17&amp;"|"&amp;I$15,Dados!$A$2:$A$49,0))="","",INDEX(Dados!$I$2:$I$49,MATCH($A17&amp;"|"&amp;I$15,Dados!$A$2:$A$49,0))/1000000),"")</f>
        <v>545.78708186999995</v>
      </c>
      <c r="J17" s="14">
        <f>IFERROR(IF(INDEX(Dados!$I$2:$I$49,MATCH($A17&amp;"|"&amp;J$15,Dados!$A$2:$A$49,0))="","",INDEX(Dados!$I$2:$I$49,MATCH($A17&amp;"|"&amp;J$15,Dados!$A$2:$A$49,0))/1000000),"")</f>
        <v>552.79652183000007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1242.5959832799999</v>
      </c>
      <c r="D18" s="14">
        <f>IFERROR(IF(INDEX(Dados!$I$2:$I$49,MATCH($A18&amp;"|"&amp;D$15,Dados!$A$2:$A$49,0))="","",INDEX(Dados!$I$2:$I$49,MATCH($A18&amp;"|"&amp;D$15,Dados!$A$2:$A$49,0))/1000000),"")</f>
        <v>1297.5160695299999</v>
      </c>
      <c r="E18" s="14">
        <f>IFERROR(IF(INDEX(Dados!$I$2:$I$49,MATCH($A18&amp;"|"&amp;E$15,Dados!$A$2:$A$49,0))="","",INDEX(Dados!$I$2:$I$49,MATCH($A18&amp;"|"&amp;E$15,Dados!$A$2:$A$49,0))/1000000),"")</f>
        <v>1340.95236858</v>
      </c>
      <c r="F18" s="14">
        <f>IFERROR(IF(INDEX(Dados!$I$2:$I$49,MATCH($A18&amp;"|"&amp;F$15,Dados!$A$2:$A$49,0))="","",INDEX(Dados!$I$2:$I$49,MATCH($A18&amp;"|"&amp;F$15,Dados!$A$2:$A$49,0))/1000000),"")</f>
        <v>1427.0863148199999</v>
      </c>
      <c r="G18" s="14">
        <f>IFERROR(IF(INDEX(Dados!$I$2:$I$49,MATCH($A18&amp;"|"&amp;G$15,Dados!$A$2:$A$49,0))="","",INDEX(Dados!$I$2:$I$49,MATCH($A18&amp;"|"&amp;G$15,Dados!$A$2:$A$49,0))/1000000),"")</f>
        <v>1448.50682009</v>
      </c>
      <c r="H18" s="14">
        <f>IFERROR(IF(INDEX(Dados!$I$2:$I$49,MATCH($A18&amp;"|"&amp;H$15,Dados!$A$2:$A$49,0))="","",INDEX(Dados!$I$2:$I$49,MATCH($A18&amp;"|"&amp;H$15,Dados!$A$2:$A$49,0))/1000000),"")</f>
        <v>1576.7660356099998</v>
      </c>
      <c r="I18" s="14">
        <f>IFERROR(IF(INDEX(Dados!$I$2:$I$49,MATCH($A18&amp;"|"&amp;I$15,Dados!$A$2:$A$49,0))="","",INDEX(Dados!$I$2:$I$49,MATCH($A18&amp;"|"&amp;I$15,Dados!$A$2:$A$49,0))/1000000),"")</f>
        <v>1611.1979064000002</v>
      </c>
      <c r="J18" s="14">
        <f>IFERROR(IF(INDEX(Dados!$I$2:$I$49,MATCH($A18&amp;"|"&amp;J$15,Dados!$A$2:$A$49,0))="","",INDEX(Dados!$I$2:$I$49,MATCH($A18&amp;"|"&amp;J$15,Dados!$A$2:$A$49,0))/1000000),"")</f>
        <v>1662.4783391300002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214.86469872999999</v>
      </c>
      <c r="D19" s="14">
        <f>IFERROR(IF(INDEX(Dados!$I$2:$I$49,MATCH($A19&amp;"|"&amp;D$15,Dados!$A$2:$A$49,0))="","",INDEX(Dados!$I$2:$I$49,MATCH($A19&amp;"|"&amp;D$15,Dados!$A$2:$A$49,0))/1000000),"")</f>
        <v>213.04880677</v>
      </c>
      <c r="E19" s="14">
        <f>IFERROR(IF(INDEX(Dados!$I$2:$I$49,MATCH($A19&amp;"|"&amp;E$15,Dados!$A$2:$A$49,0))="","",INDEX(Dados!$I$2:$I$49,MATCH($A19&amp;"|"&amp;E$15,Dados!$A$2:$A$49,0))/1000000),"")</f>
        <v>220.49318438999998</v>
      </c>
      <c r="F19" s="14">
        <f>IFERROR(IF(INDEX(Dados!$I$2:$I$49,MATCH($A19&amp;"|"&amp;F$15,Dados!$A$2:$A$49,0))="","",INDEX(Dados!$I$2:$I$49,MATCH($A19&amp;"|"&amp;F$15,Dados!$A$2:$A$49,0))/1000000),"")</f>
        <v>221.92460558000002</v>
      </c>
      <c r="G19" s="14">
        <f>IFERROR(IF(INDEX(Dados!$I$2:$I$49,MATCH($A19&amp;"|"&amp;G$15,Dados!$A$2:$A$49,0))="","",INDEX(Dados!$I$2:$I$49,MATCH($A19&amp;"|"&amp;G$15,Dados!$A$2:$A$49,0))/1000000),"")</f>
        <v>235.53221703</v>
      </c>
      <c r="H19" s="14">
        <f>IFERROR(IF(INDEX(Dados!$I$2:$I$49,MATCH($A19&amp;"|"&amp;H$15,Dados!$A$2:$A$49,0))="","",INDEX(Dados!$I$2:$I$49,MATCH($A19&amp;"|"&amp;H$15,Dados!$A$2:$A$49,0))/1000000),"")</f>
        <v>239.71572481999999</v>
      </c>
      <c r="I19" s="14">
        <f>IFERROR(IF(INDEX(Dados!$I$2:$I$49,MATCH($A19&amp;"|"&amp;I$15,Dados!$A$2:$A$49,0))="","",INDEX(Dados!$I$2:$I$49,MATCH($A19&amp;"|"&amp;I$15,Dados!$A$2:$A$49,0))/1000000),"")</f>
        <v>252.2919392</v>
      </c>
      <c r="J19" s="14">
        <f>IFERROR(IF(INDEX(Dados!$I$2:$I$49,MATCH($A19&amp;"|"&amp;J$15,Dados!$A$2:$A$49,0))="","",INDEX(Dados!$I$2:$I$49,MATCH($A19&amp;"|"&amp;J$15,Dados!$A$2:$A$49,0))/1000000),"")</f>
        <v>258.38584789999999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191.12082143999999</v>
      </c>
      <c r="D20" s="14">
        <f>IFERROR(IF(INDEX(Dados!$I$2:$I$49,MATCH($A20&amp;"|"&amp;D$15,Dados!$A$2:$A$49,0))="","",INDEX(Dados!$I$2:$I$49,MATCH($A20&amp;"|"&amp;D$15,Dados!$A$2:$A$49,0))/1000000),"")</f>
        <v>202.58633108000001</v>
      </c>
      <c r="E20" s="14">
        <f>IFERROR(IF(INDEX(Dados!$I$2:$I$49,MATCH($A20&amp;"|"&amp;E$15,Dados!$A$2:$A$49,0))="","",INDEX(Dados!$I$2:$I$49,MATCH($A20&amp;"|"&amp;E$15,Dados!$A$2:$A$49,0))/1000000),"")</f>
        <v>214.51179051</v>
      </c>
      <c r="F20" s="14">
        <f>IFERROR(IF(INDEX(Dados!$I$2:$I$49,MATCH($A20&amp;"|"&amp;F$15,Dados!$A$2:$A$49,0))="","",INDEX(Dados!$I$2:$I$49,MATCH($A20&amp;"|"&amp;F$15,Dados!$A$2:$A$49,0))/1000000),"")</f>
        <v>231.59662538000001</v>
      </c>
      <c r="G20" s="14">
        <f>IFERROR(IF(INDEX(Dados!$I$2:$I$49,MATCH($A20&amp;"|"&amp;G$15,Dados!$A$2:$A$49,0))="","",INDEX(Dados!$I$2:$I$49,MATCH($A20&amp;"|"&amp;G$15,Dados!$A$2:$A$49,0))/1000000),"")</f>
        <v>247.6564789</v>
      </c>
      <c r="H20" s="14">
        <f>IFERROR(IF(INDEX(Dados!$I$2:$I$49,MATCH($A20&amp;"|"&amp;H$15,Dados!$A$2:$A$49,0))="","",INDEX(Dados!$I$2:$I$49,MATCH($A20&amp;"|"&amp;H$15,Dados!$A$2:$A$49,0))/1000000),"")</f>
        <v>276.08442981000002</v>
      </c>
      <c r="I20" s="14">
        <f>IFERROR(IF(INDEX(Dados!$I$2:$I$49,MATCH($A20&amp;"|"&amp;I$15,Dados!$A$2:$A$49,0))="","",INDEX(Dados!$I$2:$I$49,MATCH($A20&amp;"|"&amp;I$15,Dados!$A$2:$A$49,0))/1000000),"")</f>
        <v>301.28178580000002</v>
      </c>
      <c r="J20" s="14">
        <f>IFERROR(IF(INDEX(Dados!$I$2:$I$49,MATCH($A20&amp;"|"&amp;J$15,Dados!$A$2:$A$49,0))="","",INDEX(Dados!$I$2:$I$49,MATCH($A20&amp;"|"&amp;J$15,Dados!$A$2:$A$49,0))/1000000),"")</f>
        <v>323.99052970999998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495.60116632999996</v>
      </c>
      <c r="D21" s="14">
        <f>IFERROR(IF(INDEX(Dados!$I$2:$I$49,MATCH($A21&amp;"|"&amp;D$15,Dados!$A$2:$A$49,0))="","",INDEX(Dados!$I$2:$I$49,MATCH($A21&amp;"|"&amp;D$15,Dados!$A$2:$A$49,0))/1000000),"")</f>
        <v>511.93015645999998</v>
      </c>
      <c r="E21" s="14">
        <f>IFERROR(IF(INDEX(Dados!$I$2:$I$49,MATCH($A21&amp;"|"&amp;E$15,Dados!$A$2:$A$49,0))="","",INDEX(Dados!$I$2:$I$49,MATCH($A21&amp;"|"&amp;E$15,Dados!$A$2:$A$49,0))/1000000),"")</f>
        <v>546.58252199000003</v>
      </c>
      <c r="F21" s="14">
        <f>IFERROR(IF(INDEX(Dados!$I$2:$I$49,MATCH($A21&amp;"|"&amp;F$15,Dados!$A$2:$A$49,0))="","",INDEX(Dados!$I$2:$I$49,MATCH($A21&amp;"|"&amp;F$15,Dados!$A$2:$A$49,0))/1000000),"")</f>
        <v>573.63611599000001</v>
      </c>
      <c r="G21" s="14">
        <f>IFERROR(IF(INDEX(Dados!$I$2:$I$49,MATCH($A21&amp;"|"&amp;G$15,Dados!$A$2:$A$49,0))="","",INDEX(Dados!$I$2:$I$49,MATCH($A21&amp;"|"&amp;G$15,Dados!$A$2:$A$49,0))/1000000),"")</f>
        <v>599.69216388999996</v>
      </c>
      <c r="H21" s="14">
        <f>IFERROR(IF(INDEX(Dados!$I$2:$I$49,MATCH($A21&amp;"|"&amp;H$15,Dados!$A$2:$A$49,0))="","",INDEX(Dados!$I$2:$I$49,MATCH($A21&amp;"|"&amp;H$15,Dados!$A$2:$A$49,0))/1000000),"")</f>
        <v>615.90687132000005</v>
      </c>
      <c r="I21" s="14">
        <f>IFERROR(IF(INDEX(Dados!$I$2:$I$49,MATCH($A21&amp;"|"&amp;I$15,Dados!$A$2:$A$49,0))="","",INDEX(Dados!$I$2:$I$49,MATCH($A21&amp;"|"&amp;I$15,Dados!$A$2:$A$49,0))/1000000),"")</f>
        <v>627.19749748000004</v>
      </c>
      <c r="J21" s="14">
        <f>IFERROR(IF(INDEX(Dados!$I$2:$I$49,MATCH($A21&amp;"|"&amp;J$15,Dados!$A$2:$A$49,0))="","",INDEX(Dados!$I$2:$I$49,MATCH($A21&amp;"|"&amp;J$15,Dados!$A$2:$A$49,0))/1000000),"")</f>
        <v>635.96463219000009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8626034015.1399994</v>
      </c>
      <c r="J2" s="15">
        <v>26486633151.779999</v>
      </c>
      <c r="K2" s="10">
        <f t="shared" ref="K2:K49" si="1">IF(OR(I2="",J2="",J2=0),"",I2/J2)</f>
        <v>0.3256749910684778</v>
      </c>
      <c r="L2" s="16">
        <v>0.32569999999999999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12978450244.370001</v>
      </c>
      <c r="R2" s="15">
        <v>12329527732.15</v>
      </c>
      <c r="S2" s="15">
        <v>11680605219.93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9087029955.6399994</v>
      </c>
      <c r="J3" s="15">
        <v>27863493181.43</v>
      </c>
      <c r="K3" s="10">
        <f t="shared" si="1"/>
        <v>0.32612673136389708</v>
      </c>
      <c r="L3" s="16">
        <v>0.3261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13653111658.9</v>
      </c>
      <c r="R3" s="15">
        <v>12970456075.959999</v>
      </c>
      <c r="S3" s="15">
        <v>12287800493.01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9163249776.5200005</v>
      </c>
      <c r="J4" s="15">
        <v>29521762934.73</v>
      </c>
      <c r="K4" s="10">
        <f t="shared" si="1"/>
        <v>0.3103896537879236</v>
      </c>
      <c r="L4" s="16">
        <v>0.31040000000000001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14465663838.02</v>
      </c>
      <c r="R4" s="15">
        <v>13742380646.120001</v>
      </c>
      <c r="S4" s="15">
        <v>13019097454.219999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9466807479.0699997</v>
      </c>
      <c r="J5" s="15">
        <v>28527203881.439999</v>
      </c>
      <c r="K5" s="10">
        <f t="shared" si="1"/>
        <v>0.33185192346275383</v>
      </c>
      <c r="L5" s="16">
        <v>0.33189999999999997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13978329901.91</v>
      </c>
      <c r="R5" s="15">
        <v>13279413406.809999</v>
      </c>
      <c r="S5" s="15">
        <v>12580496911.719999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9410079015.8299999</v>
      </c>
      <c r="J6" s="15">
        <v>31304669753.330002</v>
      </c>
      <c r="K6" s="10">
        <f t="shared" si="1"/>
        <v>0.30059665506706112</v>
      </c>
      <c r="L6" s="16">
        <v>0.30059999999999998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15339288179.129999</v>
      </c>
      <c r="R6" s="15">
        <v>14572323770.17</v>
      </c>
      <c r="S6" s="15">
        <v>13805359361.219999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9741949014.5100002</v>
      </c>
      <c r="J7" s="15">
        <v>32325883418.68</v>
      </c>
      <c r="K7" s="10">
        <f t="shared" si="1"/>
        <v>0.30136683005174941</v>
      </c>
      <c r="L7" s="16">
        <v>0.3014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15839682875.15</v>
      </c>
      <c r="R7" s="15">
        <v>15047698731.389999</v>
      </c>
      <c r="S7" s="15">
        <v>14255714587.639999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10069688349.51</v>
      </c>
      <c r="J8" s="15">
        <v>33721352132.52</v>
      </c>
      <c r="K8" s="10">
        <f t="shared" si="1"/>
        <v>0.29861460803640355</v>
      </c>
      <c r="L8" s="16">
        <v>0.29859999999999998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16523462544.93</v>
      </c>
      <c r="R8" s="15">
        <v>15697289417.68</v>
      </c>
      <c r="S8" s="15">
        <v>14871116290.440001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10521483152.51</v>
      </c>
      <c r="J9" s="15">
        <v>35589294560.330002</v>
      </c>
      <c r="K9" s="10">
        <f t="shared" si="1"/>
        <v>0.29563618168025974</v>
      </c>
      <c r="L9" s="16">
        <v>0.29559999999999997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17438754334.560001</v>
      </c>
      <c r="R9" s="15">
        <v>16566816617.83</v>
      </c>
      <c r="S9" s="15">
        <v>15694878901.1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515463273.87</v>
      </c>
      <c r="J10" s="15">
        <v>26486333151.779999</v>
      </c>
      <c r="K10" s="10">
        <f t="shared" si="1"/>
        <v>1.9461481169029189E-2</v>
      </c>
      <c r="L10" s="16">
        <v>1.95E-2</v>
      </c>
      <c r="M10" s="9" t="str">
        <f t="shared" si="2"/>
        <v>Sim</v>
      </c>
      <c r="N10" s="16">
        <v>2.1000000000000001E-2</v>
      </c>
      <c r="O10" s="16">
        <v>0.02</v>
      </c>
      <c r="P10" s="16">
        <v>1.89E-2</v>
      </c>
      <c r="Q10" s="15">
        <v>556212996.19000006</v>
      </c>
      <c r="R10" s="15">
        <v>528402346.38</v>
      </c>
      <c r="S10" s="15">
        <v>500591696.56999999</v>
      </c>
      <c r="T10" s="9" t="str">
        <f t="shared" si="3"/>
        <v>Acima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525415857.48000002</v>
      </c>
      <c r="J11" s="15">
        <v>27863493181.43</v>
      </c>
      <c r="K11" s="10">
        <f t="shared" si="1"/>
        <v>1.8856783464256035E-2</v>
      </c>
      <c r="L11" s="16">
        <v>1.89E-2</v>
      </c>
      <c r="M11" s="9" t="str">
        <f t="shared" si="2"/>
        <v>Sim</v>
      </c>
      <c r="N11" s="16">
        <v>2.1000000000000001E-2</v>
      </c>
      <c r="O11" s="16">
        <v>0.02</v>
      </c>
      <c r="P11" s="16">
        <v>1.89E-2</v>
      </c>
      <c r="Q11" s="15">
        <v>585133356.80999994</v>
      </c>
      <c r="R11" s="15">
        <v>555876688.97000003</v>
      </c>
      <c r="S11" s="15">
        <v>526620021.13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521834109.44</v>
      </c>
      <c r="J12" s="15">
        <v>29521762934.73</v>
      </c>
      <c r="K12" s="10">
        <f t="shared" si="1"/>
        <v>1.7676251604408888E-2</v>
      </c>
      <c r="L12" s="16">
        <v>1.77E-2</v>
      </c>
      <c r="M12" s="9" t="str">
        <f t="shared" si="2"/>
        <v>Sim</v>
      </c>
      <c r="N12" s="16">
        <v>2.1000000000000001E-2</v>
      </c>
      <c r="O12" s="16">
        <v>0.02</v>
      </c>
      <c r="P12" s="16">
        <v>1.89E-2</v>
      </c>
      <c r="Q12" s="15">
        <v>619957021.63</v>
      </c>
      <c r="R12" s="15">
        <v>588959170.54999995</v>
      </c>
      <c r="S12" s="15">
        <v>557961319.47000003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523105048.33999997</v>
      </c>
      <c r="J13" s="15">
        <v>28527203881.439999</v>
      </c>
      <c r="K13" s="10">
        <f t="shared" si="1"/>
        <v>1.8337059969636065E-2</v>
      </c>
      <c r="L13" s="16">
        <v>1.83E-2</v>
      </c>
      <c r="M13" s="9" t="str">
        <f t="shared" si="2"/>
        <v>Sim</v>
      </c>
      <c r="N13" s="16">
        <v>2.1000000000000001E-2</v>
      </c>
      <c r="O13" s="16">
        <v>0.02</v>
      </c>
      <c r="P13" s="16">
        <v>1.89E-2</v>
      </c>
      <c r="Q13" s="15">
        <v>599071281.50999999</v>
      </c>
      <c r="R13" s="15">
        <v>569117717.42999995</v>
      </c>
      <c r="S13" s="15">
        <v>539164153.36000001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529993484.56999999</v>
      </c>
      <c r="J14" s="15">
        <v>31304669753.330002</v>
      </c>
      <c r="K14" s="10">
        <f t="shared" si="1"/>
        <v>1.6930173317468794E-2</v>
      </c>
      <c r="L14" s="16">
        <v>1.6899999999999998E-2</v>
      </c>
      <c r="M14" s="9" t="str">
        <f t="shared" si="2"/>
        <v>Sim</v>
      </c>
      <c r="N14" s="16">
        <v>2.1000000000000001E-2</v>
      </c>
      <c r="O14" s="16">
        <v>0.02</v>
      </c>
      <c r="P14" s="16">
        <v>1.89E-2</v>
      </c>
      <c r="Q14" s="15">
        <v>657398064.82000005</v>
      </c>
      <c r="R14" s="15">
        <v>624528161.58000004</v>
      </c>
      <c r="S14" s="15">
        <v>591658258.34000003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537296859.75</v>
      </c>
      <c r="J15" s="15">
        <v>32325883418.68</v>
      </c>
      <c r="K15" s="10">
        <f t="shared" si="1"/>
        <v>1.6621258351736643E-2</v>
      </c>
      <c r="L15" s="16">
        <v>1.66E-2</v>
      </c>
      <c r="M15" s="9" t="str">
        <f t="shared" si="2"/>
        <v>Sim</v>
      </c>
      <c r="N15" s="16">
        <v>2.1000000000000001E-2</v>
      </c>
      <c r="O15" s="16">
        <v>0.02</v>
      </c>
      <c r="P15" s="16">
        <v>1.89E-2</v>
      </c>
      <c r="Q15" s="15">
        <v>678843551.78999996</v>
      </c>
      <c r="R15" s="15">
        <v>644901374.20000005</v>
      </c>
      <c r="S15" s="15">
        <v>610959196.61000001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545787081.87</v>
      </c>
      <c r="J16" s="15">
        <v>33721352132.52</v>
      </c>
      <c r="K16" s="10">
        <f t="shared" si="1"/>
        <v>1.618520751259132E-2</v>
      </c>
      <c r="L16" s="16">
        <v>1.6199999999999999E-2</v>
      </c>
      <c r="M16" s="9" t="str">
        <f t="shared" si="2"/>
        <v>Sim</v>
      </c>
      <c r="N16" s="16">
        <v>2.1000000000000001E-2</v>
      </c>
      <c r="O16" s="16">
        <v>0.02</v>
      </c>
      <c r="P16" s="16">
        <v>1.89E-2</v>
      </c>
      <c r="Q16" s="15">
        <v>708148394.77999997</v>
      </c>
      <c r="R16" s="15">
        <v>672740975.03999996</v>
      </c>
      <c r="S16" s="15">
        <v>637333555.29999995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552796521.83000004</v>
      </c>
      <c r="J17" s="15">
        <v>35589294560.330002</v>
      </c>
      <c r="K17" s="10">
        <f t="shared" si="1"/>
        <v>1.5532663084763157E-2</v>
      </c>
      <c r="L17" s="16">
        <v>1.55E-2</v>
      </c>
      <c r="M17" s="9" t="str">
        <f t="shared" si="2"/>
        <v>Sim</v>
      </c>
      <c r="N17" s="16">
        <v>2.1000000000000001E-2</v>
      </c>
      <c r="O17" s="16">
        <v>0.02</v>
      </c>
      <c r="P17" s="16">
        <v>1.89E-2</v>
      </c>
      <c r="Q17" s="15">
        <v>747375185.76999998</v>
      </c>
      <c r="R17" s="15">
        <v>710006426.48000002</v>
      </c>
      <c r="S17" s="15">
        <v>672637667.19000006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1242595983.28</v>
      </c>
      <c r="J18" s="15">
        <v>26486333151.779999</v>
      </c>
      <c r="K18" s="10">
        <f t="shared" si="1"/>
        <v>4.6914609740778407E-2</v>
      </c>
      <c r="L18" s="16">
        <v>4.6899999999999997E-2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1594206730.95</v>
      </c>
      <c r="R18" s="15">
        <v>1514496394.4000001</v>
      </c>
      <c r="S18" s="15">
        <v>1434786057.8599999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1297516069.53</v>
      </c>
      <c r="J19" s="15">
        <v>27863493181.43</v>
      </c>
      <c r="K19" s="10">
        <f t="shared" si="1"/>
        <v>4.6566884528130417E-2</v>
      </c>
      <c r="L19" s="16">
        <v>4.6600000000000003E-2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1680302075.8900001</v>
      </c>
      <c r="R19" s="15">
        <v>1596286972.0999999</v>
      </c>
      <c r="S19" s="15">
        <v>1512271868.3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1340952368.5799999</v>
      </c>
      <c r="J20" s="15">
        <v>29521762934.73</v>
      </c>
      <c r="K20" s="10">
        <f t="shared" si="1"/>
        <v>4.5422503105411648E-2</v>
      </c>
      <c r="L20" s="16">
        <v>4.5400000000000003E-2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1775205102.3399999</v>
      </c>
      <c r="R20" s="15">
        <v>1686444847.22</v>
      </c>
      <c r="S20" s="15">
        <v>1597684592.1099999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1427086314.8199999</v>
      </c>
      <c r="J21" s="15">
        <v>28527203881.439999</v>
      </c>
      <c r="K21" s="10">
        <f t="shared" si="1"/>
        <v>5.0025453624933512E-2</v>
      </c>
      <c r="L21" s="16">
        <v>0.05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1715582559.1500001</v>
      </c>
      <c r="R21" s="15">
        <v>1629803431.1900001</v>
      </c>
      <c r="S21" s="15">
        <v>1544024303.24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1448506820.0899999</v>
      </c>
      <c r="J22" s="15">
        <v>31304669753.330002</v>
      </c>
      <c r="K22" s="10">
        <f t="shared" si="1"/>
        <v>4.6271269797884276E-2</v>
      </c>
      <c r="L22" s="16">
        <v>4.6300000000000001E-2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1878280185.2</v>
      </c>
      <c r="R22" s="15">
        <v>1784366175.9400001</v>
      </c>
      <c r="S22" s="15">
        <v>1690452166.6800001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1576766035.6099999</v>
      </c>
      <c r="J23" s="15">
        <v>32325883418.68</v>
      </c>
      <c r="K23" s="10">
        <f t="shared" si="1"/>
        <v>4.8777198605463069E-2</v>
      </c>
      <c r="L23" s="16">
        <v>4.8800000000000003E-2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1939553016.72</v>
      </c>
      <c r="R23" s="15">
        <v>1842575365.8800001</v>
      </c>
      <c r="S23" s="15">
        <v>1745597715.05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1611197906.4000001</v>
      </c>
      <c r="J24" s="15">
        <v>33721352132.52</v>
      </c>
      <c r="K24" s="10">
        <f t="shared" si="1"/>
        <v>4.7779753909873691E-2</v>
      </c>
      <c r="L24" s="16">
        <v>4.7800000000000002E-2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2023281127.95</v>
      </c>
      <c r="R24" s="15">
        <v>1922117071.55</v>
      </c>
      <c r="S24" s="15">
        <v>1820953015.1600001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1662478339.1300001</v>
      </c>
      <c r="J25" s="15">
        <v>35589294560.330002</v>
      </c>
      <c r="K25" s="10">
        <f t="shared" si="1"/>
        <v>4.6712876994844957E-2</v>
      </c>
      <c r="L25" s="16">
        <v>4.6699999999999998E-2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2135357673.6199999</v>
      </c>
      <c r="R25" s="15">
        <v>2028589789.9400001</v>
      </c>
      <c r="S25" s="15">
        <v>1921821906.26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214864698.72999999</v>
      </c>
      <c r="J26" s="15">
        <v>26486333151.779999</v>
      </c>
      <c r="K26" s="10">
        <f t="shared" si="1"/>
        <v>8.1122855889004079E-3</v>
      </c>
      <c r="L26" s="16">
        <v>8.1000000000000013E-3</v>
      </c>
      <c r="M26" s="9" t="str">
        <f t="shared" si="2"/>
        <v>Sim</v>
      </c>
      <c r="N26" s="16">
        <v>9.0000000000000011E-3</v>
      </c>
      <c r="O26" s="16">
        <v>8.6E-3</v>
      </c>
      <c r="P26" s="16">
        <v>8.1000000000000013E-3</v>
      </c>
      <c r="Q26" s="15">
        <v>238738554.13999999</v>
      </c>
      <c r="R26" s="15">
        <v>226801626.43000001</v>
      </c>
      <c r="S26" s="15">
        <v>214864698.72999999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213048806.77000001</v>
      </c>
      <c r="J27" s="15">
        <v>27863493181.43</v>
      </c>
      <c r="K27" s="10">
        <f t="shared" si="1"/>
        <v>7.6461628620200879E-3</v>
      </c>
      <c r="L27" s="16">
        <v>7.6E-3</v>
      </c>
      <c r="M27" s="9" t="str">
        <f t="shared" si="2"/>
        <v>Sim</v>
      </c>
      <c r="N27" s="16">
        <v>9.0000000000000011E-3</v>
      </c>
      <c r="O27" s="16">
        <v>8.6E-3</v>
      </c>
      <c r="P27" s="16">
        <v>8.1000000000000013E-3</v>
      </c>
      <c r="Q27" s="15">
        <v>250771438.63</v>
      </c>
      <c r="R27" s="15">
        <v>238232866.69999999</v>
      </c>
      <c r="S27" s="15">
        <v>225694294.77000001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220493184.38999999</v>
      </c>
      <c r="J28" s="15">
        <v>29521762934.73</v>
      </c>
      <c r="K28" s="10">
        <f t="shared" si="1"/>
        <v>7.468835275098268E-3</v>
      </c>
      <c r="L28" s="16">
        <v>7.4999999999999997E-3</v>
      </c>
      <c r="M28" s="9" t="str">
        <f t="shared" si="2"/>
        <v>Sim</v>
      </c>
      <c r="N28" s="16">
        <v>9.0000000000000011E-3</v>
      </c>
      <c r="O28" s="16">
        <v>8.6E-3</v>
      </c>
      <c r="P28" s="16">
        <v>8.1000000000000013E-3</v>
      </c>
      <c r="Q28" s="15">
        <v>265695866.41</v>
      </c>
      <c r="R28" s="15">
        <v>252411073.09</v>
      </c>
      <c r="S28" s="15">
        <v>239126279.77000001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221924605.58000001</v>
      </c>
      <c r="J29" s="15">
        <v>28527203881.439999</v>
      </c>
      <c r="K29" s="10">
        <f t="shared" si="1"/>
        <v>7.7794026537730794E-3</v>
      </c>
      <c r="L29" s="16">
        <v>7.8000000000000014E-3</v>
      </c>
      <c r="M29" s="9" t="str">
        <f t="shared" si="2"/>
        <v>Sim</v>
      </c>
      <c r="N29" s="16">
        <v>9.0000000000000011E-3</v>
      </c>
      <c r="O29" s="16">
        <v>8.6E-3</v>
      </c>
      <c r="P29" s="16">
        <v>8.1000000000000013E-3</v>
      </c>
      <c r="Q29" s="15">
        <v>256744834.93000001</v>
      </c>
      <c r="R29" s="15">
        <v>243907593.18000001</v>
      </c>
      <c r="S29" s="15">
        <v>231070351.44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235532217.03</v>
      </c>
      <c r="J30" s="15">
        <v>31304669753.330002</v>
      </c>
      <c r="K30" s="10">
        <f t="shared" si="1"/>
        <v>7.523868447931654E-3</v>
      </c>
      <c r="L30" s="16">
        <v>7.4999999999999997E-3</v>
      </c>
      <c r="M30" s="9" t="str">
        <f t="shared" si="2"/>
        <v>Sim</v>
      </c>
      <c r="N30" s="16">
        <v>9.0000000000000011E-3</v>
      </c>
      <c r="O30" s="16">
        <v>8.6E-3</v>
      </c>
      <c r="P30" s="16">
        <v>8.1000000000000013E-3</v>
      </c>
      <c r="Q30" s="15">
        <v>281742027.77999997</v>
      </c>
      <c r="R30" s="15">
        <v>267654926.38999999</v>
      </c>
      <c r="S30" s="15">
        <v>253567825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239715724.81999999</v>
      </c>
      <c r="J31" s="15">
        <v>32325883418.68</v>
      </c>
      <c r="K31" s="10">
        <f t="shared" si="1"/>
        <v>7.4155970222139897E-3</v>
      </c>
      <c r="L31" s="16">
        <v>7.4000000000000003E-3</v>
      </c>
      <c r="M31" s="9" t="str">
        <f t="shared" si="2"/>
        <v>Sim</v>
      </c>
      <c r="N31" s="16">
        <v>9.0000000000000011E-3</v>
      </c>
      <c r="O31" s="16">
        <v>8.6E-3</v>
      </c>
      <c r="P31" s="16">
        <v>8.1000000000000013E-3</v>
      </c>
      <c r="Q31" s="15">
        <v>290932950.76999998</v>
      </c>
      <c r="R31" s="15">
        <v>276386303.23000002</v>
      </c>
      <c r="S31" s="15">
        <v>261839655.69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252291939.19999999</v>
      </c>
      <c r="J32" s="15">
        <v>33721352132.52</v>
      </c>
      <c r="K32" s="10">
        <f t="shared" si="1"/>
        <v>7.4816673485846421E-3</v>
      </c>
      <c r="L32" s="16">
        <v>7.4999999999999997E-3</v>
      </c>
      <c r="M32" s="9" t="str">
        <f t="shared" si="2"/>
        <v>Sim</v>
      </c>
      <c r="N32" s="16">
        <v>9.0000000000000011E-3</v>
      </c>
      <c r="O32" s="16">
        <v>8.6E-3</v>
      </c>
      <c r="P32" s="16">
        <v>8.1000000000000013E-3</v>
      </c>
      <c r="Q32" s="15">
        <v>303492169.19</v>
      </c>
      <c r="R32" s="15">
        <v>288317560.73000002</v>
      </c>
      <c r="S32" s="15">
        <v>273142952.26999998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258385847.90000001</v>
      </c>
      <c r="J33" s="15">
        <v>35589294560.330002</v>
      </c>
      <c r="K33" s="10">
        <f t="shared" si="1"/>
        <v>7.2602126873290889E-3</v>
      </c>
      <c r="L33" s="16">
        <v>7.3000000000000001E-3</v>
      </c>
      <c r="M33" s="9" t="str">
        <f t="shared" si="2"/>
        <v>Sim</v>
      </c>
      <c r="N33" s="16">
        <v>9.0000000000000011E-3</v>
      </c>
      <c r="O33" s="16">
        <v>8.6E-3</v>
      </c>
      <c r="P33" s="16">
        <v>8.1000000000000013E-3</v>
      </c>
      <c r="Q33" s="15">
        <v>320303651.04000002</v>
      </c>
      <c r="R33" s="15">
        <v>304288468.49000001</v>
      </c>
      <c r="S33" s="15">
        <v>288273285.94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191120821.44</v>
      </c>
      <c r="J34" s="15">
        <v>26486633151.779999</v>
      </c>
      <c r="K34" s="10">
        <f t="shared" si="1"/>
        <v>7.215746159385153E-3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202586331.08000001</v>
      </c>
      <c r="J35" s="15">
        <v>27863493181.43</v>
      </c>
      <c r="K35" s="10">
        <f t="shared" si="1"/>
        <v>7.2706724085484153E-3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214511790.50999999</v>
      </c>
      <c r="J36" s="15">
        <v>29521762934.73</v>
      </c>
      <c r="K36" s="10">
        <f t="shared" si="1"/>
        <v>7.2662256310460369E-3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231596625.38</v>
      </c>
      <c r="J37" s="15">
        <v>28527203881.439999</v>
      </c>
      <c r="K37" s="10">
        <f t="shared" si="1"/>
        <v>8.1184481431311392E-3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247656478.90000001</v>
      </c>
      <c r="J38" s="15">
        <v>31304669753.330002</v>
      </c>
      <c r="K38" s="10">
        <f t="shared" si="1"/>
        <v>7.9111672747691521E-3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276084429.81</v>
      </c>
      <c r="J39" s="15">
        <v>32325883418.68</v>
      </c>
      <c r="K39" s="10">
        <f t="shared" si="1"/>
        <v>8.5406615570004941E-3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301281785.80000001</v>
      </c>
      <c r="J40" s="15">
        <v>33721352132.52</v>
      </c>
      <c r="K40" s="10">
        <f t="shared" si="1"/>
        <v>8.9344515195003589E-3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323990529.70999998</v>
      </c>
      <c r="J41" s="15">
        <v>35589294560.330002</v>
      </c>
      <c r="K41" s="10">
        <f t="shared" si="1"/>
        <v>9.1035951600777036E-3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495601166.32999998</v>
      </c>
      <c r="J42" s="15">
        <v>26486333151.779999</v>
      </c>
      <c r="K42" s="10">
        <f t="shared" si="1"/>
        <v>1.8711580930812741E-2</v>
      </c>
      <c r="L42" s="16">
        <v>1.8700000000000001E-2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529726663.02999997</v>
      </c>
      <c r="R42" s="15">
        <v>503240329.88</v>
      </c>
      <c r="S42" s="15">
        <v>476753996.73000002</v>
      </c>
      <c r="T42" s="9" t="str">
        <f t="shared" si="3"/>
        <v>Acima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511930156.45999998</v>
      </c>
      <c r="J43" s="15">
        <v>27863493181.43</v>
      </c>
      <c r="K43" s="10">
        <f t="shared" si="1"/>
        <v>1.8372791707293279E-2</v>
      </c>
      <c r="L43" s="16">
        <v>1.84E-2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557269863.62</v>
      </c>
      <c r="R43" s="15">
        <v>529406370.44</v>
      </c>
      <c r="S43" s="15">
        <v>501542877.25999999</v>
      </c>
      <c r="T43" s="9" t="str">
        <f t="shared" si="3"/>
        <v>Acima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546582521.99000001</v>
      </c>
      <c r="J44" s="15">
        <v>29521762934.73</v>
      </c>
      <c r="K44" s="10">
        <f t="shared" si="1"/>
        <v>1.8514562399218688E-2</v>
      </c>
      <c r="L44" s="16">
        <v>1.8499999999999999E-2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590435258.69000006</v>
      </c>
      <c r="R44" s="15">
        <v>560913495.75999999</v>
      </c>
      <c r="S44" s="15">
        <v>531391732.81999999</v>
      </c>
      <c r="T44" s="9" t="str">
        <f t="shared" si="3"/>
        <v>Acima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573636115.99000001</v>
      </c>
      <c r="J45" s="15">
        <v>28527203881.439999</v>
      </c>
      <c r="K45" s="10">
        <f t="shared" si="1"/>
        <v>2.0108389114266181E-2</v>
      </c>
      <c r="L45" s="16">
        <v>2.01E-2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570544077.62</v>
      </c>
      <c r="R45" s="15">
        <v>542016873.74000001</v>
      </c>
      <c r="S45" s="15">
        <v>513489669.86000001</v>
      </c>
      <c r="T45" s="9" t="str">
        <f t="shared" si="3"/>
        <v>Acima do limite máximo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599692163.88999999</v>
      </c>
      <c r="J46" s="15">
        <v>31304669753.330002</v>
      </c>
      <c r="K46" s="10">
        <f t="shared" si="1"/>
        <v>1.9156636010389739E-2</v>
      </c>
      <c r="L46" s="16">
        <v>1.9199999999999998E-2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626196808.37</v>
      </c>
      <c r="R46" s="15">
        <v>594886967.95000005</v>
      </c>
      <c r="S46" s="15">
        <v>563577127.52999997</v>
      </c>
      <c r="T46" s="9" t="str">
        <f t="shared" si="3"/>
        <v>Acima do limite prudencial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615906871.32000005</v>
      </c>
      <c r="J47" s="15">
        <v>32325883418.68</v>
      </c>
      <c r="K47" s="10">
        <f t="shared" si="1"/>
        <v>1.905305613284768E-2</v>
      </c>
      <c r="L47" s="16">
        <v>1.9099999999999999E-2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646517668.37</v>
      </c>
      <c r="R47" s="15">
        <v>614191784.95000005</v>
      </c>
      <c r="S47" s="15">
        <v>581865901.52999997</v>
      </c>
      <c r="T47" s="9" t="str">
        <f t="shared" si="3"/>
        <v>Acima do limite prudencial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627197497.48000002</v>
      </c>
      <c r="J48" s="15">
        <v>33721352132.52</v>
      </c>
      <c r="K48" s="10">
        <f t="shared" si="1"/>
        <v>1.8599417218360795E-2</v>
      </c>
      <c r="L48" s="16">
        <v>1.8599999999999998E-2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674427042.64999998</v>
      </c>
      <c r="R48" s="15">
        <v>640705690.51999998</v>
      </c>
      <c r="S48" s="15">
        <v>606984338.38999999</v>
      </c>
      <c r="T48" s="9" t="str">
        <f t="shared" si="3"/>
        <v>Acima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635964632.19000006</v>
      </c>
      <c r="J49" s="15">
        <v>35589294560.330002</v>
      </c>
      <c r="K49" s="10">
        <f t="shared" si="1"/>
        <v>1.7869548695659876E-2</v>
      </c>
      <c r="L49" s="16">
        <v>1.7899999999999999E-2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711785891.21000004</v>
      </c>
      <c r="R49" s="15">
        <v>676196596.64999998</v>
      </c>
      <c r="S49" s="15">
        <v>640607302.09000003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2026-10-15T10:08:06Z</dcterms:created>
  <dcterms:modified xsi:type="dcterms:W3CDTF">2026-10-15T10:08:31Z</dcterms:modified>
</cp:coreProperties>
</file>