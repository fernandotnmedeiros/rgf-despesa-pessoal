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E887F887BF0EBDA383E59873A4C8551F37051273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" l="1"/>
  <c r="A49" i="2"/>
  <c r="K48" i="2"/>
  <c r="A48" i="2"/>
  <c r="K47" i="2"/>
  <c r="A47" i="2"/>
  <c r="K46" i="2"/>
  <c r="A46" i="2"/>
  <c r="K45" i="2"/>
  <c r="A45" i="2"/>
  <c r="K44" i="2"/>
  <c r="A44" i="2"/>
  <c r="K43" i="2"/>
  <c r="A43" i="2"/>
  <c r="K42" i="2"/>
  <c r="A42" i="2"/>
  <c r="M41" i="2"/>
  <c r="K41" i="2"/>
  <c r="T41" i="2" s="1"/>
  <c r="A41" i="2"/>
  <c r="M40" i="2"/>
  <c r="K40" i="2"/>
  <c r="T40" i="2" s="1"/>
  <c r="A40" i="2"/>
  <c r="M39" i="2"/>
  <c r="K39" i="2"/>
  <c r="T39" i="2" s="1"/>
  <c r="A39" i="2"/>
  <c r="M38" i="2"/>
  <c r="K38" i="2"/>
  <c r="T38" i="2" s="1"/>
  <c r="A38" i="2"/>
  <c r="M37" i="2"/>
  <c r="K37" i="2"/>
  <c r="T37" i="2" s="1"/>
  <c r="A37" i="2"/>
  <c r="M36" i="2"/>
  <c r="K36" i="2"/>
  <c r="T36" i="2" s="1"/>
  <c r="A36" i="2"/>
  <c r="M35" i="2"/>
  <c r="K35" i="2"/>
  <c r="T35" i="2" s="1"/>
  <c r="A35" i="2"/>
  <c r="M34" i="2"/>
  <c r="K34" i="2"/>
  <c r="T34" i="2" s="1"/>
  <c r="A34" i="2"/>
  <c r="K33" i="2"/>
  <c r="A33" i="2"/>
  <c r="K32" i="2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I20" i="1"/>
  <c r="C20" i="1"/>
  <c r="J19" i="1"/>
  <c r="I19" i="1"/>
  <c r="H19" i="1"/>
  <c r="G19" i="1"/>
  <c r="F19" i="1"/>
  <c r="E19" i="1"/>
  <c r="D19" i="1"/>
  <c r="C19" i="1"/>
  <c r="J18" i="1"/>
  <c r="I18" i="1"/>
  <c r="H18" i="1"/>
  <c r="G18" i="1"/>
  <c r="F18" i="1"/>
  <c r="E18" i="1"/>
  <c r="D18" i="1"/>
  <c r="C18" i="1"/>
  <c r="J17" i="1"/>
  <c r="I17" i="1"/>
  <c r="H17" i="1"/>
  <c r="G17" i="1"/>
  <c r="F17" i="1"/>
  <c r="E17" i="1"/>
  <c r="D17" i="1"/>
  <c r="F16" i="1"/>
  <c r="E16" i="1"/>
  <c r="D16" i="1"/>
  <c r="C16" i="1"/>
  <c r="J12" i="1"/>
  <c r="I12" i="1"/>
  <c r="G12" i="1"/>
  <c r="F12" i="1"/>
  <c r="E12" i="1"/>
  <c r="D12" i="1"/>
  <c r="C12" i="1"/>
  <c r="J11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M43" i="2" l="1"/>
  <c r="T43" i="2"/>
  <c r="H11" i="1"/>
  <c r="K11" i="1"/>
  <c r="F21" i="1"/>
  <c r="I11" i="1"/>
  <c r="G11" i="1"/>
  <c r="F11" i="1"/>
  <c r="E11" i="1"/>
  <c r="M30" i="2"/>
  <c r="T30" i="2"/>
  <c r="T24" i="2"/>
  <c r="M24" i="2"/>
  <c r="T11" i="2"/>
  <c r="M11" i="2"/>
  <c r="H20" i="1"/>
  <c r="G20" i="1"/>
  <c r="F20" i="1"/>
  <c r="E20" i="1"/>
  <c r="D20" i="1"/>
  <c r="H12" i="1"/>
  <c r="T49" i="2"/>
  <c r="L11" i="1" s="1"/>
  <c r="M49" i="2"/>
  <c r="T48" i="2"/>
  <c r="M48" i="2"/>
  <c r="T47" i="2"/>
  <c r="M47" i="2"/>
  <c r="T46" i="2"/>
  <c r="M46" i="2"/>
  <c r="T45" i="2"/>
  <c r="M45" i="2"/>
  <c r="T44" i="2"/>
  <c r="M44" i="2"/>
  <c r="T42" i="2"/>
  <c r="M42" i="2"/>
  <c r="T33" i="2"/>
  <c r="L9" i="1" s="1"/>
  <c r="M33" i="2"/>
  <c r="T32" i="2"/>
  <c r="M32" i="2"/>
  <c r="T31" i="2"/>
  <c r="M31" i="2"/>
  <c r="I10" i="1"/>
  <c r="H10" i="1"/>
  <c r="H21" i="1"/>
  <c r="D21" i="1"/>
  <c r="C21" i="1"/>
  <c r="G21" i="1"/>
  <c r="I21" i="1"/>
  <c r="G10" i="1"/>
  <c r="J21" i="1"/>
  <c r="E21" i="1"/>
  <c r="J20" i="1"/>
  <c r="J10" i="1"/>
  <c r="T29" i="2"/>
  <c r="M29" i="2"/>
  <c r="M28" i="2"/>
  <c r="T28" i="2"/>
  <c r="T27" i="2"/>
  <c r="M27" i="2"/>
  <c r="T26" i="2"/>
  <c r="M26" i="2"/>
  <c r="T25" i="2"/>
  <c r="L8" i="1" s="1"/>
  <c r="M25" i="2"/>
  <c r="T23" i="2"/>
  <c r="M23" i="2"/>
  <c r="T22" i="2"/>
  <c r="M22" i="2"/>
  <c r="T21" i="2"/>
  <c r="M21" i="2"/>
  <c r="T20" i="2"/>
  <c r="M20" i="2"/>
  <c r="T19" i="2"/>
  <c r="M19" i="2"/>
  <c r="M18" i="2"/>
  <c r="T18" i="2"/>
  <c r="T17" i="2"/>
  <c r="L7" i="1" s="1"/>
  <c r="M17" i="2"/>
  <c r="T16" i="2"/>
  <c r="M16" i="2"/>
  <c r="T15" i="2"/>
  <c r="M15" i="2"/>
  <c r="M14" i="2"/>
  <c r="T14" i="2"/>
  <c r="T13" i="2"/>
  <c r="M13" i="2"/>
  <c r="T12" i="2"/>
  <c r="M12" i="2"/>
  <c r="T10" i="2"/>
  <c r="M10" i="2"/>
  <c r="T9" i="2"/>
  <c r="L6" i="1" s="1"/>
  <c r="M9" i="2"/>
  <c r="T8" i="2"/>
  <c r="M8" i="2"/>
  <c r="T7" i="2"/>
  <c r="M7" i="2"/>
  <c r="T6" i="2"/>
  <c r="M6" i="2"/>
  <c r="T5" i="2"/>
  <c r="M5" i="2"/>
  <c r="G16" i="1"/>
  <c r="K10" i="1"/>
  <c r="M4" i="2"/>
  <c r="T4" i="2"/>
  <c r="T3" i="2"/>
  <c r="M3" i="2"/>
  <c r="T2" i="2"/>
  <c r="M2" i="2"/>
  <c r="I16" i="1"/>
  <c r="H16" i="1"/>
  <c r="D11" i="1"/>
  <c r="C11" i="1"/>
  <c r="L10" i="1"/>
  <c r="J16" i="1"/>
  <c r="C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<sst xmlns="http://schemas.openxmlformats.org/spreadsheetml/2006/main" count="427" uniqueCount="83">
  <si>
    <t>Despesa total com pessoal - Maranhão (MA)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</si>
  <si>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</si>
  <si>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</si>
  <si>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</si>
  <si>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</si>
  <si>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</si>
  <si>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</si>
  <si>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</si>
  <si>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</si>
  <si>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</si>
  <si>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</si>
  <si>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</si>
  <si>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</si>
  <si>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</si>
  <si>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</si>
  <si>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</si>
  <si>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</si>
  <si>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</si>
  <si>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</si>
  <si>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</si>
  <si>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</si>
  <si>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Contas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</si>
  <si>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</si>
  <si>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</si>
  <si>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</si>
  <si>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</si>
  <si>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</si>
  <si>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</si>
  <si>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</si>
  <si>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</si>
  <si>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</si>
  <si>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</si>
  <si>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</si>
  <si>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</si>
  <si>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</si>
  <si>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</si>
  <si>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</si>
  <si>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</si>
  <si>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</si>
  <si>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</si>
  <si>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</si>
  <si>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</si>
  <si>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</si>
  <si>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</si>
  <si>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</si>
  <si>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</si>
  <si>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</si>
  <si>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do Maranhão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</si>
  <si>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</si>
  <si>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</si>
  <si>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</si>
  <si>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</si>
  <si>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</si>
  <si>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</si>
  <si>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</si>
  <si>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</si>
  <si>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</si>
  <si>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</si>
  <si>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</si>
  <si>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</si>
  <si>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do Maranhão</t>
  </si>
  <si>
    <t>Tribunal de Justiça do Estado do Maranhão</t>
  </si>
  <si>
    <t>Tribunal de Contas do Estado do Maranhão</t>
  </si>
  <si>
    <t>Defensoria Pública do Estado do Maranhão</t>
  </si>
  <si>
    <t>Calculado (despesa líquida / RCL Ajustada do Executivo)</t>
  </si>
  <si>
    <t>Ministério Público do Estado do Maranhão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</si>
  <si>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</si>
  <si>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</si>
  <si>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</si>
  <si>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</si>
  <si>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Maranhão (MA).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</si>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</sst>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IFERROR(IF(INDEX(Dados!$K$2:$K$49,MATCH($A6&amp;"|"&amp;C$5,Dados!$A$2:$A$49,0))="","",INDEX(Dados!$K$2:$K$49,MATCH($A6&amp;"|"&amp;C$5,Dados!$A$2:$A$49,0))),"")</f>
        <v>0.3256749910684778</v>
      </c>
      <c r="D6" s="7">
        <f>IFERROR(IF(INDEX(Dados!$K$2:$K$49,MATCH($A6&amp;"|"&amp;D$5,Dados!$A$2:$A$49,0))="","",INDEX(Dados!$K$2:$K$49,MATCH($A6&amp;"|"&amp;D$5,Dados!$A$2:$A$49,0))),"")</f>
        <v>0.32612673136389708</v>
      </c>
      <c r="E6" s="7">
        <f>IFERROR(IF(INDEX(Dados!$K$2:$K$49,MATCH($A6&amp;"|"&amp;E$5,Dados!$A$2:$A$49,0))="","",INDEX(Dados!$K$2:$K$49,MATCH($A6&amp;"|"&amp;E$5,Dados!$A$2:$A$49,0))),"")</f>
        <v>0.3103896537879236</v>
      </c>
      <c r="F6" s="7">
        <f>IFERROR(IF(INDEX(Dados!$K$2:$K$49,MATCH($A6&amp;"|"&amp;F$5,Dados!$A$2:$A$49,0))="","",INDEX(Dados!$K$2:$K$49,MATCH($A6&amp;"|"&amp;F$5,Dados!$A$2:$A$49,0))),"")</f>
        <v>0.33185192346275383</v>
      </c>
      <c r="G6" s="7">
        <f>IFERROR(IF(INDEX(Dados!$K$2:$K$49,MATCH($A6&amp;"|"&amp;G$5,Dados!$A$2:$A$49,0))="","",INDEX(Dados!$K$2:$K$49,MATCH($A6&amp;"|"&amp;G$5,Dados!$A$2:$A$49,0))),"")</f>
        <v>0.30059665506706112</v>
      </c>
      <c r="H6" s="7">
        <f>IFERROR(IF(INDEX(Dados!$K$2:$K$49,MATCH($A6&amp;"|"&amp;H$5,Dados!$A$2:$A$49,0))="","",INDEX(Dados!$K$2:$K$49,MATCH($A6&amp;"|"&amp;H$5,Dados!$A$2:$A$49,0))),"")</f>
        <v>0.30136683005174941</v>
      </c>
      <c r="I6" s="7">
        <f>IFERROR(IF(INDEX(Dados!$K$2:$K$49,MATCH($A6&amp;"|"&amp;I$5,Dados!$A$2:$A$49,0))="","",INDEX(Dados!$K$2:$K$49,MATCH($A6&amp;"|"&amp;I$5,Dados!$A$2:$A$49,0))),"")</f>
        <v>0.29861460803640355</v>
      </c>
      <c r="J6" s="7">
        <f>IFERROR(IF(INDEX(Dados!$K$2:$K$49,MATCH($A6&amp;"|"&amp;J$5,Dados!$A$2:$A$49,0))="","",INDEX(Dados!$K$2:$K$49,MATCH($A6&amp;"|"&amp;J$5,Dados!$A$2:$A$49,0))),"")</f>
        <v>0.29563618168025974</v>
      </c>
      <c r="K6" s="7">
        <f>IFERROR(IF(INDEX(Dados!$N$2:$N$49,MATCH($A6&amp;"|"&amp;J$5,Dados!$A$2:$A$49,0))=0,"—",INDEX(Dados!$N$2:$N$49,MATCH($A6&amp;"|"&amp;J$5,Dados!$A$2:$A$49,0))),"—")</f>
        <v>0.49</v>
      </c>
      <c r="L6" s="6" t="str">
        <f>IFERROR(IF(INDEX(Dados!$T$2:$T$49,MATCH($A6&amp;"|"&amp;J$5,Dados!$A$2:$A$49,0))="","—",INDEX(Dados!$T$2:$T$49,MATCH($A6&amp;"|"&amp;J$5,Dados!$A$2:$A$49,0))),"—")</f>
        <v>Abaixo do limite de alerta</v>
      </c>
    </row>
    <row r="7" spans="1:12" x14ac:dyDescent="0.25">
      <c r="A7" s="8" t="s">
        <v>17</v>
      </c>
      <c r="B7" s="9" t="s">
        <v>18</v>
      </c>
      <c r="C7" s="10">
        <f>IFERROR(IF(INDEX(Dados!$K$2:$K$49,MATCH($A7&amp;"|"&amp;C$5,Dados!$A$2:$A$49,0))="","",INDEX(Dados!$K$2:$K$49,MATCH($A7&amp;"|"&amp;C$5,Dados!$A$2:$A$49,0))),"")</f>
        <v>1.9461481169029189E-2</v>
      </c>
      <c r="D7" s="10">
        <f>IFERROR(IF(INDEX(Dados!$K$2:$K$49,MATCH($A7&amp;"|"&amp;D$5,Dados!$A$2:$A$49,0))="","",INDEX(Dados!$K$2:$K$49,MATCH($A7&amp;"|"&amp;D$5,Dados!$A$2:$A$49,0))),"")</f>
        <v>1.8856783464256035E-2</v>
      </c>
      <c r="E7" s="10">
        <f>IFERROR(IF(INDEX(Dados!$K$2:$K$49,MATCH($A7&amp;"|"&amp;E$5,Dados!$A$2:$A$49,0))="","",INDEX(Dados!$K$2:$K$49,MATCH($A7&amp;"|"&amp;E$5,Dados!$A$2:$A$49,0))),"")</f>
        <v>1.7676251604408888E-2</v>
      </c>
      <c r="F7" s="10">
        <f>IFERROR(IF(INDEX(Dados!$K$2:$K$49,MATCH($A7&amp;"|"&amp;F$5,Dados!$A$2:$A$49,0))="","",INDEX(Dados!$K$2:$K$49,MATCH($A7&amp;"|"&amp;F$5,Dados!$A$2:$A$49,0))),"")</f>
        <v>1.8337059969636065E-2</v>
      </c>
      <c r="G7" s="10">
        <f>IFERROR(IF(INDEX(Dados!$K$2:$K$49,MATCH($A7&amp;"|"&amp;G$5,Dados!$A$2:$A$49,0))="","",INDEX(Dados!$K$2:$K$49,MATCH($A7&amp;"|"&amp;G$5,Dados!$A$2:$A$49,0))),"")</f>
        <v>1.6930173317468794E-2</v>
      </c>
      <c r="H7" s="10">
        <f>IFERROR(IF(INDEX(Dados!$K$2:$K$49,MATCH($A7&amp;"|"&amp;H$5,Dados!$A$2:$A$49,0))="","",INDEX(Dados!$K$2:$K$49,MATCH($A7&amp;"|"&amp;H$5,Dados!$A$2:$A$49,0))),"")</f>
        <v>1.6621258351736643E-2</v>
      </c>
      <c r="I7" s="10">
        <f>IFERROR(IF(INDEX(Dados!$K$2:$K$49,MATCH($A7&amp;"|"&amp;I$5,Dados!$A$2:$A$49,0))="","",INDEX(Dados!$K$2:$K$49,MATCH($A7&amp;"|"&amp;I$5,Dados!$A$2:$A$49,0))),"")</f>
        <v>1.618520751259132E-2</v>
      </c>
      <c r="J7" s="10">
        <f>IFERROR(IF(INDEX(Dados!$K$2:$K$49,MATCH($A7&amp;"|"&amp;J$5,Dados!$A$2:$A$49,0))="","",INDEX(Dados!$K$2:$K$49,MATCH($A7&amp;"|"&amp;J$5,Dados!$A$2:$A$49,0))),"")</f>
        <v>1.5532663084763157E-2</v>
      </c>
      <c r="K7" s="10">
        <f>IFERROR(IF(INDEX(Dados!$N$2:$N$49,MATCH($A7&amp;"|"&amp;J$5,Dados!$A$2:$A$49,0))=0,"—",INDEX(Dados!$N$2:$N$49,MATCH($A7&amp;"|"&amp;J$5,Dados!$A$2:$A$49,0))),"—")</f>
        <v>2.1000000000000001E-2</v>
      </c>
      <c r="L7" s="9" t="str">
        <f>IFERROR(IF(INDEX(Dados!$T$2:$T$49,MATCH($A7&amp;"|"&amp;J$5,Dados!$A$2:$A$49,0))="","—",INDEX(Dados!$T$2:$T$49,MATCH($A7&amp;"|"&amp;J$5,Dados!$A$2:$A$49,0))),"—")</f>
        <v>Abaixo do limite de alerta</v>
      </c>
    </row>
    <row r="8" spans="1:12" x14ac:dyDescent="0.25">
      <c r="A8" s="8" t="s">
        <v>19</v>
      </c>
      <c r="B8" s="9" t="s">
        <v>20</v>
      </c>
      <c r="C8" s="10">
        <f>IFERROR(IF(INDEX(Dados!$K$2:$K$49,MATCH($A8&amp;"|"&amp;C$5,Dados!$A$2:$A$49,0))="","",INDEX(Dados!$K$2:$K$49,MATCH($A8&amp;"|"&amp;C$5,Dados!$A$2:$A$49,0))),"")</f>
        <v>4.6914609740778407E-2</v>
      </c>
      <c r="D8" s="10">
        <f>IFERROR(IF(INDEX(Dados!$K$2:$K$49,MATCH($A8&amp;"|"&amp;D$5,Dados!$A$2:$A$49,0))="","",INDEX(Dados!$K$2:$K$49,MATCH($A8&amp;"|"&amp;D$5,Dados!$A$2:$A$49,0))),"")</f>
        <v>4.6566884528130417E-2</v>
      </c>
      <c r="E8" s="10">
        <f>IFERROR(IF(INDEX(Dados!$K$2:$K$49,MATCH($A8&amp;"|"&amp;E$5,Dados!$A$2:$A$49,0))="","",INDEX(Dados!$K$2:$K$49,MATCH($A8&amp;"|"&amp;E$5,Dados!$A$2:$A$49,0))),"")</f>
        <v>4.5422503105411648E-2</v>
      </c>
      <c r="F8" s="10">
        <f>IFERROR(IF(INDEX(Dados!$K$2:$K$49,MATCH($A8&amp;"|"&amp;F$5,Dados!$A$2:$A$49,0))="","",INDEX(Dados!$K$2:$K$49,MATCH($A8&amp;"|"&amp;F$5,Dados!$A$2:$A$49,0))),"")</f>
        <v>5.0025453624933512E-2</v>
      </c>
      <c r="G8" s="10">
        <f>IFERROR(IF(INDEX(Dados!$K$2:$K$49,MATCH($A8&amp;"|"&amp;G$5,Dados!$A$2:$A$49,0))="","",INDEX(Dados!$K$2:$K$49,MATCH($A8&amp;"|"&amp;G$5,Dados!$A$2:$A$49,0))),"")</f>
        <v>4.6271269797884276E-2</v>
      </c>
      <c r="H8" s="10">
        <f>IFERROR(IF(INDEX(Dados!$K$2:$K$49,MATCH($A8&amp;"|"&amp;H$5,Dados!$A$2:$A$49,0))="","",INDEX(Dados!$K$2:$K$49,MATCH($A8&amp;"|"&amp;H$5,Dados!$A$2:$A$49,0))),"")</f>
        <v>4.8777198605463069E-2</v>
      </c>
      <c r="I8" s="10">
        <f>IFERROR(IF(INDEX(Dados!$K$2:$K$49,MATCH($A8&amp;"|"&amp;I$5,Dados!$A$2:$A$49,0))="","",INDEX(Dados!$K$2:$K$49,MATCH($A8&amp;"|"&amp;I$5,Dados!$A$2:$A$49,0))),"")</f>
        <v>4.7779753909873691E-2</v>
      </c>
      <c r="J8" s="10">
        <f>IFERROR(IF(INDEX(Dados!$K$2:$K$49,MATCH($A8&amp;"|"&amp;J$5,Dados!$A$2:$A$49,0))="","",INDEX(Dados!$K$2:$K$49,MATCH($A8&amp;"|"&amp;J$5,Dados!$A$2:$A$49,0))),"")</f>
        <v>4.6712876994844957E-2</v>
      </c>
      <c r="K8" s="10">
        <f>IFERROR(IF(INDEX(Dados!$N$2:$N$49,MATCH($A8&amp;"|"&amp;J$5,Dados!$A$2:$A$49,0))=0,"—",INDEX(Dados!$N$2:$N$49,MATCH($A8&amp;"|"&amp;J$5,Dados!$A$2:$A$49,0))),"—")</f>
        <v>0.06</v>
      </c>
      <c r="L8" s="9" t="str">
        <f>IFERROR(IF(INDEX(Dados!$T$2:$T$49,MATCH($A8&amp;"|"&amp;J$5,Dados!$A$2:$A$49,0))="","—",INDEX(Dados!$T$2:$T$49,MATCH($A8&amp;"|"&amp;J$5,Dados!$A$2:$A$49,0))),"—")</f>
        <v>Abaixo do limite de alerta</v>
      </c>
    </row>
    <row r="9" spans="1:12" x14ac:dyDescent="0.25">
      <c r="A9" s="8" t="s">
        <v>21</v>
      </c>
      <c r="B9" s="9" t="s">
        <v>21</v>
      </c>
      <c r="C9" s="10">
        <f>IFERROR(IF(INDEX(Dados!$K$2:$K$49,MATCH($A9&amp;"|"&amp;C$5,Dados!$A$2:$A$49,0))="","",INDEX(Dados!$K$2:$K$49,MATCH($A9&amp;"|"&amp;C$5,Dados!$A$2:$A$49,0))),"")</f>
        <v>8.1122855889004079E-3</v>
      </c>
      <c r="D9" s="10">
        <f>IFERROR(IF(INDEX(Dados!$K$2:$K$49,MATCH($A9&amp;"|"&amp;D$5,Dados!$A$2:$A$49,0))="","",INDEX(Dados!$K$2:$K$49,MATCH($A9&amp;"|"&amp;D$5,Dados!$A$2:$A$49,0))),"")</f>
        <v>7.6461628620200879E-3</v>
      </c>
      <c r="E9" s="10">
        <f>IFERROR(IF(INDEX(Dados!$K$2:$K$49,MATCH($A9&amp;"|"&amp;E$5,Dados!$A$2:$A$49,0))="","",INDEX(Dados!$K$2:$K$49,MATCH($A9&amp;"|"&amp;E$5,Dados!$A$2:$A$49,0))),"")</f>
        <v>7.468835275098268E-3</v>
      </c>
      <c r="F9" s="10">
        <f>IFERROR(IF(INDEX(Dados!$K$2:$K$49,MATCH($A9&amp;"|"&amp;F$5,Dados!$A$2:$A$49,0))="","",INDEX(Dados!$K$2:$K$49,MATCH($A9&amp;"|"&amp;F$5,Dados!$A$2:$A$49,0))),"")</f>
        <v>7.7794026537730794E-3</v>
      </c>
      <c r="G9" s="10">
        <f>IFERROR(IF(INDEX(Dados!$K$2:$K$49,MATCH($A9&amp;"|"&amp;G$5,Dados!$A$2:$A$49,0))="","",INDEX(Dados!$K$2:$K$49,MATCH($A9&amp;"|"&amp;G$5,Dados!$A$2:$A$49,0))),"")</f>
        <v>7.523868447931654E-3</v>
      </c>
      <c r="H9" s="10">
        <f>IFERROR(IF(INDEX(Dados!$K$2:$K$49,MATCH($A9&amp;"|"&amp;H$5,Dados!$A$2:$A$49,0))="","",INDEX(Dados!$K$2:$K$49,MATCH($A9&amp;"|"&amp;H$5,Dados!$A$2:$A$49,0))),"")</f>
        <v>7.4155970222139897E-3</v>
      </c>
      <c r="I9" s="10">
        <f>IFERROR(IF(INDEX(Dados!$K$2:$K$49,MATCH($A9&amp;"|"&amp;I$5,Dados!$A$2:$A$49,0))="","",INDEX(Dados!$K$2:$K$49,MATCH($A9&amp;"|"&amp;I$5,Dados!$A$2:$A$49,0))),"")</f>
        <v>7.4816673485846421E-3</v>
      </c>
      <c r="J9" s="10">
        <f>IFERROR(IF(INDEX(Dados!$K$2:$K$49,MATCH($A9&amp;"|"&amp;J$5,Dados!$A$2:$A$49,0))="","",INDEX(Dados!$K$2:$K$49,MATCH($A9&amp;"|"&amp;J$5,Dados!$A$2:$A$49,0))),"")</f>
        <v>7.2602126873290889E-3</v>
      </c>
      <c r="K9" s="10">
        <f>IFERROR(IF(INDEX(Dados!$N$2:$N$49,MATCH($A9&amp;"|"&amp;J$5,Dados!$A$2:$A$49,0))=0,"—",INDEX(Dados!$N$2:$N$49,MATCH($A9&amp;"|"&amp;J$5,Dados!$A$2:$A$49,0))),"—")</f>
        <v>9.0000000000000011E-3</v>
      </c>
      <c r="L9" s="9" t="str">
        <f>IFERROR(IF(INDEX(Dados!$T$2:$T$49,MATCH($A9&amp;"|"&amp;J$5,Dados!$A$2:$A$49,0))="","—",INDEX(Dados!$T$2:$T$49,MATCH($A9&amp;"|"&amp;J$5,Dados!$A$2:$A$49,0))),"—")</f>
        <v>Abaixo do limite de alerta</v>
      </c>
    </row>
    <row r="10" spans="1:12" x14ac:dyDescent="0.25">
      <c r="A10" s="8" t="s">
        <v>22</v>
      </c>
      <c r="B10" s="9" t="s">
        <v>22</v>
      </c>
      <c r="C10" s="10">
        <f>IFERROR(IF(INDEX(Dados!$K$2:$K$49,MATCH($A10&amp;"|"&amp;C$5,Dados!$A$2:$A$49,0))="","",INDEX(Dados!$K$2:$K$49,MATCH($A10&amp;"|"&amp;C$5,Dados!$A$2:$A$49,0))),"")</f>
        <v>7.215746159385153E-3</v>
      </c>
      <c r="D10" s="10">
        <f>IFERROR(IF(INDEX(Dados!$K$2:$K$49,MATCH($A10&amp;"|"&amp;D$5,Dados!$A$2:$A$49,0))="","",INDEX(Dados!$K$2:$K$49,MATCH($A10&amp;"|"&amp;D$5,Dados!$A$2:$A$49,0))),"")</f>
        <v>7.2706724085484153E-3</v>
      </c>
      <c r="E10" s="10">
        <f>IFERROR(IF(INDEX(Dados!$K$2:$K$49,MATCH($A10&amp;"|"&amp;E$5,Dados!$A$2:$A$49,0))="","",INDEX(Dados!$K$2:$K$49,MATCH($A10&amp;"|"&amp;E$5,Dados!$A$2:$A$49,0))),"")</f>
        <v>7.2662256310460369E-3</v>
      </c>
      <c r="F10" s="10">
        <f>IFERROR(IF(INDEX(Dados!$K$2:$K$49,MATCH($A10&amp;"|"&amp;F$5,Dados!$A$2:$A$49,0))="","",INDEX(Dados!$K$2:$K$49,MATCH($A10&amp;"|"&amp;F$5,Dados!$A$2:$A$49,0))),"")</f>
        <v>8.1184481431311392E-3</v>
      </c>
      <c r="G10" s="10">
        <f>IFERROR(IF(INDEX(Dados!$K$2:$K$49,MATCH($A10&amp;"|"&amp;G$5,Dados!$A$2:$A$49,0))="","",INDEX(Dados!$K$2:$K$49,MATCH($A10&amp;"|"&amp;G$5,Dados!$A$2:$A$49,0))),"")</f>
        <v>7.9111672747691521E-3</v>
      </c>
      <c r="H10" s="10">
        <f>IFERROR(IF(INDEX(Dados!$K$2:$K$49,MATCH($A10&amp;"|"&amp;H$5,Dados!$A$2:$A$49,0))="","",INDEX(Dados!$K$2:$K$49,MATCH($A10&amp;"|"&amp;H$5,Dados!$A$2:$A$49,0))),"")</f>
        <v>8.5406615570004941E-3</v>
      </c>
      <c r="I10" s="10">
        <f>IFERROR(IF(INDEX(Dados!$K$2:$K$49,MATCH($A10&amp;"|"&amp;I$5,Dados!$A$2:$A$49,0))="","",INDEX(Dados!$K$2:$K$49,MATCH($A10&amp;"|"&amp;I$5,Dados!$A$2:$A$49,0))),"")</f>
        <v>8.9344515195003589E-3</v>
      </c>
      <c r="J10" s="10">
        <f>IFERROR(IF(INDEX(Dados!$K$2:$K$49,MATCH($A10&amp;"|"&amp;J$5,Dados!$A$2:$A$49,0))="","",INDEX(Dados!$K$2:$K$49,MATCH($A10&amp;"|"&amp;J$5,Dados!$A$2:$A$49,0))),"")</f>
        <v>9.1035951600777036E-3</v>
      </c>
      <c r="K10" s="10" t="str">
        <f>IFERROR(IF(INDEX(Dados!$N$2:$N$49,MATCH($A10&amp;"|"&amp;J$5,Dados!$A$2:$A$49,0))=0,"—",INDEX(Dados!$N$2:$N$49,MATCH($A10&amp;"|"&amp;J$5,Dados!$A$2:$A$49,0))),"—")</f>
        <v>—</v>
      </c>
      <c r="L10" s="9" t="str">
        <f>IFERROR(IF(INDEX(Dados!$T$2:$T$49,MATCH($A10&amp;"|"&amp;J$5,Dados!$A$2:$A$49,0))="","—",INDEX(Dados!$T$2:$T$49,MATCH($A10&amp;"|"&amp;J$5,Dados!$A$2:$A$49,0))),"—")</f>
        <v>Sem limite próprio na LRF</v>
      </c>
    </row>
    <row r="11" spans="1:12" x14ac:dyDescent="0.25">
      <c r="A11" s="8" t="s">
        <v>23</v>
      </c>
      <c r="B11" s="9" t="s">
        <v>23</v>
      </c>
      <c r="C11" s="10">
        <f>IFERROR(IF(INDEX(Dados!$K$2:$K$49,MATCH($A11&amp;"|"&amp;C$5,Dados!$A$2:$A$49,0))="","",INDEX(Dados!$K$2:$K$49,MATCH($A11&amp;"|"&amp;C$5,Dados!$A$2:$A$49,0))),"")</f>
        <v>1.8711580930812741E-2</v>
      </c>
      <c r="D11" s="10">
        <f>IFERROR(IF(INDEX(Dados!$K$2:$K$49,MATCH($A11&amp;"|"&amp;D$5,Dados!$A$2:$A$49,0))="","",INDEX(Dados!$K$2:$K$49,MATCH($A11&amp;"|"&amp;D$5,Dados!$A$2:$A$49,0))),"")</f>
        <v>1.8372791707293279E-2</v>
      </c>
      <c r="E11" s="10">
        <f>IFERROR(IF(INDEX(Dados!$K$2:$K$49,MATCH($A11&amp;"|"&amp;E$5,Dados!$A$2:$A$49,0))="","",INDEX(Dados!$K$2:$K$49,MATCH($A11&amp;"|"&amp;E$5,Dados!$A$2:$A$49,0))),"")</f>
        <v>1.8514562399218688E-2</v>
      </c>
      <c r="F11" s="10">
        <f>IFERROR(IF(INDEX(Dados!$K$2:$K$49,MATCH($A11&amp;"|"&amp;F$5,Dados!$A$2:$A$49,0))="","",INDEX(Dados!$K$2:$K$49,MATCH($A11&amp;"|"&amp;F$5,Dados!$A$2:$A$49,0))),"")</f>
        <v>2.0108389114266181E-2</v>
      </c>
      <c r="G11" s="10">
        <f>IFERROR(IF(INDEX(Dados!$K$2:$K$49,MATCH($A11&amp;"|"&amp;G$5,Dados!$A$2:$A$49,0))="","",INDEX(Dados!$K$2:$K$49,MATCH($A11&amp;"|"&amp;G$5,Dados!$A$2:$A$49,0))),"")</f>
        <v>1.9156636010389739E-2</v>
      </c>
      <c r="H11" s="10">
        <f>IFERROR(IF(INDEX(Dados!$K$2:$K$49,MATCH($A11&amp;"|"&amp;H$5,Dados!$A$2:$A$49,0))="","",INDEX(Dados!$K$2:$K$49,MATCH($A11&amp;"|"&amp;H$5,Dados!$A$2:$A$49,0))),"")</f>
        <v>1.905305613284768E-2</v>
      </c>
      <c r="I11" s="10">
        <f>IFERROR(IF(INDEX(Dados!$K$2:$K$49,MATCH($A11&amp;"|"&amp;I$5,Dados!$A$2:$A$49,0))="","",INDEX(Dados!$K$2:$K$49,MATCH($A11&amp;"|"&amp;I$5,Dados!$A$2:$A$49,0))),"")</f>
        <v>1.8599417218360795E-2</v>
      </c>
      <c r="J11" s="10">
        <f>IFERROR(IF(INDEX(Dados!$K$2:$K$49,MATCH($A11&amp;"|"&amp;J$5,Dados!$A$2:$A$49,0))="","",INDEX(Dados!$K$2:$K$49,MATCH($A11&amp;"|"&amp;J$5,Dados!$A$2:$A$49,0))),"")</f>
        <v>1.7869548695659876E-2</v>
      </c>
      <c r="K11" s="10">
        <f>IFERROR(IF(INDEX(Dados!$N$2:$N$49,MATCH($A11&amp;"|"&amp;J$5,Dados!$A$2:$A$49,0))=0,"—",INDEX(Dados!$N$2:$N$49,MATCH($A11&amp;"|"&amp;J$5,Dados!$A$2:$A$49,0))),"—")</f>
        <v>0.02</v>
      </c>
      <c r="L11" s="9" t="str">
        <f>IFERROR(IF(INDEX(Dados!$T$2:$T$49,MATCH($A11&amp;"|"&amp;J$5,Dados!$A$2:$A$49,0))="","—",INDEX(Dados!$T$2:$T$49,MATCH($A11&amp;"|"&amp;J$5,Dados!$A$2:$A$49,0))),"—")</f>
        <v>Abaixo do limite de alerta</v>
      </c>
    </row>
    <row r="12" spans="1:12" x14ac:dyDescent="0.25">
      <c r="A12" s="3" t="s">
        <v>24</v>
      </c>
      <c r="B12" s="11" t="s">
        <v>25</v>
      </c>
      <c r="C12" s="12">
        <f>IFERROR(INDEX(Dados!$J$2:$J$49,MATCH("Governo|"&amp;C$5,Dados!$A$2:$A$49,0))/1000000,"")</f>
        <v>26486.633151779999</v>
      </c>
      <c r="D12" s="12">
        <f>IFERROR(INDEX(Dados!$J$2:$J$49,MATCH("Governo|"&amp;D$5,Dados!$A$2:$A$49,0))/1000000,"")</f>
        <v>27863.49318143</v>
      </c>
      <c r="E12" s="12">
        <f>IFERROR(INDEX(Dados!$J$2:$J$49,MATCH("Governo|"&amp;E$5,Dados!$A$2:$A$49,0))/1000000,"")</f>
        <v>29521.762934729999</v>
      </c>
      <c r="F12" s="12">
        <f>IFERROR(INDEX(Dados!$J$2:$J$49,MATCH("Governo|"&amp;F$5,Dados!$A$2:$A$49,0))/1000000,"")</f>
        <v>28527.20388144</v>
      </c>
      <c r="G12" s="12">
        <f>IFERROR(INDEX(Dados!$J$2:$J$49,MATCH("Governo|"&amp;G$5,Dados!$A$2:$A$49,0))/1000000,"")</f>
        <v>31304.669753330003</v>
      </c>
      <c r="H12" s="12">
        <f>IFERROR(INDEX(Dados!$J$2:$J$49,MATCH("Governo|"&amp;H$5,Dados!$A$2:$A$49,0))/1000000,"")</f>
        <v>32325.883418680001</v>
      </c>
      <c r="I12" s="12">
        <f>IFERROR(INDEX(Dados!$J$2:$J$49,MATCH("Governo|"&amp;I$5,Dados!$A$2:$A$49,0))/1000000,"")</f>
        <v>33721.352132519998</v>
      </c>
      <c r="J12" s="12">
        <f>IFERROR(INDEX(Dados!$J$2:$J$49,MATCH("Governo|"&amp;J$5,Dados!$A$2:$A$49,0))/1000000,"")</f>
        <v>35589.294560330003</v>
      </c>
    </row>
    <row r="14" spans="1:12" x14ac:dyDescent="0.25">
      <c r="A14" s="3" t="s">
        <v>26</v>
      </c>
    </row>
    <row r="15" spans="1:12" ht="44.1" customHeight="1" x14ac:dyDescent="0.25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9</v>
      </c>
      <c r="H15" s="4" t="s">
        <v>10</v>
      </c>
      <c r="I15" s="4" t="s">
        <v>11</v>
      </c>
      <c r="J15" s="4" t="s">
        <v>12</v>
      </c>
    </row>
    <row r="16" spans="1:12" x14ac:dyDescent="0.25">
      <c r="A16" s="5" t="s">
        <v>15</v>
      </c>
      <c r="B16" s="6" t="s">
        <v>16</v>
      </c>
      <c r="C16" s="13">
        <f>IFERROR(IF(INDEX(Dados!$I$2:$I$49,MATCH($A16&amp;"|"&amp;C$15,Dados!$A$2:$A$49,0))="","",INDEX(Dados!$I$2:$I$49,MATCH($A16&amp;"|"&amp;C$15,Dados!$A$2:$A$49,0))/1000000),"")</f>
        <v>8626.0340151399996</v>
      </c>
      <c r="D16" s="13">
        <f>IFERROR(IF(INDEX(Dados!$I$2:$I$49,MATCH($A16&amp;"|"&amp;D$15,Dados!$A$2:$A$49,0))="","",INDEX(Dados!$I$2:$I$49,MATCH($A16&amp;"|"&amp;D$15,Dados!$A$2:$A$49,0))/1000000),"")</f>
        <v>9087.0299556399987</v>
      </c>
      <c r="E16" s="13">
        <f>IFERROR(IF(INDEX(Dados!$I$2:$I$49,MATCH($A16&amp;"|"&amp;E$15,Dados!$A$2:$A$49,0))="","",INDEX(Dados!$I$2:$I$49,MATCH($A16&amp;"|"&amp;E$15,Dados!$A$2:$A$49,0))/1000000),"")</f>
        <v>9163.2497765200005</v>
      </c>
      <c r="F16" s="13">
        <f>IFERROR(IF(INDEX(Dados!$I$2:$I$49,MATCH($A16&amp;"|"&amp;F$15,Dados!$A$2:$A$49,0))="","",INDEX(Dados!$I$2:$I$49,MATCH($A16&amp;"|"&amp;F$15,Dados!$A$2:$A$49,0))/1000000),"")</f>
        <v>9466.8074790699993</v>
      </c>
      <c r="G16" s="13">
        <f>IFERROR(IF(INDEX(Dados!$I$2:$I$49,MATCH($A16&amp;"|"&amp;G$15,Dados!$A$2:$A$49,0))="","",INDEX(Dados!$I$2:$I$49,MATCH($A16&amp;"|"&amp;G$15,Dados!$A$2:$A$49,0))/1000000),"")</f>
        <v>9410.0790158300006</v>
      </c>
      <c r="H16" s="13">
        <f>IFERROR(IF(INDEX(Dados!$I$2:$I$49,MATCH($A16&amp;"|"&amp;H$15,Dados!$A$2:$A$49,0))="","",INDEX(Dados!$I$2:$I$49,MATCH($A16&amp;"|"&amp;H$15,Dados!$A$2:$A$49,0))/1000000),"")</f>
        <v>9741.9490145100008</v>
      </c>
      <c r="I16" s="13">
        <f>IFERROR(IF(INDEX(Dados!$I$2:$I$49,MATCH($A16&amp;"|"&amp;I$15,Dados!$A$2:$A$49,0))="","",INDEX(Dados!$I$2:$I$49,MATCH($A16&amp;"|"&amp;I$15,Dados!$A$2:$A$49,0))/1000000),"")</f>
        <v>10069.688349510001</v>
      </c>
      <c r="J16" s="13">
        <f>IFERROR(IF(INDEX(Dados!$I$2:$I$49,MATCH($A16&amp;"|"&amp;J$15,Dados!$A$2:$A$49,0))="","",INDEX(Dados!$I$2:$I$49,MATCH($A16&amp;"|"&amp;J$15,Dados!$A$2:$A$49,0))/1000000),"")</f>
        <v>10521.48315251</v>
      </c>
    </row>
    <row r="17" spans="1:10" x14ac:dyDescent="0.25">
      <c r="A17" s="8" t="s">
        <v>17</v>
      </c>
      <c r="B17" s="9" t="s">
        <v>18</v>
      </c>
      <c r="C17" s="14">
        <f>IFERROR(IF(INDEX(Dados!$I$2:$I$49,MATCH($A17&amp;"|"&amp;C$15,Dados!$A$2:$A$49,0))="","",INDEX(Dados!$I$2:$I$49,MATCH($A17&amp;"|"&amp;C$15,Dados!$A$2:$A$49,0))/1000000),"")</f>
        <v>515.46327386999997</v>
      </c>
      <c r="D17" s="14">
        <f>IFERROR(IF(INDEX(Dados!$I$2:$I$49,MATCH($A17&amp;"|"&amp;D$15,Dados!$A$2:$A$49,0))="","",INDEX(Dados!$I$2:$I$49,MATCH($A17&amp;"|"&amp;D$15,Dados!$A$2:$A$49,0))/1000000),"")</f>
        <v>525.41585748</v>
      </c>
      <c r="E17" s="14">
        <f>IFERROR(IF(INDEX(Dados!$I$2:$I$49,MATCH($A17&amp;"|"&amp;E$15,Dados!$A$2:$A$49,0))="","",INDEX(Dados!$I$2:$I$49,MATCH($A17&amp;"|"&amp;E$15,Dados!$A$2:$A$49,0))/1000000),"")</f>
        <v>521.83410944000002</v>
      </c>
      <c r="F17" s="14">
        <f>IFERROR(IF(INDEX(Dados!$I$2:$I$49,MATCH($A17&amp;"|"&amp;F$15,Dados!$A$2:$A$49,0))="","",INDEX(Dados!$I$2:$I$49,MATCH($A17&amp;"|"&amp;F$15,Dados!$A$2:$A$49,0))/1000000),"")</f>
        <v>523.10504833999994</v>
      </c>
      <c r="G17" s="14">
        <f>IFERROR(IF(INDEX(Dados!$I$2:$I$49,MATCH($A17&amp;"|"&amp;G$15,Dados!$A$2:$A$49,0))="","",INDEX(Dados!$I$2:$I$49,MATCH($A17&amp;"|"&amp;G$15,Dados!$A$2:$A$49,0))/1000000),"")</f>
        <v>529.99348456999996</v>
      </c>
      <c r="H17" s="14">
        <f>IFERROR(IF(INDEX(Dados!$I$2:$I$49,MATCH($A17&amp;"|"&amp;H$15,Dados!$A$2:$A$49,0))="","",INDEX(Dados!$I$2:$I$49,MATCH($A17&amp;"|"&amp;H$15,Dados!$A$2:$A$49,0))/1000000),"")</f>
        <v>537.29685974999995</v>
      </c>
      <c r="I17" s="14">
        <f>IFERROR(IF(INDEX(Dados!$I$2:$I$49,MATCH($A17&amp;"|"&amp;I$15,Dados!$A$2:$A$49,0))="","",INDEX(Dados!$I$2:$I$49,MATCH($A17&amp;"|"&amp;I$15,Dados!$A$2:$A$49,0))/1000000),"")</f>
        <v>545.78708186999995</v>
      </c>
      <c r="J17" s="14">
        <f>IFERROR(IF(INDEX(Dados!$I$2:$I$49,MATCH($A17&amp;"|"&amp;J$15,Dados!$A$2:$A$49,0))="","",INDEX(Dados!$I$2:$I$49,MATCH($A17&amp;"|"&amp;J$15,Dados!$A$2:$A$49,0))/1000000),"")</f>
        <v>552.79652183000007</v>
      </c>
    </row>
    <row r="18" spans="1:10" x14ac:dyDescent="0.25">
      <c r="A18" s="8" t="s">
        <v>19</v>
      </c>
      <c r="B18" s="9" t="s">
        <v>20</v>
      </c>
      <c r="C18" s="14">
        <f>IFERROR(IF(INDEX(Dados!$I$2:$I$49,MATCH($A18&amp;"|"&amp;C$15,Dados!$A$2:$A$49,0))="","",INDEX(Dados!$I$2:$I$49,MATCH($A18&amp;"|"&amp;C$15,Dados!$A$2:$A$49,0))/1000000),"")</f>
        <v>1242.5959832799999</v>
      </c>
      <c r="D18" s="14">
        <f>IFERROR(IF(INDEX(Dados!$I$2:$I$49,MATCH($A18&amp;"|"&amp;D$15,Dados!$A$2:$A$49,0))="","",INDEX(Dados!$I$2:$I$49,MATCH($A18&amp;"|"&amp;D$15,Dados!$A$2:$A$49,0))/1000000),"")</f>
        <v>1297.5160695299999</v>
      </c>
      <c r="E18" s="14">
        <f>IFERROR(IF(INDEX(Dados!$I$2:$I$49,MATCH($A18&amp;"|"&amp;E$15,Dados!$A$2:$A$49,0))="","",INDEX(Dados!$I$2:$I$49,MATCH($A18&amp;"|"&amp;E$15,Dados!$A$2:$A$49,0))/1000000),"")</f>
        <v>1340.95236858</v>
      </c>
      <c r="F18" s="14">
        <f>IFERROR(IF(INDEX(Dados!$I$2:$I$49,MATCH($A18&amp;"|"&amp;F$15,Dados!$A$2:$A$49,0))="","",INDEX(Dados!$I$2:$I$49,MATCH($A18&amp;"|"&amp;F$15,Dados!$A$2:$A$49,0))/1000000),"")</f>
        <v>1427.0863148199999</v>
      </c>
      <c r="G18" s="14">
        <f>IFERROR(IF(INDEX(Dados!$I$2:$I$49,MATCH($A18&amp;"|"&amp;G$15,Dados!$A$2:$A$49,0))="","",INDEX(Dados!$I$2:$I$49,MATCH($A18&amp;"|"&amp;G$15,Dados!$A$2:$A$49,0))/1000000),"")</f>
        <v>1448.50682009</v>
      </c>
      <c r="H18" s="14">
        <f>IFERROR(IF(INDEX(Dados!$I$2:$I$49,MATCH($A18&amp;"|"&amp;H$15,Dados!$A$2:$A$49,0))="","",INDEX(Dados!$I$2:$I$49,MATCH($A18&amp;"|"&amp;H$15,Dados!$A$2:$A$49,0))/1000000),"")</f>
        <v>1576.7660356099998</v>
      </c>
      <c r="I18" s="14">
        <f>IFERROR(IF(INDEX(Dados!$I$2:$I$49,MATCH($A18&amp;"|"&amp;I$15,Dados!$A$2:$A$49,0))="","",INDEX(Dados!$I$2:$I$49,MATCH($A18&amp;"|"&amp;I$15,Dados!$A$2:$A$49,0))/1000000),"")</f>
        <v>1611.1979064000002</v>
      </c>
      <c r="J18" s="14">
        <f>IFERROR(IF(INDEX(Dados!$I$2:$I$49,MATCH($A18&amp;"|"&amp;J$15,Dados!$A$2:$A$49,0))="","",INDEX(Dados!$I$2:$I$49,MATCH($A18&amp;"|"&amp;J$15,Dados!$A$2:$A$49,0))/1000000),"")</f>
        <v>1662.4783391300002</v>
      </c>
    </row>
    <row r="19" spans="1:10" x14ac:dyDescent="0.25">
      <c r="A19" s="8" t="s">
        <v>21</v>
      </c>
      <c r="B19" s="9" t="s">
        <v>21</v>
      </c>
      <c r="C19" s="14">
        <f>IFERROR(IF(INDEX(Dados!$I$2:$I$49,MATCH($A19&amp;"|"&amp;C$15,Dados!$A$2:$A$49,0))="","",INDEX(Dados!$I$2:$I$49,MATCH($A19&amp;"|"&amp;C$15,Dados!$A$2:$A$49,0))/1000000),"")</f>
        <v>214.86469872999999</v>
      </c>
      <c r="D19" s="14">
        <f>IFERROR(IF(INDEX(Dados!$I$2:$I$49,MATCH($A19&amp;"|"&amp;D$15,Dados!$A$2:$A$49,0))="","",INDEX(Dados!$I$2:$I$49,MATCH($A19&amp;"|"&amp;D$15,Dados!$A$2:$A$49,0))/1000000),"")</f>
        <v>213.04880677</v>
      </c>
      <c r="E19" s="14">
        <f>IFERROR(IF(INDEX(Dados!$I$2:$I$49,MATCH($A19&amp;"|"&amp;E$15,Dados!$A$2:$A$49,0))="","",INDEX(Dados!$I$2:$I$49,MATCH($A19&amp;"|"&amp;E$15,Dados!$A$2:$A$49,0))/1000000),"")</f>
        <v>220.49318438999998</v>
      </c>
      <c r="F19" s="14">
        <f>IFERROR(IF(INDEX(Dados!$I$2:$I$49,MATCH($A19&amp;"|"&amp;F$15,Dados!$A$2:$A$49,0))="","",INDEX(Dados!$I$2:$I$49,MATCH($A19&amp;"|"&amp;F$15,Dados!$A$2:$A$49,0))/1000000),"")</f>
        <v>221.92460558000002</v>
      </c>
      <c r="G19" s="14">
        <f>IFERROR(IF(INDEX(Dados!$I$2:$I$49,MATCH($A19&amp;"|"&amp;G$15,Dados!$A$2:$A$49,0))="","",INDEX(Dados!$I$2:$I$49,MATCH($A19&amp;"|"&amp;G$15,Dados!$A$2:$A$49,0))/1000000),"")</f>
        <v>235.53221703</v>
      </c>
      <c r="H19" s="14">
        <f>IFERROR(IF(INDEX(Dados!$I$2:$I$49,MATCH($A19&amp;"|"&amp;H$15,Dados!$A$2:$A$49,0))="","",INDEX(Dados!$I$2:$I$49,MATCH($A19&amp;"|"&amp;H$15,Dados!$A$2:$A$49,0))/1000000),"")</f>
        <v>239.71572481999999</v>
      </c>
      <c r="I19" s="14">
        <f>IFERROR(IF(INDEX(Dados!$I$2:$I$49,MATCH($A19&amp;"|"&amp;I$15,Dados!$A$2:$A$49,0))="","",INDEX(Dados!$I$2:$I$49,MATCH($A19&amp;"|"&amp;I$15,Dados!$A$2:$A$49,0))/1000000),"")</f>
        <v>252.2919392</v>
      </c>
      <c r="J19" s="14">
        <f>IFERROR(IF(INDEX(Dados!$I$2:$I$49,MATCH($A19&amp;"|"&amp;J$15,Dados!$A$2:$A$49,0))="","",INDEX(Dados!$I$2:$I$49,MATCH($A19&amp;"|"&amp;J$15,Dados!$A$2:$A$49,0))/1000000),"")</f>
        <v>258.38584789999999</v>
      </c>
    </row>
    <row r="20" spans="1:10" x14ac:dyDescent="0.25">
      <c r="A20" s="8" t="s">
        <v>22</v>
      </c>
      <c r="B20" s="9" t="s">
        <v>22</v>
      </c>
      <c r="C20" s="14">
        <f>IFERROR(IF(INDEX(Dados!$I$2:$I$49,MATCH($A20&amp;"|"&amp;C$15,Dados!$A$2:$A$49,0))="","",INDEX(Dados!$I$2:$I$49,MATCH($A20&amp;"|"&amp;C$15,Dados!$A$2:$A$49,0))/1000000),"")</f>
        <v>191.12082143999999</v>
      </c>
      <c r="D20" s="14">
        <f>IFERROR(IF(INDEX(Dados!$I$2:$I$49,MATCH($A20&amp;"|"&amp;D$15,Dados!$A$2:$A$49,0))="","",INDEX(Dados!$I$2:$I$49,MATCH($A20&amp;"|"&amp;D$15,Dados!$A$2:$A$49,0))/1000000),"")</f>
        <v>202.58633108000001</v>
      </c>
      <c r="E20" s="14">
        <f>IFERROR(IF(INDEX(Dados!$I$2:$I$49,MATCH($A20&amp;"|"&amp;E$15,Dados!$A$2:$A$49,0))="","",INDEX(Dados!$I$2:$I$49,MATCH($A20&amp;"|"&amp;E$15,Dados!$A$2:$A$49,0))/1000000),"")</f>
        <v>214.51179051</v>
      </c>
      <c r="F20" s="14">
        <f>IFERROR(IF(INDEX(Dados!$I$2:$I$49,MATCH($A20&amp;"|"&amp;F$15,Dados!$A$2:$A$49,0))="","",INDEX(Dados!$I$2:$I$49,MATCH($A20&amp;"|"&amp;F$15,Dados!$A$2:$A$49,0))/1000000),"")</f>
        <v>231.59662538000001</v>
      </c>
      <c r="G20" s="14">
        <f>IFERROR(IF(INDEX(Dados!$I$2:$I$49,MATCH($A20&amp;"|"&amp;G$15,Dados!$A$2:$A$49,0))="","",INDEX(Dados!$I$2:$I$49,MATCH($A20&amp;"|"&amp;G$15,Dados!$A$2:$A$49,0))/1000000),"")</f>
        <v>247.6564789</v>
      </c>
      <c r="H20" s="14">
        <f>IFERROR(IF(INDEX(Dados!$I$2:$I$49,MATCH($A20&amp;"|"&amp;H$15,Dados!$A$2:$A$49,0))="","",INDEX(Dados!$I$2:$I$49,MATCH($A20&amp;"|"&amp;H$15,Dados!$A$2:$A$49,0))/1000000),"")</f>
        <v>276.08442981000002</v>
      </c>
      <c r="I20" s="14">
        <f>IFERROR(IF(INDEX(Dados!$I$2:$I$49,MATCH($A20&amp;"|"&amp;I$15,Dados!$A$2:$A$49,0))="","",INDEX(Dados!$I$2:$I$49,MATCH($A20&amp;"|"&amp;I$15,Dados!$A$2:$A$49,0))/1000000),"")</f>
        <v>301.28178580000002</v>
      </c>
      <c r="J20" s="14">
        <f>IFERROR(IF(INDEX(Dados!$I$2:$I$49,MATCH($A20&amp;"|"&amp;J$15,Dados!$A$2:$A$49,0))="","",INDEX(Dados!$I$2:$I$49,MATCH($A20&amp;"|"&amp;J$15,Dados!$A$2:$A$49,0))/1000000),"")</f>
        <v>323.99052970999998</v>
      </c>
    </row>
    <row r="21" spans="1:10" x14ac:dyDescent="0.25">
      <c r="A21" s="8" t="s">
        <v>23</v>
      </c>
      <c r="B21" s="9" t="s">
        <v>23</v>
      </c>
      <c r="C21" s="14">
        <f>IFERROR(IF(INDEX(Dados!$I$2:$I$49,MATCH($A21&amp;"|"&amp;C$15,Dados!$A$2:$A$49,0))="","",INDEX(Dados!$I$2:$I$49,MATCH($A21&amp;"|"&amp;C$15,Dados!$A$2:$A$49,0))/1000000),"")</f>
        <v>495.60116632999996</v>
      </c>
      <c r="D21" s="14">
        <f>IFERROR(IF(INDEX(Dados!$I$2:$I$49,MATCH($A21&amp;"|"&amp;D$15,Dados!$A$2:$A$49,0))="","",INDEX(Dados!$I$2:$I$49,MATCH($A21&amp;"|"&amp;D$15,Dados!$A$2:$A$49,0))/1000000),"")</f>
        <v>511.93015645999998</v>
      </c>
      <c r="E21" s="14">
        <f>IFERROR(IF(INDEX(Dados!$I$2:$I$49,MATCH($A21&amp;"|"&amp;E$15,Dados!$A$2:$A$49,0))="","",INDEX(Dados!$I$2:$I$49,MATCH($A21&amp;"|"&amp;E$15,Dados!$A$2:$A$49,0))/1000000),"")</f>
        <v>546.58252199000003</v>
      </c>
      <c r="F21" s="14">
        <f>IFERROR(IF(INDEX(Dados!$I$2:$I$49,MATCH($A21&amp;"|"&amp;F$15,Dados!$A$2:$A$49,0))="","",INDEX(Dados!$I$2:$I$49,MATCH($A21&amp;"|"&amp;F$15,Dados!$A$2:$A$49,0))/1000000),"")</f>
        <v>573.63611599000001</v>
      </c>
      <c r="G21" s="14">
        <f>IFERROR(IF(INDEX(Dados!$I$2:$I$49,MATCH($A21&amp;"|"&amp;G$15,Dados!$A$2:$A$49,0))="","",INDEX(Dados!$I$2:$I$49,MATCH($A21&amp;"|"&amp;G$15,Dados!$A$2:$A$49,0))/1000000),"")</f>
        <v>599.69216388999996</v>
      </c>
      <c r="H21" s="14">
        <f>IFERROR(IF(INDEX(Dados!$I$2:$I$49,MATCH($A21&amp;"|"&amp;H$15,Dados!$A$2:$A$49,0))="","",INDEX(Dados!$I$2:$I$49,MATCH($A21&amp;"|"&amp;H$15,Dados!$A$2:$A$49,0))/1000000),"")</f>
        <v>615.90687132000005</v>
      </c>
      <c r="I21" s="14">
        <f>IFERROR(IF(INDEX(Dados!$I$2:$I$49,MATCH($A21&amp;"|"&amp;I$15,Dados!$A$2:$A$49,0))="","",INDEX(Dados!$I$2:$I$49,MATCH($A21&amp;"|"&amp;I$15,Dados!$A$2:$A$49,0))/1000000),"")</f>
        <v>627.19749748000004</v>
      </c>
      <c r="J21" s="14">
        <f>IFERROR(IF(INDEX(Dados!$I$2:$I$49,MATCH($A21&amp;"|"&amp;J$15,Dados!$A$2:$A$49,0))="","",INDEX(Dados!$I$2:$I$49,MATCH($A21&amp;"|"&amp;J$15,Dados!$A$2:$A$49,0))/1000000),"")</f>
        <v>635.96463219000009</v>
      </c>
    </row>
    <row r="23" spans="1:10" x14ac:dyDescent="0.25">
      <c r="A23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28</v>
      </c>
      <c r="B1" s="4" t="s">
        <v>3</v>
      </c>
      <c r="C1" s="4" t="s">
        <v>4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</row>
    <row r="2" spans="1:21" x14ac:dyDescent="0.25">
      <c r="A2" s="9" t="str">
        <f t="shared" ref="A2:A49" si="0">B2&amp;"|"&amp;G2</f>
        <v>Governo|1º quad. 2024</v>
      </c>
      <c r="B2" s="9" t="s">
        <v>15</v>
      </c>
      <c r="C2" s="9" t="s">
        <v>16</v>
      </c>
      <c r="D2" s="9" t="s">
        <v>47</v>
      </c>
      <c r="E2" s="9" t="s">
        <v>48</v>
      </c>
      <c r="F2" s="9">
        <v>1</v>
      </c>
      <c r="G2" s="9" t="s">
        <v>5</v>
      </c>
      <c r="H2" s="9" t="s">
        <v>49</v>
      </c>
      <c r="I2" s="15">
        <v>8626034015.1399994</v>
      </c>
      <c r="J2" s="15">
        <v>26486633151.779999</v>
      </c>
      <c r="K2" s="10">
        <f t="shared" ref="K2:K49" si="1">IF(OR(I2="",J2="",J2=0),"",I2/J2)</f>
        <v>0.3256749910684778</v>
      </c>
      <c r="L2" s="16">
        <v>0.32569999999999999</v>
      </c>
      <c r="M2" s="9" t="str">
        <f t="shared" ref="M2:M49" si="2">IF(L2="","Não declarado",IF(K2="","Sem dado",IF(ABS(K2-L2)&lt;=0.00005,"Sim","Não")))</f>
        <v>Sim</v>
      </c>
      <c r="N2" s="16">
        <v>0.49</v>
      </c>
      <c r="O2" s="16">
        <v>0.46550000000000002</v>
      </c>
      <c r="P2" s="16">
        <v>0.441</v>
      </c>
      <c r="Q2" s="15">
        <v>12978450244.370001</v>
      </c>
      <c r="R2" s="15">
        <v>12329527732.15</v>
      </c>
      <c r="S2" s="15">
        <v>11680605219.93</v>
      </c>
      <c r="T2" s="9" t="str">
        <f t="shared" ref="T2:T49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Abaixo do limite de alerta</v>
      </c>
      <c r="U2" s="9" t="s">
        <v>50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47</v>
      </c>
      <c r="E3" s="9" t="s">
        <v>48</v>
      </c>
      <c r="F3" s="9">
        <v>2</v>
      </c>
      <c r="G3" s="9" t="s">
        <v>6</v>
      </c>
      <c r="H3" s="9" t="s">
        <v>51</v>
      </c>
      <c r="I3" s="15">
        <v>9087029955.6399994</v>
      </c>
      <c r="J3" s="15">
        <v>27863493181.43</v>
      </c>
      <c r="K3" s="10">
        <f t="shared" si="1"/>
        <v>0.32612673136389708</v>
      </c>
      <c r="L3" s="16">
        <v>0.3261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13653111658.9</v>
      </c>
      <c r="R3" s="15">
        <v>12970456075.959999</v>
      </c>
      <c r="S3" s="15">
        <v>12287800493.01</v>
      </c>
      <c r="T3" s="9" t="str">
        <f t="shared" si="3"/>
        <v>Abaixo do limite de alerta</v>
      </c>
      <c r="U3" s="9" t="s">
        <v>50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47</v>
      </c>
      <c r="E4" s="9" t="s">
        <v>48</v>
      </c>
      <c r="F4" s="9">
        <v>3</v>
      </c>
      <c r="G4" s="9" t="s">
        <v>7</v>
      </c>
      <c r="H4" s="9" t="s">
        <v>52</v>
      </c>
      <c r="I4" s="15">
        <v>9163249776.5200005</v>
      </c>
      <c r="J4" s="15">
        <v>29521762934.73</v>
      </c>
      <c r="K4" s="10">
        <f t="shared" si="1"/>
        <v>0.3103896537879236</v>
      </c>
      <c r="L4" s="16">
        <v>0.31040000000000001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14465663838.02</v>
      </c>
      <c r="R4" s="15">
        <v>13742380646.120001</v>
      </c>
      <c r="S4" s="15">
        <v>13019097454.219999</v>
      </c>
      <c r="T4" s="9" t="str">
        <f t="shared" si="3"/>
        <v>Abaixo do limite de alerta</v>
      </c>
      <c r="U4" s="9" t="s">
        <v>50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47</v>
      </c>
      <c r="E5" s="9" t="s">
        <v>53</v>
      </c>
      <c r="F5" s="9">
        <v>1</v>
      </c>
      <c r="G5" s="9" t="s">
        <v>8</v>
      </c>
      <c r="H5" s="9" t="s">
        <v>54</v>
      </c>
      <c r="I5" s="15">
        <v>9466807479.0699997</v>
      </c>
      <c r="J5" s="15">
        <v>28527203881.439999</v>
      </c>
      <c r="K5" s="10">
        <f t="shared" si="1"/>
        <v>0.33185192346275383</v>
      </c>
      <c r="L5" s="16">
        <v>0.33189999999999997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13978329901.91</v>
      </c>
      <c r="R5" s="15">
        <v>13279413406.809999</v>
      </c>
      <c r="S5" s="15">
        <v>12580496911.719999</v>
      </c>
      <c r="T5" s="9" t="str">
        <f t="shared" si="3"/>
        <v>Abaixo do limite de alerta</v>
      </c>
      <c r="U5" s="9" t="s">
        <v>50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47</v>
      </c>
      <c r="E6" s="9" t="s">
        <v>53</v>
      </c>
      <c r="F6" s="9">
        <v>2</v>
      </c>
      <c r="G6" s="9" t="s">
        <v>9</v>
      </c>
      <c r="H6" s="9" t="s">
        <v>55</v>
      </c>
      <c r="I6" s="15">
        <v>9410079015.8299999</v>
      </c>
      <c r="J6" s="15">
        <v>31304669753.330002</v>
      </c>
      <c r="K6" s="10">
        <f t="shared" si="1"/>
        <v>0.30059665506706112</v>
      </c>
      <c r="L6" s="16">
        <v>0.30059999999999998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15339288179.129999</v>
      </c>
      <c r="R6" s="15">
        <v>14572323770.17</v>
      </c>
      <c r="S6" s="15">
        <v>13805359361.219999</v>
      </c>
      <c r="T6" s="9" t="str">
        <f t="shared" si="3"/>
        <v>Abaixo do limite de alerta</v>
      </c>
      <c r="U6" s="9" t="s">
        <v>50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47</v>
      </c>
      <c r="E7" s="9" t="s">
        <v>53</v>
      </c>
      <c r="F7" s="9">
        <v>3</v>
      </c>
      <c r="G7" s="9" t="s">
        <v>10</v>
      </c>
      <c r="H7" s="9" t="s">
        <v>56</v>
      </c>
      <c r="I7" s="15">
        <v>9741949014.5100002</v>
      </c>
      <c r="J7" s="15">
        <v>32325883418.68</v>
      </c>
      <c r="K7" s="10">
        <f t="shared" si="1"/>
        <v>0.30136683005174941</v>
      </c>
      <c r="L7" s="16">
        <v>0.3014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15839682875.15</v>
      </c>
      <c r="R7" s="15">
        <v>15047698731.389999</v>
      </c>
      <c r="S7" s="15">
        <v>14255714587.639999</v>
      </c>
      <c r="T7" s="9" t="str">
        <f t="shared" si="3"/>
        <v>Abaixo do limite de alerta</v>
      </c>
      <c r="U7" s="9" t="s">
        <v>50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47</v>
      </c>
      <c r="E8" s="9" t="s">
        <v>57</v>
      </c>
      <c r="F8" s="9">
        <v>1</v>
      </c>
      <c r="G8" s="9" t="s">
        <v>11</v>
      </c>
      <c r="H8" s="9" t="s">
        <v>58</v>
      </c>
      <c r="I8" s="15">
        <v>10069688349.51</v>
      </c>
      <c r="J8" s="15">
        <v>33721352132.52</v>
      </c>
      <c r="K8" s="10">
        <f t="shared" si="1"/>
        <v>0.29861460803640355</v>
      </c>
      <c r="L8" s="16">
        <v>0.29859999999999998</v>
      </c>
      <c r="M8" s="9" t="str">
        <f t="shared" si="2"/>
        <v>Sim</v>
      </c>
      <c r="N8" s="16">
        <v>0.49</v>
      </c>
      <c r="O8" s="16">
        <v>0.46550000000000002</v>
      </c>
      <c r="P8" s="16">
        <v>0.441</v>
      </c>
      <c r="Q8" s="15">
        <v>16523462544.93</v>
      </c>
      <c r="R8" s="15">
        <v>15697289417.68</v>
      </c>
      <c r="S8" s="15">
        <v>14871116290.440001</v>
      </c>
      <c r="T8" s="9" t="str">
        <f t="shared" si="3"/>
        <v>Abaixo do limite de alerta</v>
      </c>
      <c r="U8" s="9" t="s">
        <v>50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47</v>
      </c>
      <c r="E9" s="9" t="s">
        <v>57</v>
      </c>
      <c r="F9" s="9">
        <v>2</v>
      </c>
      <c r="G9" s="9" t="s">
        <v>12</v>
      </c>
      <c r="H9" s="9" t="s">
        <v>59</v>
      </c>
      <c r="I9" s="15">
        <v>10521483152.51</v>
      </c>
      <c r="J9" s="15">
        <v>35589294560.330002</v>
      </c>
      <c r="K9" s="10">
        <f t="shared" si="1"/>
        <v>0.29563618168025974</v>
      </c>
      <c r="L9" s="16">
        <v>0.29559999999999997</v>
      </c>
      <c r="M9" s="9" t="str">
        <f t="shared" si="2"/>
        <v>Sim</v>
      </c>
      <c r="N9" s="16">
        <v>0.49</v>
      </c>
      <c r="O9" s="16">
        <v>0.46550000000000002</v>
      </c>
      <c r="P9" s="16">
        <v>0.441</v>
      </c>
      <c r="Q9" s="15">
        <v>17438754334.560001</v>
      </c>
      <c r="R9" s="15">
        <v>16566816617.83</v>
      </c>
      <c r="S9" s="15">
        <v>15694878901.1</v>
      </c>
      <c r="T9" s="9" t="str">
        <f t="shared" si="3"/>
        <v>Abaixo do limite de alerta</v>
      </c>
      <c r="U9" s="9" t="s">
        <v>50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60</v>
      </c>
      <c r="E10" s="9" t="s">
        <v>48</v>
      </c>
      <c r="F10" s="9">
        <v>1</v>
      </c>
      <c r="G10" s="9" t="s">
        <v>5</v>
      </c>
      <c r="H10" s="9" t="s">
        <v>49</v>
      </c>
      <c r="I10" s="15">
        <v>515463273.87</v>
      </c>
      <c r="J10" s="15">
        <v>26486333151.779999</v>
      </c>
      <c r="K10" s="10">
        <f t="shared" si="1"/>
        <v>1.9461481169029189E-2</v>
      </c>
      <c r="L10" s="16">
        <v>1.95E-2</v>
      </c>
      <c r="M10" s="9" t="str">
        <f t="shared" si="2"/>
        <v>Sim</v>
      </c>
      <c r="N10" s="16">
        <v>2.1000000000000001E-2</v>
      </c>
      <c r="O10" s="16">
        <v>0.02</v>
      </c>
      <c r="P10" s="16">
        <v>1.89E-2</v>
      </c>
      <c r="Q10" s="15">
        <v>556212996.19000006</v>
      </c>
      <c r="R10" s="15">
        <v>528402346.38</v>
      </c>
      <c r="S10" s="15">
        <v>500591696.56999999</v>
      </c>
      <c r="T10" s="9" t="str">
        <f t="shared" si="3"/>
        <v>Acima do limite de alerta</v>
      </c>
      <c r="U10" s="9" t="s">
        <v>50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60</v>
      </c>
      <c r="E11" s="9" t="s">
        <v>48</v>
      </c>
      <c r="F11" s="9">
        <v>2</v>
      </c>
      <c r="G11" s="9" t="s">
        <v>6</v>
      </c>
      <c r="H11" s="9" t="s">
        <v>51</v>
      </c>
      <c r="I11" s="15">
        <v>525415857.48000002</v>
      </c>
      <c r="J11" s="15">
        <v>27863493181.43</v>
      </c>
      <c r="K11" s="10">
        <f t="shared" si="1"/>
        <v>1.8856783464256035E-2</v>
      </c>
      <c r="L11" s="16">
        <v>1.89E-2</v>
      </c>
      <c r="M11" s="9" t="str">
        <f t="shared" si="2"/>
        <v>Sim</v>
      </c>
      <c r="N11" s="16">
        <v>2.1000000000000001E-2</v>
      </c>
      <c r="O11" s="16">
        <v>0.02</v>
      </c>
      <c r="P11" s="16">
        <v>1.89E-2</v>
      </c>
      <c r="Q11" s="15">
        <v>585133356.80999994</v>
      </c>
      <c r="R11" s="15">
        <v>555876688.97000003</v>
      </c>
      <c r="S11" s="15">
        <v>526620021.13</v>
      </c>
      <c r="T11" s="9" t="str">
        <f t="shared" si="3"/>
        <v>Abaixo do limite de alerta</v>
      </c>
      <c r="U11" s="9" t="s">
        <v>50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60</v>
      </c>
      <c r="E12" s="9" t="s">
        <v>48</v>
      </c>
      <c r="F12" s="9">
        <v>3</v>
      </c>
      <c r="G12" s="9" t="s">
        <v>7</v>
      </c>
      <c r="H12" s="9" t="s">
        <v>52</v>
      </c>
      <c r="I12" s="15">
        <v>521834109.44</v>
      </c>
      <c r="J12" s="15">
        <v>29521762934.73</v>
      </c>
      <c r="K12" s="10">
        <f t="shared" si="1"/>
        <v>1.7676251604408888E-2</v>
      </c>
      <c r="L12" s="16">
        <v>1.77E-2</v>
      </c>
      <c r="M12" s="9" t="str">
        <f t="shared" si="2"/>
        <v>Sim</v>
      </c>
      <c r="N12" s="16">
        <v>2.1000000000000001E-2</v>
      </c>
      <c r="O12" s="16">
        <v>0.02</v>
      </c>
      <c r="P12" s="16">
        <v>1.89E-2</v>
      </c>
      <c r="Q12" s="15">
        <v>619957021.63</v>
      </c>
      <c r="R12" s="15">
        <v>588959170.54999995</v>
      </c>
      <c r="S12" s="15">
        <v>557961319.47000003</v>
      </c>
      <c r="T12" s="9" t="str">
        <f t="shared" si="3"/>
        <v>Abaixo do limite de alerta</v>
      </c>
      <c r="U12" s="9" t="s">
        <v>50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60</v>
      </c>
      <c r="E13" s="9" t="s">
        <v>53</v>
      </c>
      <c r="F13" s="9">
        <v>1</v>
      </c>
      <c r="G13" s="9" t="s">
        <v>8</v>
      </c>
      <c r="H13" s="9" t="s">
        <v>54</v>
      </c>
      <c r="I13" s="15">
        <v>523105048.33999997</v>
      </c>
      <c r="J13" s="15">
        <v>28527203881.439999</v>
      </c>
      <c r="K13" s="10">
        <f t="shared" si="1"/>
        <v>1.8337059969636065E-2</v>
      </c>
      <c r="L13" s="16">
        <v>1.83E-2</v>
      </c>
      <c r="M13" s="9" t="str">
        <f t="shared" si="2"/>
        <v>Sim</v>
      </c>
      <c r="N13" s="16">
        <v>2.1000000000000001E-2</v>
      </c>
      <c r="O13" s="16">
        <v>0.02</v>
      </c>
      <c r="P13" s="16">
        <v>1.89E-2</v>
      </c>
      <c r="Q13" s="15">
        <v>599071281.50999999</v>
      </c>
      <c r="R13" s="15">
        <v>569117717.42999995</v>
      </c>
      <c r="S13" s="15">
        <v>539164153.36000001</v>
      </c>
      <c r="T13" s="9" t="str">
        <f t="shared" si="3"/>
        <v>Abaixo do limite de alerta</v>
      </c>
      <c r="U13" s="9" t="s">
        <v>50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60</v>
      </c>
      <c r="E14" s="9" t="s">
        <v>53</v>
      </c>
      <c r="F14" s="9">
        <v>2</v>
      </c>
      <c r="G14" s="9" t="s">
        <v>9</v>
      </c>
      <c r="H14" s="9" t="s">
        <v>55</v>
      </c>
      <c r="I14" s="15">
        <v>529993484.56999999</v>
      </c>
      <c r="J14" s="15">
        <v>31304669753.330002</v>
      </c>
      <c r="K14" s="10">
        <f t="shared" si="1"/>
        <v>1.6930173317468794E-2</v>
      </c>
      <c r="L14" s="16">
        <v>1.6899999999999998E-2</v>
      </c>
      <c r="M14" s="9" t="str">
        <f t="shared" si="2"/>
        <v>Sim</v>
      </c>
      <c r="N14" s="16">
        <v>2.1000000000000001E-2</v>
      </c>
      <c r="O14" s="16">
        <v>0.02</v>
      </c>
      <c r="P14" s="16">
        <v>1.89E-2</v>
      </c>
      <c r="Q14" s="15">
        <v>657398064.82000005</v>
      </c>
      <c r="R14" s="15">
        <v>624528161.58000004</v>
      </c>
      <c r="S14" s="15">
        <v>591658258.34000003</v>
      </c>
      <c r="T14" s="9" t="str">
        <f t="shared" si="3"/>
        <v>Abaixo do limite de alerta</v>
      </c>
      <c r="U14" s="9" t="s">
        <v>50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60</v>
      </c>
      <c r="E15" s="9" t="s">
        <v>53</v>
      </c>
      <c r="F15" s="9">
        <v>3</v>
      </c>
      <c r="G15" s="9" t="s">
        <v>10</v>
      </c>
      <c r="H15" s="9" t="s">
        <v>56</v>
      </c>
      <c r="I15" s="15">
        <v>537296859.75</v>
      </c>
      <c r="J15" s="15">
        <v>32325883418.68</v>
      </c>
      <c r="K15" s="10">
        <f t="shared" si="1"/>
        <v>1.6621258351736643E-2</v>
      </c>
      <c r="L15" s="16">
        <v>1.66E-2</v>
      </c>
      <c r="M15" s="9" t="str">
        <f t="shared" si="2"/>
        <v>Sim</v>
      </c>
      <c r="N15" s="16">
        <v>2.1000000000000001E-2</v>
      </c>
      <c r="O15" s="16">
        <v>0.02</v>
      </c>
      <c r="P15" s="16">
        <v>1.89E-2</v>
      </c>
      <c r="Q15" s="15">
        <v>678843551.78999996</v>
      </c>
      <c r="R15" s="15">
        <v>644901374.20000005</v>
      </c>
      <c r="S15" s="15">
        <v>610959196.61000001</v>
      </c>
      <c r="T15" s="9" t="str">
        <f t="shared" si="3"/>
        <v>Abaixo do limite de alerta</v>
      </c>
      <c r="U15" s="9" t="s">
        <v>50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60</v>
      </c>
      <c r="E16" s="9" t="s">
        <v>57</v>
      </c>
      <c r="F16" s="9">
        <v>1</v>
      </c>
      <c r="G16" s="9" t="s">
        <v>11</v>
      </c>
      <c r="H16" s="9" t="s">
        <v>58</v>
      </c>
      <c r="I16" s="15">
        <v>545787081.87</v>
      </c>
      <c r="J16" s="15">
        <v>33721352132.52</v>
      </c>
      <c r="K16" s="10">
        <f t="shared" si="1"/>
        <v>1.618520751259132E-2</v>
      </c>
      <c r="L16" s="16">
        <v>1.6199999999999999E-2</v>
      </c>
      <c r="M16" s="9" t="str">
        <f t="shared" si="2"/>
        <v>Sim</v>
      </c>
      <c r="N16" s="16">
        <v>2.1000000000000001E-2</v>
      </c>
      <c r="O16" s="16">
        <v>0.02</v>
      </c>
      <c r="P16" s="16">
        <v>1.89E-2</v>
      </c>
      <c r="Q16" s="15">
        <v>708148394.77999997</v>
      </c>
      <c r="R16" s="15">
        <v>672740975.03999996</v>
      </c>
      <c r="S16" s="15">
        <v>637333555.29999995</v>
      </c>
      <c r="T16" s="9" t="str">
        <f t="shared" si="3"/>
        <v>Abaixo do limite de alerta</v>
      </c>
      <c r="U16" s="9" t="s">
        <v>50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60</v>
      </c>
      <c r="E17" s="9" t="s">
        <v>57</v>
      </c>
      <c r="F17" s="9">
        <v>2</v>
      </c>
      <c r="G17" s="9" t="s">
        <v>12</v>
      </c>
      <c r="H17" s="9" t="s">
        <v>59</v>
      </c>
      <c r="I17" s="15">
        <v>552796521.83000004</v>
      </c>
      <c r="J17" s="15">
        <v>35589294560.330002</v>
      </c>
      <c r="K17" s="10">
        <f t="shared" si="1"/>
        <v>1.5532663084763157E-2</v>
      </c>
      <c r="L17" s="16">
        <v>1.55E-2</v>
      </c>
      <c r="M17" s="9" t="str">
        <f t="shared" si="2"/>
        <v>Sim</v>
      </c>
      <c r="N17" s="16">
        <v>2.1000000000000001E-2</v>
      </c>
      <c r="O17" s="16">
        <v>0.02</v>
      </c>
      <c r="P17" s="16">
        <v>1.89E-2</v>
      </c>
      <c r="Q17" s="15">
        <v>747375185.76999998</v>
      </c>
      <c r="R17" s="15">
        <v>710006426.48000002</v>
      </c>
      <c r="S17" s="15">
        <v>672637667.19000006</v>
      </c>
      <c r="T17" s="9" t="str">
        <f t="shared" si="3"/>
        <v>Abaixo do limite de alerta</v>
      </c>
      <c r="U17" s="9" t="s">
        <v>50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61</v>
      </c>
      <c r="E18" s="9" t="s">
        <v>48</v>
      </c>
      <c r="F18" s="9">
        <v>1</v>
      </c>
      <c r="G18" s="9" t="s">
        <v>5</v>
      </c>
      <c r="H18" s="9" t="s">
        <v>49</v>
      </c>
      <c r="I18" s="15">
        <v>1242595983.28</v>
      </c>
      <c r="J18" s="15">
        <v>26486333151.779999</v>
      </c>
      <c r="K18" s="10">
        <f t="shared" si="1"/>
        <v>4.6914609740778407E-2</v>
      </c>
      <c r="L18" s="16">
        <v>4.6899999999999997E-2</v>
      </c>
      <c r="M18" s="9" t="str">
        <f t="shared" si="2"/>
        <v>Sim</v>
      </c>
      <c r="N18" s="16">
        <v>0.06</v>
      </c>
      <c r="O18" s="16">
        <v>5.7000000000000002E-2</v>
      </c>
      <c r="P18" s="16">
        <v>5.4000000000000013E-2</v>
      </c>
      <c r="Q18" s="15">
        <v>1594206730.95</v>
      </c>
      <c r="R18" s="15">
        <v>1514496394.4000001</v>
      </c>
      <c r="S18" s="15">
        <v>1434786057.8599999</v>
      </c>
      <c r="T18" s="9" t="str">
        <f t="shared" si="3"/>
        <v>Abaixo do limite de alerta</v>
      </c>
      <c r="U18" s="9" t="s">
        <v>50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61</v>
      </c>
      <c r="E19" s="9" t="s">
        <v>48</v>
      </c>
      <c r="F19" s="9">
        <v>2</v>
      </c>
      <c r="G19" s="9" t="s">
        <v>6</v>
      </c>
      <c r="H19" s="9" t="s">
        <v>51</v>
      </c>
      <c r="I19" s="15">
        <v>1297516069.53</v>
      </c>
      <c r="J19" s="15">
        <v>27863493181.43</v>
      </c>
      <c r="K19" s="10">
        <f t="shared" si="1"/>
        <v>4.6566884528130417E-2</v>
      </c>
      <c r="L19" s="16">
        <v>4.6600000000000003E-2</v>
      </c>
      <c r="M19" s="9" t="str">
        <f t="shared" si="2"/>
        <v>Sim</v>
      </c>
      <c r="N19" s="16">
        <v>0.06</v>
      </c>
      <c r="O19" s="16">
        <v>5.7000000000000002E-2</v>
      </c>
      <c r="P19" s="16">
        <v>5.4000000000000013E-2</v>
      </c>
      <c r="Q19" s="15">
        <v>1680302075.8900001</v>
      </c>
      <c r="R19" s="15">
        <v>1596286972.0999999</v>
      </c>
      <c r="S19" s="15">
        <v>1512271868.3</v>
      </c>
      <c r="T19" s="9" t="str">
        <f t="shared" si="3"/>
        <v>Abaixo do limite de alerta</v>
      </c>
      <c r="U19" s="9" t="s">
        <v>50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61</v>
      </c>
      <c r="E20" s="9" t="s">
        <v>48</v>
      </c>
      <c r="F20" s="9">
        <v>3</v>
      </c>
      <c r="G20" s="9" t="s">
        <v>7</v>
      </c>
      <c r="H20" s="9" t="s">
        <v>52</v>
      </c>
      <c r="I20" s="15">
        <v>1340952368.5799999</v>
      </c>
      <c r="J20" s="15">
        <v>29521762934.73</v>
      </c>
      <c r="K20" s="10">
        <f t="shared" si="1"/>
        <v>4.5422503105411648E-2</v>
      </c>
      <c r="L20" s="16">
        <v>4.5400000000000003E-2</v>
      </c>
      <c r="M20" s="9" t="str">
        <f t="shared" si="2"/>
        <v>Sim</v>
      </c>
      <c r="N20" s="16">
        <v>0.06</v>
      </c>
      <c r="O20" s="16">
        <v>5.7000000000000002E-2</v>
      </c>
      <c r="P20" s="16">
        <v>5.4000000000000013E-2</v>
      </c>
      <c r="Q20" s="15">
        <v>1775205102.3399999</v>
      </c>
      <c r="R20" s="15">
        <v>1686444847.22</v>
      </c>
      <c r="S20" s="15">
        <v>1597684592.1099999</v>
      </c>
      <c r="T20" s="9" t="str">
        <f t="shared" si="3"/>
        <v>Abaixo do limite de alerta</v>
      </c>
      <c r="U20" s="9" t="s">
        <v>50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61</v>
      </c>
      <c r="E21" s="9" t="s">
        <v>53</v>
      </c>
      <c r="F21" s="9">
        <v>1</v>
      </c>
      <c r="G21" s="9" t="s">
        <v>8</v>
      </c>
      <c r="H21" s="9" t="s">
        <v>54</v>
      </c>
      <c r="I21" s="15">
        <v>1427086314.8199999</v>
      </c>
      <c r="J21" s="15">
        <v>28527203881.439999</v>
      </c>
      <c r="K21" s="10">
        <f t="shared" si="1"/>
        <v>5.0025453624933512E-2</v>
      </c>
      <c r="L21" s="16">
        <v>0.05</v>
      </c>
      <c r="M21" s="9" t="str">
        <f t="shared" si="2"/>
        <v>Sim</v>
      </c>
      <c r="N21" s="16">
        <v>0.06</v>
      </c>
      <c r="O21" s="16">
        <v>5.7000000000000002E-2</v>
      </c>
      <c r="P21" s="16">
        <v>5.4000000000000013E-2</v>
      </c>
      <c r="Q21" s="15">
        <v>1715582559.1500001</v>
      </c>
      <c r="R21" s="15">
        <v>1629803431.1900001</v>
      </c>
      <c r="S21" s="15">
        <v>1544024303.24</v>
      </c>
      <c r="T21" s="9" t="str">
        <f t="shared" si="3"/>
        <v>Abaixo do limite de alerta</v>
      </c>
      <c r="U21" s="9" t="s">
        <v>50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61</v>
      </c>
      <c r="E22" s="9" t="s">
        <v>53</v>
      </c>
      <c r="F22" s="9">
        <v>2</v>
      </c>
      <c r="G22" s="9" t="s">
        <v>9</v>
      </c>
      <c r="H22" s="9" t="s">
        <v>55</v>
      </c>
      <c r="I22" s="15">
        <v>1448506820.0899999</v>
      </c>
      <c r="J22" s="15">
        <v>31304669753.330002</v>
      </c>
      <c r="K22" s="10">
        <f t="shared" si="1"/>
        <v>4.6271269797884276E-2</v>
      </c>
      <c r="L22" s="16">
        <v>4.6300000000000001E-2</v>
      </c>
      <c r="M22" s="9" t="str">
        <f t="shared" si="2"/>
        <v>Sim</v>
      </c>
      <c r="N22" s="16">
        <v>0.06</v>
      </c>
      <c r="O22" s="16">
        <v>5.7000000000000002E-2</v>
      </c>
      <c r="P22" s="16">
        <v>5.4000000000000013E-2</v>
      </c>
      <c r="Q22" s="15">
        <v>1878280185.2</v>
      </c>
      <c r="R22" s="15">
        <v>1784366175.9400001</v>
      </c>
      <c r="S22" s="15">
        <v>1690452166.6800001</v>
      </c>
      <c r="T22" s="9" t="str">
        <f t="shared" si="3"/>
        <v>Abaixo do limite de alerta</v>
      </c>
      <c r="U22" s="9" t="s">
        <v>50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61</v>
      </c>
      <c r="E23" s="9" t="s">
        <v>53</v>
      </c>
      <c r="F23" s="9">
        <v>3</v>
      </c>
      <c r="G23" s="9" t="s">
        <v>10</v>
      </c>
      <c r="H23" s="9" t="s">
        <v>56</v>
      </c>
      <c r="I23" s="15">
        <v>1576766035.6099999</v>
      </c>
      <c r="J23" s="15">
        <v>32325883418.68</v>
      </c>
      <c r="K23" s="10">
        <f t="shared" si="1"/>
        <v>4.8777198605463069E-2</v>
      </c>
      <c r="L23" s="16">
        <v>4.8800000000000003E-2</v>
      </c>
      <c r="M23" s="9" t="str">
        <f t="shared" si="2"/>
        <v>Sim</v>
      </c>
      <c r="N23" s="16">
        <v>0.06</v>
      </c>
      <c r="O23" s="16">
        <v>5.7000000000000002E-2</v>
      </c>
      <c r="P23" s="16">
        <v>5.4000000000000013E-2</v>
      </c>
      <c r="Q23" s="15">
        <v>1939553016.72</v>
      </c>
      <c r="R23" s="15">
        <v>1842575365.8800001</v>
      </c>
      <c r="S23" s="15">
        <v>1745597715.05</v>
      </c>
      <c r="T23" s="9" t="str">
        <f t="shared" si="3"/>
        <v>Abaixo do limite de alerta</v>
      </c>
      <c r="U23" s="9" t="s">
        <v>50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61</v>
      </c>
      <c r="E24" s="9" t="s">
        <v>57</v>
      </c>
      <c r="F24" s="9">
        <v>1</v>
      </c>
      <c r="G24" s="9" t="s">
        <v>11</v>
      </c>
      <c r="H24" s="9" t="s">
        <v>58</v>
      </c>
      <c r="I24" s="15">
        <v>1611197906.4000001</v>
      </c>
      <c r="J24" s="15">
        <v>33721352132.52</v>
      </c>
      <c r="K24" s="10">
        <f t="shared" si="1"/>
        <v>4.7779753909873691E-2</v>
      </c>
      <c r="L24" s="16">
        <v>4.7800000000000002E-2</v>
      </c>
      <c r="M24" s="9" t="str">
        <f t="shared" si="2"/>
        <v>Sim</v>
      </c>
      <c r="N24" s="16">
        <v>0.06</v>
      </c>
      <c r="O24" s="16">
        <v>5.7000000000000002E-2</v>
      </c>
      <c r="P24" s="16">
        <v>5.4000000000000013E-2</v>
      </c>
      <c r="Q24" s="15">
        <v>2023281127.95</v>
      </c>
      <c r="R24" s="15">
        <v>1922117071.55</v>
      </c>
      <c r="S24" s="15">
        <v>1820953015.1600001</v>
      </c>
      <c r="T24" s="9" t="str">
        <f t="shared" si="3"/>
        <v>Abaixo do limite de alerta</v>
      </c>
      <c r="U24" s="9" t="s">
        <v>50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61</v>
      </c>
      <c r="E25" s="9" t="s">
        <v>57</v>
      </c>
      <c r="F25" s="9">
        <v>2</v>
      </c>
      <c r="G25" s="9" t="s">
        <v>12</v>
      </c>
      <c r="H25" s="9" t="s">
        <v>59</v>
      </c>
      <c r="I25" s="15">
        <v>1662478339.1300001</v>
      </c>
      <c r="J25" s="15">
        <v>35589294560.330002</v>
      </c>
      <c r="K25" s="10">
        <f t="shared" si="1"/>
        <v>4.6712876994844957E-2</v>
      </c>
      <c r="L25" s="16">
        <v>4.6699999999999998E-2</v>
      </c>
      <c r="M25" s="9" t="str">
        <f t="shared" si="2"/>
        <v>Sim</v>
      </c>
      <c r="N25" s="16">
        <v>0.06</v>
      </c>
      <c r="O25" s="16">
        <v>5.7000000000000002E-2</v>
      </c>
      <c r="P25" s="16">
        <v>5.4000000000000013E-2</v>
      </c>
      <c r="Q25" s="15">
        <v>2135357673.6199999</v>
      </c>
      <c r="R25" s="15">
        <v>2028589789.9400001</v>
      </c>
      <c r="S25" s="15">
        <v>1921821906.26</v>
      </c>
      <c r="T25" s="9" t="str">
        <f t="shared" si="3"/>
        <v>Abaixo do limite de alerta</v>
      </c>
      <c r="U25" s="9" t="s">
        <v>50</v>
      </c>
    </row>
    <row r="26" spans="1:21" x14ac:dyDescent="0.25">
      <c r="A26" s="9" t="str">
        <f t="shared" si="0"/>
        <v>Tribunal de Contas|1º quad. 2024</v>
      </c>
      <c r="B26" s="9" t="s">
        <v>21</v>
      </c>
      <c r="C26" s="9" t="s">
        <v>21</v>
      </c>
      <c r="D26" s="9" t="s">
        <v>62</v>
      </c>
      <c r="E26" s="9" t="s">
        <v>48</v>
      </c>
      <c r="F26" s="9">
        <v>1</v>
      </c>
      <c r="G26" s="9" t="s">
        <v>5</v>
      </c>
      <c r="H26" s="9" t="s">
        <v>49</v>
      </c>
      <c r="I26" s="15">
        <v>214864698.72999999</v>
      </c>
      <c r="J26" s="15">
        <v>26486333151.779999</v>
      </c>
      <c r="K26" s="10">
        <f t="shared" si="1"/>
        <v>8.1122855889004079E-3</v>
      </c>
      <c r="L26" s="16">
        <v>8.1000000000000013E-3</v>
      </c>
      <c r="M26" s="9" t="str">
        <f t="shared" si="2"/>
        <v>Sim</v>
      </c>
      <c r="N26" s="16">
        <v>9.0000000000000011E-3</v>
      </c>
      <c r="O26" s="16">
        <v>8.6E-3</v>
      </c>
      <c r="P26" s="16">
        <v>8.1000000000000013E-3</v>
      </c>
      <c r="Q26" s="15">
        <v>238738554.13999999</v>
      </c>
      <c r="R26" s="15">
        <v>226801626.43000001</v>
      </c>
      <c r="S26" s="15">
        <v>214864698.72999999</v>
      </c>
      <c r="T26" s="9" t="str">
        <f t="shared" si="3"/>
        <v>Abaixo do limite de alerta</v>
      </c>
      <c r="U26" s="9" t="s">
        <v>50</v>
      </c>
    </row>
    <row r="27" spans="1:21" x14ac:dyDescent="0.25">
      <c r="A27" s="9" t="str">
        <f t="shared" si="0"/>
        <v>Tribunal de Contas|2º quad. 2024</v>
      </c>
      <c r="B27" s="9" t="s">
        <v>21</v>
      </c>
      <c r="C27" s="9" t="s">
        <v>21</v>
      </c>
      <c r="D27" s="9" t="s">
        <v>62</v>
      </c>
      <c r="E27" s="9" t="s">
        <v>48</v>
      </c>
      <c r="F27" s="9">
        <v>2</v>
      </c>
      <c r="G27" s="9" t="s">
        <v>6</v>
      </c>
      <c r="H27" s="9" t="s">
        <v>51</v>
      </c>
      <c r="I27" s="15">
        <v>213048806.77000001</v>
      </c>
      <c r="J27" s="15">
        <v>27863493181.43</v>
      </c>
      <c r="K27" s="10">
        <f t="shared" si="1"/>
        <v>7.6461628620200879E-3</v>
      </c>
      <c r="L27" s="16">
        <v>7.6E-3</v>
      </c>
      <c r="M27" s="9" t="str">
        <f t="shared" si="2"/>
        <v>Sim</v>
      </c>
      <c r="N27" s="16">
        <v>9.0000000000000011E-3</v>
      </c>
      <c r="O27" s="16">
        <v>8.6E-3</v>
      </c>
      <c r="P27" s="16">
        <v>8.1000000000000013E-3</v>
      </c>
      <c r="Q27" s="15">
        <v>250771438.63</v>
      </c>
      <c r="R27" s="15">
        <v>238232866.69999999</v>
      </c>
      <c r="S27" s="15">
        <v>225694294.77000001</v>
      </c>
      <c r="T27" s="9" t="str">
        <f t="shared" si="3"/>
        <v>Abaixo do limite de alerta</v>
      </c>
      <c r="U27" s="9" t="s">
        <v>50</v>
      </c>
    </row>
    <row r="28" spans="1:21" x14ac:dyDescent="0.25">
      <c r="A28" s="9" t="str">
        <f t="shared" si="0"/>
        <v>Tribunal de Contas|3º quad. 2024</v>
      </c>
      <c r="B28" s="9" t="s">
        <v>21</v>
      </c>
      <c r="C28" s="9" t="s">
        <v>21</v>
      </c>
      <c r="D28" s="9" t="s">
        <v>62</v>
      </c>
      <c r="E28" s="9" t="s">
        <v>48</v>
      </c>
      <c r="F28" s="9">
        <v>3</v>
      </c>
      <c r="G28" s="9" t="s">
        <v>7</v>
      </c>
      <c r="H28" s="9" t="s">
        <v>52</v>
      </c>
      <c r="I28" s="15">
        <v>220493184.38999999</v>
      </c>
      <c r="J28" s="15">
        <v>29521762934.73</v>
      </c>
      <c r="K28" s="10">
        <f t="shared" si="1"/>
        <v>7.468835275098268E-3</v>
      </c>
      <c r="L28" s="16">
        <v>7.4999999999999997E-3</v>
      </c>
      <c r="M28" s="9" t="str">
        <f t="shared" si="2"/>
        <v>Sim</v>
      </c>
      <c r="N28" s="16">
        <v>9.0000000000000011E-3</v>
      </c>
      <c r="O28" s="16">
        <v>8.6E-3</v>
      </c>
      <c r="P28" s="16">
        <v>8.1000000000000013E-3</v>
      </c>
      <c r="Q28" s="15">
        <v>265695866.41</v>
      </c>
      <c r="R28" s="15">
        <v>252411073.09</v>
      </c>
      <c r="S28" s="15">
        <v>239126279.77000001</v>
      </c>
      <c r="T28" s="9" t="str">
        <f t="shared" si="3"/>
        <v>Abaixo do limite de alerta</v>
      </c>
      <c r="U28" s="9" t="s">
        <v>50</v>
      </c>
    </row>
    <row r="29" spans="1:21" x14ac:dyDescent="0.25">
      <c r="A29" s="9" t="str">
        <f t="shared" si="0"/>
        <v>Tribunal de Contas|1º quad. 2025</v>
      </c>
      <c r="B29" s="9" t="s">
        <v>21</v>
      </c>
      <c r="C29" s="9" t="s">
        <v>21</v>
      </c>
      <c r="D29" s="9" t="s">
        <v>62</v>
      </c>
      <c r="E29" s="9" t="s">
        <v>53</v>
      </c>
      <c r="F29" s="9">
        <v>1</v>
      </c>
      <c r="G29" s="9" t="s">
        <v>8</v>
      </c>
      <c r="H29" s="9" t="s">
        <v>54</v>
      </c>
      <c r="I29" s="15">
        <v>221924605.58000001</v>
      </c>
      <c r="J29" s="15">
        <v>28527203881.439999</v>
      </c>
      <c r="K29" s="10">
        <f t="shared" si="1"/>
        <v>7.7794026537730794E-3</v>
      </c>
      <c r="L29" s="16">
        <v>7.8000000000000014E-3</v>
      </c>
      <c r="M29" s="9" t="str">
        <f t="shared" si="2"/>
        <v>Sim</v>
      </c>
      <c r="N29" s="16">
        <v>9.0000000000000011E-3</v>
      </c>
      <c r="O29" s="16">
        <v>8.6E-3</v>
      </c>
      <c r="P29" s="16">
        <v>8.1000000000000013E-3</v>
      </c>
      <c r="Q29" s="15">
        <v>256744834.93000001</v>
      </c>
      <c r="R29" s="15">
        <v>243907593.18000001</v>
      </c>
      <c r="S29" s="15">
        <v>231070351.44</v>
      </c>
      <c r="T29" s="9" t="str">
        <f t="shared" si="3"/>
        <v>Abaixo do limite de alerta</v>
      </c>
      <c r="U29" s="9" t="s">
        <v>50</v>
      </c>
    </row>
    <row r="30" spans="1:21" x14ac:dyDescent="0.25">
      <c r="A30" s="9" t="str">
        <f t="shared" si="0"/>
        <v>Tribunal de Contas|2º quad. 2025</v>
      </c>
      <c r="B30" s="9" t="s">
        <v>21</v>
      </c>
      <c r="C30" s="9" t="s">
        <v>21</v>
      </c>
      <c r="D30" s="9" t="s">
        <v>62</v>
      </c>
      <c r="E30" s="9" t="s">
        <v>53</v>
      </c>
      <c r="F30" s="9">
        <v>2</v>
      </c>
      <c r="G30" s="9" t="s">
        <v>9</v>
      </c>
      <c r="H30" s="9" t="s">
        <v>55</v>
      </c>
      <c r="I30" s="15">
        <v>235532217.03</v>
      </c>
      <c r="J30" s="15">
        <v>31304669753.330002</v>
      </c>
      <c r="K30" s="10">
        <f t="shared" si="1"/>
        <v>7.523868447931654E-3</v>
      </c>
      <c r="L30" s="16">
        <v>7.4999999999999997E-3</v>
      </c>
      <c r="M30" s="9" t="str">
        <f t="shared" si="2"/>
        <v>Sim</v>
      </c>
      <c r="N30" s="16">
        <v>9.0000000000000011E-3</v>
      </c>
      <c r="O30" s="16">
        <v>8.6E-3</v>
      </c>
      <c r="P30" s="16">
        <v>8.1000000000000013E-3</v>
      </c>
      <c r="Q30" s="15">
        <v>281742027.77999997</v>
      </c>
      <c r="R30" s="15">
        <v>267654926.38999999</v>
      </c>
      <c r="S30" s="15">
        <v>253567825</v>
      </c>
      <c r="T30" s="9" t="str">
        <f t="shared" si="3"/>
        <v>Abaixo do limite de alerta</v>
      </c>
      <c r="U30" s="9" t="s">
        <v>50</v>
      </c>
    </row>
    <row r="31" spans="1:21" x14ac:dyDescent="0.25">
      <c r="A31" s="9" t="str">
        <f t="shared" si="0"/>
        <v>Tribunal de Contas|3º quad. 2025</v>
      </c>
      <c r="B31" s="9" t="s">
        <v>21</v>
      </c>
      <c r="C31" s="9" t="s">
        <v>21</v>
      </c>
      <c r="D31" s="9" t="s">
        <v>62</v>
      </c>
      <c r="E31" s="9" t="s">
        <v>53</v>
      </c>
      <c r="F31" s="9">
        <v>3</v>
      </c>
      <c r="G31" s="9" t="s">
        <v>10</v>
      </c>
      <c r="H31" s="9" t="s">
        <v>56</v>
      </c>
      <c r="I31" s="15">
        <v>239715724.81999999</v>
      </c>
      <c r="J31" s="15">
        <v>32325883418.68</v>
      </c>
      <c r="K31" s="10">
        <f t="shared" si="1"/>
        <v>7.4155970222139897E-3</v>
      </c>
      <c r="L31" s="16">
        <v>7.4000000000000003E-3</v>
      </c>
      <c r="M31" s="9" t="str">
        <f t="shared" si="2"/>
        <v>Sim</v>
      </c>
      <c r="N31" s="16">
        <v>9.0000000000000011E-3</v>
      </c>
      <c r="O31" s="16">
        <v>8.6E-3</v>
      </c>
      <c r="P31" s="16">
        <v>8.1000000000000013E-3</v>
      </c>
      <c r="Q31" s="15">
        <v>290932950.76999998</v>
      </c>
      <c r="R31" s="15">
        <v>276386303.23000002</v>
      </c>
      <c r="S31" s="15">
        <v>261839655.69</v>
      </c>
      <c r="T31" s="9" t="str">
        <f t="shared" si="3"/>
        <v>Abaixo do limite de alerta</v>
      </c>
      <c r="U31" s="9" t="s">
        <v>50</v>
      </c>
    </row>
    <row r="32" spans="1:21" x14ac:dyDescent="0.25">
      <c r="A32" s="9" t="str">
        <f t="shared" si="0"/>
        <v>Tribunal de Contas|1º quad. 2026</v>
      </c>
      <c r="B32" s="9" t="s">
        <v>21</v>
      </c>
      <c r="C32" s="9" t="s">
        <v>21</v>
      </c>
      <c r="D32" s="9" t="s">
        <v>62</v>
      </c>
      <c r="E32" s="9" t="s">
        <v>57</v>
      </c>
      <c r="F32" s="9">
        <v>1</v>
      </c>
      <c r="G32" s="9" t="s">
        <v>11</v>
      </c>
      <c r="H32" s="9" t="s">
        <v>58</v>
      </c>
      <c r="I32" s="15">
        <v>252291939.19999999</v>
      </c>
      <c r="J32" s="15">
        <v>33721352132.52</v>
      </c>
      <c r="K32" s="10">
        <f t="shared" si="1"/>
        <v>7.4816673485846421E-3</v>
      </c>
      <c r="L32" s="16">
        <v>7.4999999999999997E-3</v>
      </c>
      <c r="M32" s="9" t="str">
        <f t="shared" si="2"/>
        <v>Sim</v>
      </c>
      <c r="N32" s="16">
        <v>9.0000000000000011E-3</v>
      </c>
      <c r="O32" s="16">
        <v>8.6E-3</v>
      </c>
      <c r="P32" s="16">
        <v>8.1000000000000013E-3</v>
      </c>
      <c r="Q32" s="15">
        <v>303492169.19</v>
      </c>
      <c r="R32" s="15">
        <v>288317560.73000002</v>
      </c>
      <c r="S32" s="15">
        <v>273142952.26999998</v>
      </c>
      <c r="T32" s="9" t="str">
        <f t="shared" si="3"/>
        <v>Abaixo do limite de alerta</v>
      </c>
      <c r="U32" s="9" t="s">
        <v>50</v>
      </c>
    </row>
    <row r="33" spans="1:21" x14ac:dyDescent="0.25">
      <c r="A33" s="9" t="str">
        <f t="shared" si="0"/>
        <v>Tribunal de Contas|2º quad. 2026</v>
      </c>
      <c r="B33" s="9" t="s">
        <v>21</v>
      </c>
      <c r="C33" s="9" t="s">
        <v>21</v>
      </c>
      <c r="D33" s="9" t="s">
        <v>62</v>
      </c>
      <c r="E33" s="9" t="s">
        <v>57</v>
      </c>
      <c r="F33" s="9">
        <v>2</v>
      </c>
      <c r="G33" s="9" t="s">
        <v>12</v>
      </c>
      <c r="H33" s="9" t="s">
        <v>59</v>
      </c>
      <c r="I33" s="15">
        <v>258385847.90000001</v>
      </c>
      <c r="J33" s="15">
        <v>35589294560.330002</v>
      </c>
      <c r="K33" s="10">
        <f t="shared" si="1"/>
        <v>7.2602126873290889E-3</v>
      </c>
      <c r="L33" s="16">
        <v>7.3000000000000001E-3</v>
      </c>
      <c r="M33" s="9" t="str">
        <f t="shared" si="2"/>
        <v>Sim</v>
      </c>
      <c r="N33" s="16">
        <v>9.0000000000000011E-3</v>
      </c>
      <c r="O33" s="16">
        <v>8.6E-3</v>
      </c>
      <c r="P33" s="16">
        <v>8.1000000000000013E-3</v>
      </c>
      <c r="Q33" s="15">
        <v>320303651.04000002</v>
      </c>
      <c r="R33" s="15">
        <v>304288468.49000001</v>
      </c>
      <c r="S33" s="15">
        <v>288273285.94</v>
      </c>
      <c r="T33" s="9" t="str">
        <f t="shared" si="3"/>
        <v>Abaixo do limite de alerta</v>
      </c>
      <c r="U33" s="9" t="s">
        <v>50</v>
      </c>
    </row>
    <row r="34" spans="1:21" x14ac:dyDescent="0.25">
      <c r="A34" s="9" t="str">
        <f t="shared" si="0"/>
        <v>Defensoria Pública|1º quad. 2024</v>
      </c>
      <c r="B34" s="9" t="s">
        <v>22</v>
      </c>
      <c r="C34" s="9" t="s">
        <v>22</v>
      </c>
      <c r="D34" s="9" t="s">
        <v>63</v>
      </c>
      <c r="E34" s="9" t="s">
        <v>48</v>
      </c>
      <c r="F34" s="9">
        <v>1</v>
      </c>
      <c r="G34" s="9" t="s">
        <v>5</v>
      </c>
      <c r="H34" s="9" t="s">
        <v>49</v>
      </c>
      <c r="I34" s="15">
        <v>191120821.44</v>
      </c>
      <c r="J34" s="15">
        <v>26486633151.779999</v>
      </c>
      <c r="K34" s="10">
        <f t="shared" si="1"/>
        <v>7.215746159385153E-3</v>
      </c>
      <c r="L34" s="10"/>
      <c r="M34" s="9" t="str">
        <f t="shared" si="2"/>
        <v>Não declarado</v>
      </c>
      <c r="N34" s="10"/>
      <c r="O34" s="10"/>
      <c r="P34" s="10"/>
      <c r="Q34" s="17"/>
      <c r="R34" s="17"/>
      <c r="S34" s="17"/>
      <c r="T34" s="9" t="str">
        <f t="shared" si="3"/>
        <v>Sem limite próprio na LRF</v>
      </c>
      <c r="U34" s="9" t="s">
        <v>64</v>
      </c>
    </row>
    <row r="35" spans="1:21" x14ac:dyDescent="0.25">
      <c r="A35" s="9" t="str">
        <f t="shared" si="0"/>
        <v>Defensoria Pública|2º quad. 2024</v>
      </c>
      <c r="B35" s="9" t="s">
        <v>22</v>
      </c>
      <c r="C35" s="9" t="s">
        <v>22</v>
      </c>
      <c r="D35" s="9" t="s">
        <v>63</v>
      </c>
      <c r="E35" s="9" t="s">
        <v>48</v>
      </c>
      <c r="F35" s="9">
        <v>2</v>
      </c>
      <c r="G35" s="9" t="s">
        <v>6</v>
      </c>
      <c r="H35" s="9" t="s">
        <v>51</v>
      </c>
      <c r="I35" s="15">
        <v>202586331.08000001</v>
      </c>
      <c r="J35" s="15">
        <v>27863493181.43</v>
      </c>
      <c r="K35" s="10">
        <f t="shared" si="1"/>
        <v>7.2706724085484153E-3</v>
      </c>
      <c r="L35" s="10"/>
      <c r="M35" s="9" t="str">
        <f t="shared" si="2"/>
        <v>Não declarado</v>
      </c>
      <c r="N35" s="10"/>
      <c r="O35" s="10"/>
      <c r="P35" s="10"/>
      <c r="Q35" s="17"/>
      <c r="R35" s="17"/>
      <c r="S35" s="17"/>
      <c r="T35" s="9" t="str">
        <f t="shared" si="3"/>
        <v>Sem limite próprio na LRF</v>
      </c>
      <c r="U35" s="9" t="s">
        <v>64</v>
      </c>
    </row>
    <row r="36" spans="1:21" x14ac:dyDescent="0.25">
      <c r="A36" s="9" t="str">
        <f t="shared" si="0"/>
        <v>Defensoria Pública|3º quad. 2024</v>
      </c>
      <c r="B36" s="9" t="s">
        <v>22</v>
      </c>
      <c r="C36" s="9" t="s">
        <v>22</v>
      </c>
      <c r="D36" s="9" t="s">
        <v>63</v>
      </c>
      <c r="E36" s="9" t="s">
        <v>48</v>
      </c>
      <c r="F36" s="9">
        <v>3</v>
      </c>
      <c r="G36" s="9" t="s">
        <v>7</v>
      </c>
      <c r="H36" s="9" t="s">
        <v>52</v>
      </c>
      <c r="I36" s="15">
        <v>214511790.50999999</v>
      </c>
      <c r="J36" s="15">
        <v>29521762934.73</v>
      </c>
      <c r="K36" s="10">
        <f t="shared" si="1"/>
        <v>7.2662256310460369E-3</v>
      </c>
      <c r="L36" s="10"/>
      <c r="M36" s="9" t="str">
        <f t="shared" si="2"/>
        <v>Não declarado</v>
      </c>
      <c r="N36" s="10"/>
      <c r="O36" s="10"/>
      <c r="P36" s="10"/>
      <c r="Q36" s="17"/>
      <c r="R36" s="17"/>
      <c r="S36" s="17"/>
      <c r="T36" s="9" t="str">
        <f t="shared" si="3"/>
        <v>Sem limite próprio na LRF</v>
      </c>
      <c r="U36" s="9" t="s">
        <v>64</v>
      </c>
    </row>
    <row r="37" spans="1:21" x14ac:dyDescent="0.25">
      <c r="A37" s="9" t="str">
        <f t="shared" si="0"/>
        <v>Defensoria Pública|1º quad. 2025</v>
      </c>
      <c r="B37" s="9" t="s">
        <v>22</v>
      </c>
      <c r="C37" s="9" t="s">
        <v>22</v>
      </c>
      <c r="D37" s="9" t="s">
        <v>63</v>
      </c>
      <c r="E37" s="9" t="s">
        <v>53</v>
      </c>
      <c r="F37" s="9">
        <v>1</v>
      </c>
      <c r="G37" s="9" t="s">
        <v>8</v>
      </c>
      <c r="H37" s="9" t="s">
        <v>54</v>
      </c>
      <c r="I37" s="15">
        <v>231596625.38</v>
      </c>
      <c r="J37" s="15">
        <v>28527203881.439999</v>
      </c>
      <c r="K37" s="10">
        <f t="shared" si="1"/>
        <v>8.1184481431311392E-3</v>
      </c>
      <c r="L37" s="10"/>
      <c r="M37" s="9" t="str">
        <f t="shared" si="2"/>
        <v>Não declarado</v>
      </c>
      <c r="N37" s="10"/>
      <c r="O37" s="10"/>
      <c r="P37" s="10"/>
      <c r="Q37" s="17"/>
      <c r="R37" s="17"/>
      <c r="S37" s="17"/>
      <c r="T37" s="9" t="str">
        <f t="shared" si="3"/>
        <v>Sem limite próprio na LRF</v>
      </c>
      <c r="U37" s="9" t="s">
        <v>64</v>
      </c>
    </row>
    <row r="38" spans="1:21" x14ac:dyDescent="0.25">
      <c r="A38" s="9" t="str">
        <f t="shared" si="0"/>
        <v>Defensoria Pública|2º quad. 2025</v>
      </c>
      <c r="B38" s="9" t="s">
        <v>22</v>
      </c>
      <c r="C38" s="9" t="s">
        <v>22</v>
      </c>
      <c r="D38" s="9" t="s">
        <v>63</v>
      </c>
      <c r="E38" s="9" t="s">
        <v>53</v>
      </c>
      <c r="F38" s="9">
        <v>2</v>
      </c>
      <c r="G38" s="9" t="s">
        <v>9</v>
      </c>
      <c r="H38" s="9" t="s">
        <v>55</v>
      </c>
      <c r="I38" s="15">
        <v>247656478.90000001</v>
      </c>
      <c r="J38" s="15">
        <v>31304669753.330002</v>
      </c>
      <c r="K38" s="10">
        <f t="shared" si="1"/>
        <v>7.9111672747691521E-3</v>
      </c>
      <c r="L38" s="10"/>
      <c r="M38" s="9" t="str">
        <f t="shared" si="2"/>
        <v>Não declarado</v>
      </c>
      <c r="N38" s="10"/>
      <c r="O38" s="10"/>
      <c r="P38" s="10"/>
      <c r="Q38" s="17"/>
      <c r="R38" s="17"/>
      <c r="S38" s="17"/>
      <c r="T38" s="9" t="str">
        <f t="shared" si="3"/>
        <v>Sem limite próprio na LRF</v>
      </c>
      <c r="U38" s="9" t="s">
        <v>64</v>
      </c>
    </row>
    <row r="39" spans="1:21" x14ac:dyDescent="0.25">
      <c r="A39" s="9" t="str">
        <f t="shared" si="0"/>
        <v>Defensoria Pública|3º quad. 2025</v>
      </c>
      <c r="B39" s="9" t="s">
        <v>22</v>
      </c>
      <c r="C39" s="9" t="s">
        <v>22</v>
      </c>
      <c r="D39" s="9" t="s">
        <v>63</v>
      </c>
      <c r="E39" s="9" t="s">
        <v>53</v>
      </c>
      <c r="F39" s="9">
        <v>3</v>
      </c>
      <c r="G39" s="9" t="s">
        <v>10</v>
      </c>
      <c r="H39" s="9" t="s">
        <v>56</v>
      </c>
      <c r="I39" s="15">
        <v>276084429.81</v>
      </c>
      <c r="J39" s="15">
        <v>32325883418.68</v>
      </c>
      <c r="K39" s="10">
        <f t="shared" si="1"/>
        <v>8.5406615570004941E-3</v>
      </c>
      <c r="L39" s="10"/>
      <c r="M39" s="9" t="str">
        <f t="shared" si="2"/>
        <v>Não declarado</v>
      </c>
      <c r="N39" s="10"/>
      <c r="O39" s="10"/>
      <c r="P39" s="10"/>
      <c r="Q39" s="17"/>
      <c r="R39" s="17"/>
      <c r="S39" s="17"/>
      <c r="T39" s="9" t="str">
        <f t="shared" si="3"/>
        <v>Sem limite próprio na LRF</v>
      </c>
      <c r="U39" s="9" t="s">
        <v>64</v>
      </c>
    </row>
    <row r="40" spans="1:21" x14ac:dyDescent="0.25">
      <c r="A40" s="9" t="str">
        <f t="shared" si="0"/>
        <v>Defensoria Pública|1º quad. 2026</v>
      </c>
      <c r="B40" s="9" t="s">
        <v>22</v>
      </c>
      <c r="C40" s="9" t="s">
        <v>22</v>
      </c>
      <c r="D40" s="9" t="s">
        <v>63</v>
      </c>
      <c r="E40" s="9" t="s">
        <v>57</v>
      </c>
      <c r="F40" s="9">
        <v>1</v>
      </c>
      <c r="G40" s="9" t="s">
        <v>11</v>
      </c>
      <c r="H40" s="9" t="s">
        <v>58</v>
      </c>
      <c r="I40" s="15">
        <v>301281785.80000001</v>
      </c>
      <c r="J40" s="15">
        <v>33721352132.52</v>
      </c>
      <c r="K40" s="10">
        <f t="shared" si="1"/>
        <v>8.9344515195003589E-3</v>
      </c>
      <c r="L40" s="10"/>
      <c r="M40" s="9" t="str">
        <f t="shared" si="2"/>
        <v>Não declarado</v>
      </c>
      <c r="N40" s="10"/>
      <c r="O40" s="10"/>
      <c r="P40" s="10"/>
      <c r="Q40" s="17"/>
      <c r="R40" s="17"/>
      <c r="S40" s="17"/>
      <c r="T40" s="9" t="str">
        <f t="shared" si="3"/>
        <v>Sem limite próprio na LRF</v>
      </c>
      <c r="U40" s="9" t="s">
        <v>64</v>
      </c>
    </row>
    <row r="41" spans="1:21" x14ac:dyDescent="0.25">
      <c r="A41" s="9" t="str">
        <f t="shared" si="0"/>
        <v>Defensoria Pública|2º quad. 2026</v>
      </c>
      <c r="B41" s="9" t="s">
        <v>22</v>
      </c>
      <c r="C41" s="9" t="s">
        <v>22</v>
      </c>
      <c r="D41" s="9" t="s">
        <v>63</v>
      </c>
      <c r="E41" s="9" t="s">
        <v>57</v>
      </c>
      <c r="F41" s="9">
        <v>2</v>
      </c>
      <c r="G41" s="9" t="s">
        <v>12</v>
      </c>
      <c r="H41" s="9" t="s">
        <v>59</v>
      </c>
      <c r="I41" s="15">
        <v>323990529.70999998</v>
      </c>
      <c r="J41" s="15">
        <v>35589294560.330002</v>
      </c>
      <c r="K41" s="10">
        <f t="shared" si="1"/>
        <v>9.1035951600777036E-3</v>
      </c>
      <c r="L41" s="10"/>
      <c r="M41" s="9" t="str">
        <f t="shared" si="2"/>
        <v>Não declarado</v>
      </c>
      <c r="N41" s="10"/>
      <c r="O41" s="10"/>
      <c r="P41" s="10"/>
      <c r="Q41" s="17"/>
      <c r="R41" s="17"/>
      <c r="S41" s="17"/>
      <c r="T41" s="9" t="str">
        <f t="shared" si="3"/>
        <v>Sem limite próprio na LRF</v>
      </c>
      <c r="U41" s="9" t="s">
        <v>64</v>
      </c>
    </row>
    <row r="42" spans="1:21" x14ac:dyDescent="0.25">
      <c r="A42" s="9" t="str">
        <f t="shared" si="0"/>
        <v>Ministério Público|1º quad. 2024</v>
      </c>
      <c r="B42" s="9" t="s">
        <v>23</v>
      </c>
      <c r="C42" s="9" t="s">
        <v>23</v>
      </c>
      <c r="D42" s="9" t="s">
        <v>65</v>
      </c>
      <c r="E42" s="9" t="s">
        <v>48</v>
      </c>
      <c r="F42" s="9">
        <v>1</v>
      </c>
      <c r="G42" s="9" t="s">
        <v>5</v>
      </c>
      <c r="H42" s="9" t="s">
        <v>49</v>
      </c>
      <c r="I42" s="15">
        <v>495601166.32999998</v>
      </c>
      <c r="J42" s="15">
        <v>26486333151.779999</v>
      </c>
      <c r="K42" s="10">
        <f t="shared" si="1"/>
        <v>1.8711580930812741E-2</v>
      </c>
      <c r="L42" s="16">
        <v>1.8700000000000001E-2</v>
      </c>
      <c r="M42" s="9" t="str">
        <f t="shared" si="2"/>
        <v>Sim</v>
      </c>
      <c r="N42" s="16">
        <v>0.02</v>
      </c>
      <c r="O42" s="16">
        <v>1.9E-2</v>
      </c>
      <c r="P42" s="16">
        <v>1.7999999999999999E-2</v>
      </c>
      <c r="Q42" s="15">
        <v>529726663.02999997</v>
      </c>
      <c r="R42" s="15">
        <v>503240329.88</v>
      </c>
      <c r="S42" s="15">
        <v>476753996.73000002</v>
      </c>
      <c r="T42" s="9" t="str">
        <f t="shared" si="3"/>
        <v>Acima do limite de alerta</v>
      </c>
      <c r="U42" s="9" t="s">
        <v>50</v>
      </c>
    </row>
    <row r="43" spans="1:21" x14ac:dyDescent="0.25">
      <c r="A43" s="9" t="str">
        <f t="shared" si="0"/>
        <v>Ministério Público|2º quad. 2024</v>
      </c>
      <c r="B43" s="9" t="s">
        <v>23</v>
      </c>
      <c r="C43" s="9" t="s">
        <v>23</v>
      </c>
      <c r="D43" s="9" t="s">
        <v>65</v>
      </c>
      <c r="E43" s="9" t="s">
        <v>48</v>
      </c>
      <c r="F43" s="9">
        <v>2</v>
      </c>
      <c r="G43" s="9" t="s">
        <v>6</v>
      </c>
      <c r="H43" s="9" t="s">
        <v>51</v>
      </c>
      <c r="I43" s="15">
        <v>511930156.45999998</v>
      </c>
      <c r="J43" s="15">
        <v>27863493181.43</v>
      </c>
      <c r="K43" s="10">
        <f t="shared" si="1"/>
        <v>1.8372791707293279E-2</v>
      </c>
      <c r="L43" s="16">
        <v>1.84E-2</v>
      </c>
      <c r="M43" s="9" t="str">
        <f t="shared" si="2"/>
        <v>Sim</v>
      </c>
      <c r="N43" s="16">
        <v>0.02</v>
      </c>
      <c r="O43" s="16">
        <v>1.9E-2</v>
      </c>
      <c r="P43" s="16">
        <v>1.7999999999999999E-2</v>
      </c>
      <c r="Q43" s="15">
        <v>557269863.62</v>
      </c>
      <c r="R43" s="15">
        <v>529406370.44</v>
      </c>
      <c r="S43" s="15">
        <v>501542877.25999999</v>
      </c>
      <c r="T43" s="9" t="str">
        <f t="shared" si="3"/>
        <v>Acima do limite de alerta</v>
      </c>
      <c r="U43" s="9" t="s">
        <v>50</v>
      </c>
    </row>
    <row r="44" spans="1:21" x14ac:dyDescent="0.25">
      <c r="A44" s="9" t="str">
        <f t="shared" si="0"/>
        <v>Ministério Público|3º quad. 2024</v>
      </c>
      <c r="B44" s="9" t="s">
        <v>23</v>
      </c>
      <c r="C44" s="9" t="s">
        <v>23</v>
      </c>
      <c r="D44" s="9" t="s">
        <v>65</v>
      </c>
      <c r="E44" s="9" t="s">
        <v>48</v>
      </c>
      <c r="F44" s="9">
        <v>3</v>
      </c>
      <c r="G44" s="9" t="s">
        <v>7</v>
      </c>
      <c r="H44" s="9" t="s">
        <v>52</v>
      </c>
      <c r="I44" s="15">
        <v>546582521.99000001</v>
      </c>
      <c r="J44" s="15">
        <v>29521762934.73</v>
      </c>
      <c r="K44" s="10">
        <f t="shared" si="1"/>
        <v>1.8514562399218688E-2</v>
      </c>
      <c r="L44" s="16">
        <v>1.8499999999999999E-2</v>
      </c>
      <c r="M44" s="9" t="str">
        <f t="shared" si="2"/>
        <v>Sim</v>
      </c>
      <c r="N44" s="16">
        <v>0.02</v>
      </c>
      <c r="O44" s="16">
        <v>1.9E-2</v>
      </c>
      <c r="P44" s="16">
        <v>1.7999999999999999E-2</v>
      </c>
      <c r="Q44" s="15">
        <v>590435258.69000006</v>
      </c>
      <c r="R44" s="15">
        <v>560913495.75999999</v>
      </c>
      <c r="S44" s="15">
        <v>531391732.81999999</v>
      </c>
      <c r="T44" s="9" t="str">
        <f t="shared" si="3"/>
        <v>Acima do limite de alerta</v>
      </c>
      <c r="U44" s="9" t="s">
        <v>50</v>
      </c>
    </row>
    <row r="45" spans="1:21" x14ac:dyDescent="0.25">
      <c r="A45" s="9" t="str">
        <f t="shared" si="0"/>
        <v>Ministério Público|1º quad. 2025</v>
      </c>
      <c r="B45" s="9" t="s">
        <v>23</v>
      </c>
      <c r="C45" s="9" t="s">
        <v>23</v>
      </c>
      <c r="D45" s="9" t="s">
        <v>65</v>
      </c>
      <c r="E45" s="9" t="s">
        <v>53</v>
      </c>
      <c r="F45" s="9">
        <v>1</v>
      </c>
      <c r="G45" s="9" t="s">
        <v>8</v>
      </c>
      <c r="H45" s="9" t="s">
        <v>54</v>
      </c>
      <c r="I45" s="15">
        <v>573636115.99000001</v>
      </c>
      <c r="J45" s="15">
        <v>28527203881.439999</v>
      </c>
      <c r="K45" s="10">
        <f t="shared" si="1"/>
        <v>2.0108389114266181E-2</v>
      </c>
      <c r="L45" s="16">
        <v>2.01E-2</v>
      </c>
      <c r="M45" s="9" t="str">
        <f t="shared" si="2"/>
        <v>Sim</v>
      </c>
      <c r="N45" s="16">
        <v>0.02</v>
      </c>
      <c r="O45" s="16">
        <v>1.9E-2</v>
      </c>
      <c r="P45" s="16">
        <v>1.7999999999999999E-2</v>
      </c>
      <c r="Q45" s="15">
        <v>570544077.62</v>
      </c>
      <c r="R45" s="15">
        <v>542016873.74000001</v>
      </c>
      <c r="S45" s="15">
        <v>513489669.86000001</v>
      </c>
      <c r="T45" s="9" t="str">
        <f t="shared" si="3"/>
        <v>Acima do limite máximo</v>
      </c>
      <c r="U45" s="9" t="s">
        <v>50</v>
      </c>
    </row>
    <row r="46" spans="1:21" x14ac:dyDescent="0.25">
      <c r="A46" s="9" t="str">
        <f t="shared" si="0"/>
        <v>Ministério Público|2º quad. 2025</v>
      </c>
      <c r="B46" s="9" t="s">
        <v>23</v>
      </c>
      <c r="C46" s="9" t="s">
        <v>23</v>
      </c>
      <c r="D46" s="9" t="s">
        <v>65</v>
      </c>
      <c r="E46" s="9" t="s">
        <v>53</v>
      </c>
      <c r="F46" s="9">
        <v>2</v>
      </c>
      <c r="G46" s="9" t="s">
        <v>9</v>
      </c>
      <c r="H46" s="9" t="s">
        <v>55</v>
      </c>
      <c r="I46" s="15">
        <v>599692163.88999999</v>
      </c>
      <c r="J46" s="15">
        <v>31304669753.330002</v>
      </c>
      <c r="K46" s="10">
        <f t="shared" si="1"/>
        <v>1.9156636010389739E-2</v>
      </c>
      <c r="L46" s="16">
        <v>1.9199999999999998E-2</v>
      </c>
      <c r="M46" s="9" t="str">
        <f t="shared" si="2"/>
        <v>Sim</v>
      </c>
      <c r="N46" s="16">
        <v>0.02</v>
      </c>
      <c r="O46" s="16">
        <v>1.9E-2</v>
      </c>
      <c r="P46" s="16">
        <v>1.7999999999999999E-2</v>
      </c>
      <c r="Q46" s="15">
        <v>626196808.37</v>
      </c>
      <c r="R46" s="15">
        <v>594886967.95000005</v>
      </c>
      <c r="S46" s="15">
        <v>563577127.52999997</v>
      </c>
      <c r="T46" s="9" t="str">
        <f t="shared" si="3"/>
        <v>Acima do limite prudencial</v>
      </c>
      <c r="U46" s="9" t="s">
        <v>50</v>
      </c>
    </row>
    <row r="47" spans="1:21" x14ac:dyDescent="0.25">
      <c r="A47" s="9" t="str">
        <f t="shared" si="0"/>
        <v>Ministério Público|3º quad. 2025</v>
      </c>
      <c r="B47" s="9" t="s">
        <v>23</v>
      </c>
      <c r="C47" s="9" t="s">
        <v>23</v>
      </c>
      <c r="D47" s="9" t="s">
        <v>65</v>
      </c>
      <c r="E47" s="9" t="s">
        <v>53</v>
      </c>
      <c r="F47" s="9">
        <v>3</v>
      </c>
      <c r="G47" s="9" t="s">
        <v>10</v>
      </c>
      <c r="H47" s="9" t="s">
        <v>56</v>
      </c>
      <c r="I47" s="15">
        <v>615906871.32000005</v>
      </c>
      <c r="J47" s="15">
        <v>32325883418.68</v>
      </c>
      <c r="K47" s="10">
        <f t="shared" si="1"/>
        <v>1.905305613284768E-2</v>
      </c>
      <c r="L47" s="16">
        <v>1.9099999999999999E-2</v>
      </c>
      <c r="M47" s="9" t="str">
        <f t="shared" si="2"/>
        <v>Sim</v>
      </c>
      <c r="N47" s="16">
        <v>0.02</v>
      </c>
      <c r="O47" s="16">
        <v>1.9E-2</v>
      </c>
      <c r="P47" s="16">
        <v>1.7999999999999999E-2</v>
      </c>
      <c r="Q47" s="15">
        <v>646517668.37</v>
      </c>
      <c r="R47" s="15">
        <v>614191784.95000005</v>
      </c>
      <c r="S47" s="15">
        <v>581865901.52999997</v>
      </c>
      <c r="T47" s="9" t="str">
        <f t="shared" si="3"/>
        <v>Acima do limite prudencial</v>
      </c>
      <c r="U47" s="9" t="s">
        <v>50</v>
      </c>
    </row>
    <row r="48" spans="1:21" x14ac:dyDescent="0.25">
      <c r="A48" s="9" t="str">
        <f t="shared" si="0"/>
        <v>Ministério Público|1º quad. 2026</v>
      </c>
      <c r="B48" s="9" t="s">
        <v>23</v>
      </c>
      <c r="C48" s="9" t="s">
        <v>23</v>
      </c>
      <c r="D48" s="9" t="s">
        <v>65</v>
      </c>
      <c r="E48" s="9" t="s">
        <v>57</v>
      </c>
      <c r="F48" s="9">
        <v>1</v>
      </c>
      <c r="G48" s="9" t="s">
        <v>11</v>
      </c>
      <c r="H48" s="9" t="s">
        <v>58</v>
      </c>
      <c r="I48" s="15">
        <v>627197497.48000002</v>
      </c>
      <c r="J48" s="15">
        <v>33721352132.52</v>
      </c>
      <c r="K48" s="10">
        <f t="shared" si="1"/>
        <v>1.8599417218360795E-2</v>
      </c>
      <c r="L48" s="16">
        <v>1.8599999999999998E-2</v>
      </c>
      <c r="M48" s="9" t="str">
        <f t="shared" si="2"/>
        <v>Sim</v>
      </c>
      <c r="N48" s="16">
        <v>0.02</v>
      </c>
      <c r="O48" s="16">
        <v>1.9E-2</v>
      </c>
      <c r="P48" s="16">
        <v>1.7999999999999999E-2</v>
      </c>
      <c r="Q48" s="15">
        <v>674427042.64999998</v>
      </c>
      <c r="R48" s="15">
        <v>640705690.51999998</v>
      </c>
      <c r="S48" s="15">
        <v>606984338.38999999</v>
      </c>
      <c r="T48" s="9" t="str">
        <f t="shared" si="3"/>
        <v>Acima do limite de alerta</v>
      </c>
      <c r="U48" s="9" t="s">
        <v>50</v>
      </c>
    </row>
    <row r="49" spans="1:21" x14ac:dyDescent="0.25">
      <c r="A49" s="9" t="str">
        <f t="shared" si="0"/>
        <v>Ministério Público|2º quad. 2026</v>
      </c>
      <c r="B49" s="9" t="s">
        <v>23</v>
      </c>
      <c r="C49" s="9" t="s">
        <v>23</v>
      </c>
      <c r="D49" s="9" t="s">
        <v>65</v>
      </c>
      <c r="E49" s="9" t="s">
        <v>57</v>
      </c>
      <c r="F49" s="9">
        <v>2</v>
      </c>
      <c r="G49" s="9" t="s">
        <v>12</v>
      </c>
      <c r="H49" s="9" t="s">
        <v>59</v>
      </c>
      <c r="I49" s="15">
        <v>635964632.19000006</v>
      </c>
      <c r="J49" s="15">
        <v>35589294560.330002</v>
      </c>
      <c r="K49" s="10">
        <f t="shared" si="1"/>
        <v>1.7869548695659876E-2</v>
      </c>
      <c r="L49" s="16">
        <v>1.7899999999999999E-2</v>
      </c>
      <c r="M49" s="9" t="str">
        <f t="shared" si="2"/>
        <v>Sim</v>
      </c>
      <c r="N49" s="16">
        <v>0.02</v>
      </c>
      <c r="O49" s="16">
        <v>1.9E-2</v>
      </c>
      <c r="P49" s="16">
        <v>1.7999999999999999E-2</v>
      </c>
      <c r="Q49" s="15">
        <v>711785891.21000004</v>
      </c>
      <c r="R49" s="15">
        <v>676196596.64999998</v>
      </c>
      <c r="S49" s="15">
        <v>640607302.09000003</v>
      </c>
      <c r="T49" s="9" t="str">
        <f t="shared" si="3"/>
        <v>Abaixo do limite de alerta</v>
      </c>
      <c r="U49" s="9" t="s">
        <v>50</v>
      </c>
    </row>
  </sheetData>
  <autoFilter ref="A1:U49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66</v>
      </c>
    </row>
    <row r="3" spans="1:2" ht="30" customHeight="1" x14ac:dyDescent="0.25">
      <c r="A3" s="18" t="s">
        <v>67</v>
      </c>
      <c r="B3" s="19" t="s">
        <v>68</v>
      </c>
    </row>
    <row r="4" spans="1:2" ht="15" customHeight="1" x14ac:dyDescent="0.25">
      <c r="A4" s="18" t="s">
        <v>69</v>
      </c>
      <c r="B4" s="19" t="s">
        <v>70</v>
      </c>
    </row>
    <row r="5" spans="1:2" ht="30" customHeight="1" x14ac:dyDescent="0.25">
      <c r="A5" s="18" t="s">
        <v>71</v>
      </c>
      <c r="B5" s="19" t="s">
        <v>72</v>
      </c>
    </row>
    <row r="6" spans="1:2" ht="30" customHeight="1" x14ac:dyDescent="0.25">
      <c r="A6" s="18" t="s">
        <v>73</v>
      </c>
      <c r="B6" s="19" t="s">
        <v>74</v>
      </c>
    </row>
    <row r="7" spans="1:2" ht="30" customHeight="1" x14ac:dyDescent="0.25">
      <c r="A7" s="18" t="s">
        <v>75</v>
      </c>
      <c r="B7" s="19" t="s">
        <v>76</v>
      </c>
    </row>
    <row r="8" spans="1:2" ht="60" customHeight="1" x14ac:dyDescent="0.25">
      <c r="A8" s="18" t="s">
        <v>77</v>
      </c>
      <c r="B8" s="19" t="s">
        <v>78</v>
      </c>
    </row>
    <row r="9" spans="1:2" ht="45" customHeight="1" x14ac:dyDescent="0.25">
      <c r="A9" s="18" t="s">
        <v>79</v>
      </c>
      <c r="B9" s="19" t="s">
        <v>80</v>
      </c>
    </row>
    <row r="10" spans="1:2" ht="15" customHeight="1" x14ac:dyDescent="0.25">
      <c r="A10" s="18" t="s">
        <v>81</v>
      </c>
      <c r="B10" s="1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2026-10-15T09:56:22Z</dcterms:created>
  <dcterms:modified xsi:type="dcterms:W3CDTF">2026-10-15T09:57:04Z</dcterms:modified>
</cp:coreProperties>
</file>