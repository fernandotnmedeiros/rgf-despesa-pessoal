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E88795F79FCBA703E9E19E33ADC8551F17871ADA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2" l="1"/>
  <c r="A57" i="2"/>
  <c r="K56" i="2"/>
  <c r="A56" i="2"/>
  <c r="K55" i="2"/>
  <c r="A55" i="2"/>
  <c r="K54" i="2"/>
  <c r="A54" i="2"/>
  <c r="K53" i="2"/>
  <c r="A53" i="2"/>
  <c r="K52" i="2"/>
  <c r="A52" i="2"/>
  <c r="K51" i="2"/>
  <c r="A51" i="2"/>
  <c r="K50" i="2"/>
  <c r="A50" i="2"/>
  <c r="M49" i="2"/>
  <c r="K49" i="2"/>
  <c r="T49" i="2" s="1"/>
  <c r="A49" i="2"/>
  <c r="M48" i="2"/>
  <c r="K48" i="2"/>
  <c r="T48" i="2" s="1"/>
  <c r="A48" i="2"/>
  <c r="M47" i="2"/>
  <c r="K47" i="2"/>
  <c r="T47" i="2" s="1"/>
  <c r="A47" i="2"/>
  <c r="M46" i="2"/>
  <c r="K46" i="2"/>
  <c r="T46" i="2" s="1"/>
  <c r="A46" i="2"/>
  <c r="M45" i="2"/>
  <c r="K45" i="2"/>
  <c r="T45" i="2" s="1"/>
  <c r="A45" i="2"/>
  <c r="M44" i="2"/>
  <c r="K44" i="2"/>
  <c r="T44" i="2" s="1"/>
  <c r="A44" i="2"/>
  <c r="M43" i="2"/>
  <c r="K43" i="2"/>
  <c r="T43" i="2" s="1"/>
  <c r="A43" i="2"/>
  <c r="M42" i="2"/>
  <c r="K42" i="2"/>
  <c r="T42" i="2" s="1"/>
  <c r="A42" i="2"/>
  <c r="K41" i="2"/>
  <c r="A41" i="2"/>
  <c r="K40" i="2"/>
  <c r="A40" i="2"/>
  <c r="K39" i="2"/>
  <c r="A39" i="2"/>
  <c r="K38" i="2"/>
  <c r="A38" i="2"/>
  <c r="K37" i="2"/>
  <c r="A37" i="2"/>
  <c r="K36" i="2"/>
  <c r="A36" i="2"/>
  <c r="K35" i="2"/>
  <c r="A35" i="2"/>
  <c r="K34" i="2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E21" i="1"/>
  <c r="D21" i="1"/>
  <c r="C21" i="1"/>
  <c r="J20" i="1"/>
  <c r="I20" i="1"/>
  <c r="H20" i="1"/>
  <c r="G20" i="1"/>
  <c r="F20" i="1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C17" i="1"/>
  <c r="J13" i="1"/>
  <c r="I13" i="1"/>
  <c r="H13" i="1"/>
  <c r="G13" i="1"/>
  <c r="F13" i="1"/>
  <c r="E13" i="1"/>
  <c r="D13" i="1"/>
  <c r="C13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1" i="1" l="1"/>
  <c r="M50" i="2"/>
  <c r="T50" i="2"/>
  <c r="G23" i="1"/>
  <c r="F23" i="1"/>
  <c r="C23" i="1"/>
  <c r="H22" i="1"/>
  <c r="H12" i="1"/>
  <c r="D12" i="1"/>
  <c r="I11" i="1"/>
  <c r="J23" i="1"/>
  <c r="E23" i="1"/>
  <c r="J22" i="1"/>
  <c r="F22" i="1"/>
  <c r="K12" i="1"/>
  <c r="E12" i="1"/>
  <c r="K11" i="1"/>
  <c r="H23" i="1"/>
  <c r="D23" i="1"/>
  <c r="I22" i="1"/>
  <c r="E22" i="1"/>
  <c r="J12" i="1"/>
  <c r="F12" i="1"/>
  <c r="J11" i="1"/>
  <c r="I12" i="1"/>
  <c r="C12" i="1"/>
  <c r="H11" i="1"/>
  <c r="I23" i="1"/>
  <c r="G22" i="1"/>
  <c r="G12" i="1"/>
  <c r="M20" i="2"/>
  <c r="T20" i="2"/>
  <c r="T57" i="2"/>
  <c r="L12" i="1" s="1"/>
  <c r="M57" i="2"/>
  <c r="T56" i="2"/>
  <c r="M56" i="2"/>
  <c r="T55" i="2"/>
  <c r="M55" i="2"/>
  <c r="T54" i="2"/>
  <c r="M54" i="2"/>
  <c r="T53" i="2"/>
  <c r="M53" i="2"/>
  <c r="T52" i="2"/>
  <c r="M52" i="2"/>
  <c r="T51" i="2"/>
  <c r="M51" i="2"/>
  <c r="T41" i="2"/>
  <c r="L10" i="1" s="1"/>
  <c r="M41" i="2"/>
  <c r="M40" i="2"/>
  <c r="T40" i="2"/>
  <c r="T39" i="2"/>
  <c r="M39" i="2"/>
  <c r="M38" i="2"/>
  <c r="T38" i="2"/>
  <c r="T37" i="2"/>
  <c r="M37" i="2"/>
  <c r="T36" i="2"/>
  <c r="M36" i="2"/>
  <c r="T35" i="2"/>
  <c r="M35" i="2"/>
  <c r="M34" i="2"/>
  <c r="T34" i="2"/>
  <c r="M33" i="2"/>
  <c r="T33" i="2"/>
  <c r="L9" i="1" s="1"/>
  <c r="T32" i="2"/>
  <c r="M32" i="2"/>
  <c r="M31" i="2"/>
  <c r="T31" i="2"/>
  <c r="M30" i="2"/>
  <c r="T30" i="2"/>
  <c r="M29" i="2"/>
  <c r="T29" i="2"/>
  <c r="T28" i="2"/>
  <c r="M28" i="2"/>
  <c r="M27" i="2"/>
  <c r="T27" i="2"/>
  <c r="T26" i="2"/>
  <c r="M26" i="2"/>
  <c r="T25" i="2"/>
  <c r="M25" i="2"/>
  <c r="M24" i="2"/>
  <c r="T24" i="2"/>
  <c r="T23" i="2"/>
  <c r="M23" i="2"/>
  <c r="T22" i="2"/>
  <c r="M22" i="2"/>
  <c r="T21" i="2"/>
  <c r="M21" i="2"/>
  <c r="T19" i="2"/>
  <c r="M19" i="2"/>
  <c r="T18" i="2"/>
  <c r="M18" i="2"/>
  <c r="M17" i="2"/>
  <c r="T17" i="2"/>
  <c r="L7" i="1" s="1"/>
  <c r="M16" i="2"/>
  <c r="T16" i="2"/>
  <c r="M15" i="2"/>
  <c r="T15" i="2"/>
  <c r="T14" i="2"/>
  <c r="M14" i="2"/>
  <c r="M13" i="2"/>
  <c r="T13" i="2"/>
  <c r="M12" i="2"/>
  <c r="T12" i="2"/>
  <c r="T11" i="2"/>
  <c r="M11" i="2"/>
  <c r="M10" i="2"/>
  <c r="T10" i="2"/>
  <c r="M9" i="2"/>
  <c r="T9" i="2"/>
  <c r="L6" i="1" s="1"/>
  <c r="M8" i="2"/>
  <c r="T8" i="2"/>
  <c r="T7" i="2"/>
  <c r="M7" i="2"/>
  <c r="T6" i="2"/>
  <c r="M6" i="2"/>
  <c r="T5" i="2"/>
  <c r="M5" i="2"/>
  <c r="T4" i="2"/>
  <c r="M4" i="2"/>
  <c r="T3" i="2"/>
  <c r="M3" i="2"/>
  <c r="T2" i="2"/>
  <c r="M2" i="2"/>
  <c r="D22" i="1"/>
  <c r="C22" i="1"/>
  <c r="J21" i="1"/>
  <c r="I21" i="1"/>
  <c r="H21" i="1"/>
  <c r="G21" i="1"/>
  <c r="F21" i="1"/>
  <c r="L8" i="1"/>
  <c r="K8" i="1"/>
  <c r="J8" i="1"/>
  <c r="I8" i="1"/>
  <c r="H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<sst xmlns="http://schemas.openxmlformats.org/spreadsheetml/2006/main" count="487" uniqueCount="84">
  <si>
    <t>Despesa total com pessoal - Minas Gerais (MG)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</si>
  <si>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</si>
  <si>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</si>
  <si>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</si>
  <si>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</si>
  <si>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</si>
  <si>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</si>
  <si>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</si>
  <si>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</si>
  <si>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</si>
  <si>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</si>
  <si>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</si>
  <si>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</si>
  <si>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</si>
  <si>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</si>
  <si>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</si>
  <si>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</si>
  <si>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</si>
  <si>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</si>
  <si>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</si>
  <si>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</si>
  <si>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Justiça Militar de Minas Gerais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</si>
  <si>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</si>
  <si>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</si>
  <si>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</si>
  <si>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</si>
  <si>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</si>
  <si>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</si>
  <si>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</si>
  <si>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</si>
  <si>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</si>
  <si>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</si>
  <si>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</si>
  <si>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</si>
  <si>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</si>
  <si>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</si>
  <si>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</si>
  <si>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</si>
  <si>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</si>
  <si>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</si>
  <si>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</si>
  <si>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</si>
  <si>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</si>
  <si>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</si>
  <si>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</si>
  <si>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</si>
  <si>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</si>
  <si>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</si>
  <si>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de Minas Gerais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</si>
  <si>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</si>
  <si>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</si>
  <si>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</si>
  <si>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</si>
  <si>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</si>
  <si>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</si>
  <si>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</si>
  <si>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</si>
  <si>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</si>
  <si>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</si>
  <si>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</si>
  <si>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</si>
  <si>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de Minas Gerais</t>
  </si>
  <si>
    <t>Tribunal de Justiça do Estado de Minas Gerais</t>
  </si>
  <si>
    <t>Tribunal de Contas do Estado de Minas Gerais</t>
  </si>
  <si>
    <t>Defensoria Pública do Estado de Minas Gerais</t>
  </si>
  <si>
    <t>Calculado (despesa líquida / RCL Ajustada do Executivo)</t>
  </si>
  <si>
    <t>Ministério Público do Estado de Minas Gerais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</si>
  <si>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</si>
  <si>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</si>
  <si>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</si>
  <si>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</si>
  <si>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Minas Gerais (MG).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</si>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</sst>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IFERROR(IF(INDEX(Dados!$K$2:$K$57,MATCH($A6&amp;"|"&amp;C$5,Dados!$A$2:$A$57,0))="","",INDEX(Dados!$K$2:$K$57,MATCH($A6&amp;"|"&amp;C$5,Dados!$A$2:$A$57,0))),"")</f>
        <v>0.50367364869066666</v>
      </c>
      <c r="D6" s="7">
        <f>IFERROR(IF(INDEX(Dados!$K$2:$K$57,MATCH($A6&amp;"|"&amp;D$5,Dados!$A$2:$A$57,0))="","",INDEX(Dados!$K$2:$K$57,MATCH($A6&amp;"|"&amp;D$5,Dados!$A$2:$A$57,0))),"")</f>
        <v>0.50119288574698129</v>
      </c>
      <c r="E6" s="7">
        <f>IFERROR(IF(INDEX(Dados!$K$2:$K$57,MATCH($A6&amp;"|"&amp;E$5,Dados!$A$2:$A$57,0))="","",INDEX(Dados!$K$2:$K$57,MATCH($A6&amp;"|"&amp;E$5,Dados!$A$2:$A$57,0))),"")</f>
        <v>0.48800841481245949</v>
      </c>
      <c r="F6" s="7">
        <f>IFERROR(IF(INDEX(Dados!$K$2:$K$57,MATCH($A6&amp;"|"&amp;F$5,Dados!$A$2:$A$57,0))="","",INDEX(Dados!$K$2:$K$57,MATCH($A6&amp;"|"&amp;F$5,Dados!$A$2:$A$57,0))),"")</f>
        <v>0.48806943482359361</v>
      </c>
      <c r="G6" s="7">
        <f>IFERROR(IF(INDEX(Dados!$K$2:$K$57,MATCH($A6&amp;"|"&amp;G$5,Dados!$A$2:$A$57,0))="","",INDEX(Dados!$K$2:$K$57,MATCH($A6&amp;"|"&amp;G$5,Dados!$A$2:$A$57,0))),"")</f>
        <v>0.48518597610740277</v>
      </c>
      <c r="H6" s="7">
        <f>IFERROR(IF(INDEX(Dados!$K$2:$K$57,MATCH($A6&amp;"|"&amp;H$5,Dados!$A$2:$A$57,0))="","",INDEX(Dados!$K$2:$K$57,MATCH($A6&amp;"|"&amp;H$5,Dados!$A$2:$A$57,0))),"")</f>
        <v>0.48216831609496924</v>
      </c>
      <c r="I6" s="7">
        <f>IFERROR(IF(INDEX(Dados!$K$2:$K$57,MATCH($A6&amp;"|"&amp;I$5,Dados!$A$2:$A$57,0))="","",INDEX(Dados!$K$2:$K$57,MATCH($A6&amp;"|"&amp;I$5,Dados!$A$2:$A$57,0))),"")</f>
        <v>0.48102726039543764</v>
      </c>
      <c r="J6" s="7">
        <f>IFERROR(IF(INDEX(Dados!$K$2:$K$57,MATCH($A6&amp;"|"&amp;J$5,Dados!$A$2:$A$57,0))="","",INDEX(Dados!$K$2:$K$57,MATCH($A6&amp;"|"&amp;J$5,Dados!$A$2:$A$57,0))),"")</f>
        <v>0.4736428352135777</v>
      </c>
      <c r="K6" s="7">
        <f>IFERROR(IF(INDEX(Dados!$N$2:$N$57,MATCH($A6&amp;"|"&amp;J$5,Dados!$A$2:$A$57,0))=0,"—",INDEX(Dados!$N$2:$N$57,MATCH($A6&amp;"|"&amp;J$5,Dados!$A$2:$A$57,0))),"—")</f>
        <v>0.49</v>
      </c>
      <c r="L6" s="6" t="str">
        <f>IFERROR(IF(INDEX(Dados!$T$2:$T$57,MATCH($A6&amp;"|"&amp;J$5,Dados!$A$2:$A$57,0))="","—",INDEX(Dados!$T$2:$T$57,MATCH($A6&amp;"|"&amp;J$5,Dados!$A$2:$A$57,0))),"—")</f>
        <v>Acima do limite prudencial</v>
      </c>
    </row>
    <row r="7" spans="1:12" x14ac:dyDescent="0.25">
      <c r="A7" s="8" t="s">
        <v>17</v>
      </c>
      <c r="B7" s="9" t="s">
        <v>18</v>
      </c>
      <c r="C7" s="10">
        <f>IFERROR(IF(INDEX(Dados!$K$2:$K$57,MATCH($A7&amp;"|"&amp;C$5,Dados!$A$2:$A$57,0))="","",INDEX(Dados!$K$2:$K$57,MATCH($A7&amp;"|"&amp;C$5,Dados!$A$2:$A$57,0))),"")</f>
        <v>1.3024002661092044E-2</v>
      </c>
      <c r="D7" s="10">
        <f>IFERROR(IF(INDEX(Dados!$K$2:$K$57,MATCH($A7&amp;"|"&amp;D$5,Dados!$A$2:$A$57,0))="","",INDEX(Dados!$K$2:$K$57,MATCH($A7&amp;"|"&amp;D$5,Dados!$A$2:$A$57,0))),"")</f>
        <v>1.3623229489947881E-2</v>
      </c>
      <c r="E7" s="10">
        <f>IFERROR(IF(INDEX(Dados!$K$2:$K$57,MATCH($A7&amp;"|"&amp;E$5,Dados!$A$2:$A$57,0))="","",INDEX(Dados!$K$2:$K$57,MATCH($A7&amp;"|"&amp;E$5,Dados!$A$2:$A$57,0))),"")</f>
        <v>1.3599651694773307E-2</v>
      </c>
      <c r="F7" s="10">
        <f>IFERROR(IF(INDEX(Dados!$K$2:$K$57,MATCH($A7&amp;"|"&amp;F$5,Dados!$A$2:$A$57,0))="","",INDEX(Dados!$K$2:$K$57,MATCH($A7&amp;"|"&amp;F$5,Dados!$A$2:$A$57,0))),"")</f>
        <v>1.3488457830292889E-2</v>
      </c>
      <c r="G7" s="10">
        <f>IFERROR(IF(INDEX(Dados!$K$2:$K$57,MATCH($A7&amp;"|"&amp;G$5,Dados!$A$2:$A$57,0))="","",INDEX(Dados!$K$2:$K$57,MATCH($A7&amp;"|"&amp;G$5,Dados!$A$2:$A$57,0))),"")</f>
        <v>1.3225582850756746E-2</v>
      </c>
      <c r="H7" s="10">
        <f>IFERROR(IF(INDEX(Dados!$K$2:$K$57,MATCH($A7&amp;"|"&amp;H$5,Dados!$A$2:$A$57,0))="","",INDEX(Dados!$K$2:$K$57,MATCH($A7&amp;"|"&amp;H$5,Dados!$A$2:$A$57,0))),"")</f>
        <v>1.3302802272450813E-2</v>
      </c>
      <c r="I7" s="10">
        <f>IFERROR(IF(INDEX(Dados!$K$2:$K$57,MATCH($A7&amp;"|"&amp;I$5,Dados!$A$2:$A$57,0))="","",INDEX(Dados!$K$2:$K$57,MATCH($A7&amp;"|"&amp;I$5,Dados!$A$2:$A$57,0))),"")</f>
        <v>1.3464126725772912E-2</v>
      </c>
      <c r="J7" s="10">
        <f>IFERROR(IF(INDEX(Dados!$K$2:$K$57,MATCH($A7&amp;"|"&amp;J$5,Dados!$A$2:$A$57,0))="","",INDEX(Dados!$K$2:$K$57,MATCH($A7&amp;"|"&amp;J$5,Dados!$A$2:$A$57,0))),"")</f>
        <v>1.3141921100165613E-2</v>
      </c>
      <c r="K7" s="10">
        <f>IFERROR(IF(INDEX(Dados!$N$2:$N$57,MATCH($A7&amp;"|"&amp;J$5,Dados!$A$2:$A$57,0))=0,"—",INDEX(Dados!$N$2:$N$57,MATCH($A7&amp;"|"&amp;J$5,Dados!$A$2:$A$57,0))),"—")</f>
        <v>1.9E-2</v>
      </c>
      <c r="L7" s="9" t="str">
        <f>IFERROR(IF(INDEX(Dados!$T$2:$T$57,MATCH($A7&amp;"|"&amp;J$5,Dados!$A$2:$A$57,0))="","—",INDEX(Dados!$T$2:$T$57,MATCH($A7&amp;"|"&amp;J$5,Dados!$A$2:$A$57,0))),"—")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IFERROR(IF(INDEX(Dados!$K$2:$K$57,MATCH($A8&amp;"|"&amp;C$5,Dados!$A$2:$A$57,0))="","",INDEX(Dados!$K$2:$K$57,MATCH($A8&amp;"|"&amp;C$5,Dados!$A$2:$A$57,0))),"")</f>
        <v>5.4799981250570708E-2</v>
      </c>
      <c r="D8" s="10">
        <f>IFERROR(IF(INDEX(Dados!$K$2:$K$57,MATCH($A8&amp;"|"&amp;D$5,Dados!$A$2:$A$57,0))="","",INDEX(Dados!$K$2:$K$57,MATCH($A8&amp;"|"&amp;D$5,Dados!$A$2:$A$57,0))),"")</f>
        <v>5.4111955616598678E-2</v>
      </c>
      <c r="E8" s="10">
        <f>IFERROR(IF(INDEX(Dados!$K$2:$K$57,MATCH($A8&amp;"|"&amp;E$5,Dados!$A$2:$A$57,0))="","",INDEX(Dados!$K$2:$K$57,MATCH($A8&amp;"|"&amp;E$5,Dados!$A$2:$A$57,0))),"")</f>
        <v>5.4431543558504249E-2</v>
      </c>
      <c r="F8" s="10">
        <f>IFERROR(IF(INDEX(Dados!$K$2:$K$57,MATCH($A8&amp;"|"&amp;F$5,Dados!$A$2:$A$57,0))="","",INDEX(Dados!$K$2:$K$57,MATCH($A8&amp;"|"&amp;F$5,Dados!$A$2:$A$57,0))),"")</f>
        <v>5.457262382341091E-2</v>
      </c>
      <c r="G8" s="10">
        <f>IFERROR(IF(INDEX(Dados!$K$2:$K$57,MATCH($A8&amp;"|"&amp;G$5,Dados!$A$2:$A$57,0))="","",INDEX(Dados!$K$2:$K$57,MATCH($A8&amp;"|"&amp;G$5,Dados!$A$2:$A$57,0))),"")</f>
        <v>5.4971618063142873E-2</v>
      </c>
      <c r="H8" s="10">
        <f>IFERROR(IF(INDEX(Dados!$K$2:$K$57,MATCH($A8&amp;"|"&amp;H$5,Dados!$A$2:$A$57,0))="","",INDEX(Dados!$K$2:$K$57,MATCH($A8&amp;"|"&amp;H$5,Dados!$A$2:$A$57,0))),"")</f>
        <v>5.3492385271293311E-2</v>
      </c>
      <c r="I8" s="10">
        <f>IFERROR(IF(INDEX(Dados!$K$2:$K$57,MATCH($A8&amp;"|"&amp;I$5,Dados!$A$2:$A$57,0))="","",INDEX(Dados!$K$2:$K$57,MATCH($A8&amp;"|"&amp;I$5,Dados!$A$2:$A$57,0))),"")</f>
        <v>5.4670774596449409E-2</v>
      </c>
      <c r="J8" s="10">
        <f>IFERROR(IF(INDEX(Dados!$K$2:$K$57,MATCH($A8&amp;"|"&amp;J$5,Dados!$A$2:$A$57,0))="","",INDEX(Dados!$K$2:$K$57,MATCH($A8&amp;"|"&amp;J$5,Dados!$A$2:$A$57,0))),"")</f>
        <v>5.3812667918806782E-2</v>
      </c>
      <c r="K8" s="10">
        <f>IFERROR(IF(INDEX(Dados!$N$2:$N$57,MATCH($A8&amp;"|"&amp;J$5,Dados!$A$2:$A$57,0))=0,"—",INDEX(Dados!$N$2:$N$57,MATCH($A8&amp;"|"&amp;J$5,Dados!$A$2:$A$57,0))),"—")</f>
        <v>5.91E-2</v>
      </c>
      <c r="L8" s="9" t="str">
        <f>IFERROR(IF(INDEX(Dados!$T$2:$T$57,MATCH($A8&amp;"|"&amp;J$5,Dados!$A$2:$A$57,0))="","—",INDEX(Dados!$T$2:$T$57,MATCH($A8&amp;"|"&amp;J$5,Dados!$A$2:$A$57,0))),"—")</f>
        <v>Acima do limite de alerta</v>
      </c>
    </row>
    <row r="9" spans="1:12" x14ac:dyDescent="0.25">
      <c r="A9" s="8" t="s">
        <v>21</v>
      </c>
      <c r="B9" s="9" t="s">
        <v>20</v>
      </c>
      <c r="C9" s="10">
        <f>IFERROR(IF(INDEX(Dados!$K$2:$K$57,MATCH($A9&amp;"|"&amp;C$5,Dados!$A$2:$A$57,0))="","",INDEX(Dados!$K$2:$K$57,MATCH($A9&amp;"|"&amp;C$5,Dados!$A$2:$A$57,0))),"")</f>
        <v>7.1776761347680095E-4</v>
      </c>
      <c r="D9" s="10">
        <f>IFERROR(IF(INDEX(Dados!$K$2:$K$57,MATCH($A9&amp;"|"&amp;D$5,Dados!$A$2:$A$57,0))="","",INDEX(Dados!$K$2:$K$57,MATCH($A9&amp;"|"&amp;D$5,Dados!$A$2:$A$57,0))),"")</f>
        <v>6.7372315146689576E-4</v>
      </c>
      <c r="E9" s="10">
        <f>IFERROR(IF(INDEX(Dados!$K$2:$K$57,MATCH($A9&amp;"|"&amp;E$5,Dados!$A$2:$A$57,0))="","",INDEX(Dados!$K$2:$K$57,MATCH($A9&amp;"|"&amp;E$5,Dados!$A$2:$A$57,0))),"")</f>
        <v>7.1925684499232246E-4</v>
      </c>
      <c r="F9" s="10">
        <f>IFERROR(IF(INDEX(Dados!$K$2:$K$57,MATCH($A9&amp;"|"&amp;F$5,Dados!$A$2:$A$57,0))="","",INDEX(Dados!$K$2:$K$57,MATCH($A9&amp;"|"&amp;F$5,Dados!$A$2:$A$57,0))),"")</f>
        <v>7.1806626657920257E-4</v>
      </c>
      <c r="G9" s="10">
        <f>IFERROR(IF(INDEX(Dados!$K$2:$K$57,MATCH($A9&amp;"|"&amp;G$5,Dados!$A$2:$A$57,0))="","",INDEX(Dados!$K$2:$K$57,MATCH($A9&amp;"|"&amp;G$5,Dados!$A$2:$A$57,0))),"")</f>
        <v>7.4926059957303225E-4</v>
      </c>
      <c r="H9" s="10">
        <f>IFERROR(IF(INDEX(Dados!$K$2:$K$57,MATCH($A9&amp;"|"&amp;H$5,Dados!$A$2:$A$57,0))="","",INDEX(Dados!$K$2:$K$57,MATCH($A9&amp;"|"&amp;H$5,Dados!$A$2:$A$57,0))),"")</f>
        <v>7.1427423488678102E-4</v>
      </c>
      <c r="I9" s="10">
        <f>IFERROR(IF(INDEX(Dados!$K$2:$K$57,MATCH($A9&amp;"|"&amp;I$5,Dados!$A$2:$A$57,0))="","",INDEX(Dados!$K$2:$K$57,MATCH($A9&amp;"|"&amp;I$5,Dados!$A$2:$A$57,0))),"")</f>
        <v>7.4503582060498534E-4</v>
      </c>
      <c r="J9" s="10">
        <f>IFERROR(IF(INDEX(Dados!$K$2:$K$57,MATCH($A9&amp;"|"&amp;J$5,Dados!$A$2:$A$57,0))="","",INDEX(Dados!$K$2:$K$57,MATCH($A9&amp;"|"&amp;J$5,Dados!$A$2:$A$57,0))),"")</f>
        <v>7.5239220655808233E-4</v>
      </c>
      <c r="K9" s="10">
        <f>IFERROR(IF(INDEX(Dados!$N$2:$N$57,MATCH($A9&amp;"|"&amp;J$5,Dados!$A$2:$A$57,0))=0,"—",INDEX(Dados!$N$2:$N$57,MATCH($A9&amp;"|"&amp;J$5,Dados!$A$2:$A$57,0))),"—")</f>
        <v>8.9999999999999998E-4</v>
      </c>
      <c r="L9" s="9" t="str">
        <f>IFERROR(IF(INDEX(Dados!$T$2:$T$57,MATCH($A9&amp;"|"&amp;J$5,Dados!$A$2:$A$57,0))="","—",INDEX(Dados!$T$2:$T$57,MATCH($A9&amp;"|"&amp;J$5,Dados!$A$2:$A$57,0))),"—")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IFERROR(IF(INDEX(Dados!$K$2:$K$57,MATCH($A10&amp;"|"&amp;C$5,Dados!$A$2:$A$57,0))="","",INDEX(Dados!$K$2:$K$57,MATCH($A10&amp;"|"&amp;C$5,Dados!$A$2:$A$57,0))),"")</f>
        <v>7.4422962687068729E-3</v>
      </c>
      <c r="D10" s="10">
        <f>IFERROR(IF(INDEX(Dados!$K$2:$K$57,MATCH($A10&amp;"|"&amp;D$5,Dados!$A$2:$A$57,0))="","",INDEX(Dados!$K$2:$K$57,MATCH($A10&amp;"|"&amp;D$5,Dados!$A$2:$A$57,0))),"")</f>
        <v>7.6187869696547599E-3</v>
      </c>
      <c r="E10" s="10">
        <f>IFERROR(IF(INDEX(Dados!$K$2:$K$57,MATCH($A10&amp;"|"&amp;E$5,Dados!$A$2:$A$57,0))="","",INDEX(Dados!$K$2:$K$57,MATCH($A10&amp;"|"&amp;E$5,Dados!$A$2:$A$57,0))),"")</f>
        <v>7.8614416412473315E-3</v>
      </c>
      <c r="F10" s="10">
        <f>IFERROR(IF(INDEX(Dados!$K$2:$K$57,MATCH($A10&amp;"|"&amp;F$5,Dados!$A$2:$A$57,0))="","",INDEX(Dados!$K$2:$K$57,MATCH($A10&amp;"|"&amp;F$5,Dados!$A$2:$A$57,0))),"")</f>
        <v>7.9006858653691871E-3</v>
      </c>
      <c r="G10" s="10">
        <f>IFERROR(IF(INDEX(Dados!$K$2:$K$57,MATCH($A10&amp;"|"&amp;G$5,Dados!$A$2:$A$57,0))="","",INDEX(Dados!$K$2:$K$57,MATCH($A10&amp;"|"&amp;G$5,Dados!$A$2:$A$57,0))),"")</f>
        <v>8.1762897686712844E-3</v>
      </c>
      <c r="H10" s="10">
        <f>IFERROR(IF(INDEX(Dados!$K$2:$K$57,MATCH($A10&amp;"|"&amp;H$5,Dados!$A$2:$A$57,0))="","",INDEX(Dados!$K$2:$K$57,MATCH($A10&amp;"|"&amp;H$5,Dados!$A$2:$A$57,0))),"")</f>
        <v>7.6809716821501688E-3</v>
      </c>
      <c r="I10" s="10">
        <f>IFERROR(IF(INDEX(Dados!$K$2:$K$57,MATCH($A10&amp;"|"&amp;I$5,Dados!$A$2:$A$57,0))="","",INDEX(Dados!$K$2:$K$57,MATCH($A10&amp;"|"&amp;I$5,Dados!$A$2:$A$57,0))),"")</f>
        <v>8.3057353185052515E-3</v>
      </c>
      <c r="J10" s="10">
        <f>IFERROR(IF(INDEX(Dados!$K$2:$K$57,MATCH($A10&amp;"|"&amp;J$5,Dados!$A$2:$A$57,0))="","",INDEX(Dados!$K$2:$K$57,MATCH($A10&amp;"|"&amp;J$5,Dados!$A$2:$A$57,0))),"")</f>
        <v>8.0763288900704711E-3</v>
      </c>
      <c r="K10" s="10">
        <f>IFERROR(IF(INDEX(Dados!$N$2:$N$57,MATCH($A10&amp;"|"&amp;J$5,Dados!$A$2:$A$57,0))=0,"—",INDEX(Dados!$N$2:$N$57,MATCH($A10&amp;"|"&amp;J$5,Dados!$A$2:$A$57,0))),"—")</f>
        <v>1.0999999999999999E-2</v>
      </c>
      <c r="L10" s="9" t="str">
        <f>IFERROR(IF(INDEX(Dados!$T$2:$T$57,MATCH($A10&amp;"|"&amp;J$5,Dados!$A$2:$A$57,0))="","—",INDEX(Dados!$T$2:$T$57,MATCH($A10&amp;"|"&amp;J$5,Dados!$A$2:$A$57,0))),"—")</f>
        <v>Abaixo do limite de alerta</v>
      </c>
    </row>
    <row r="11" spans="1:12" x14ac:dyDescent="0.25">
      <c r="A11" s="8" t="s">
        <v>23</v>
      </c>
      <c r="B11" s="9" t="s">
        <v>23</v>
      </c>
      <c r="C11" s="10">
        <f>IFERROR(IF(INDEX(Dados!$K$2:$K$57,MATCH($A11&amp;"|"&amp;C$5,Dados!$A$2:$A$57,0))="","",INDEX(Dados!$K$2:$K$57,MATCH($A11&amp;"|"&amp;C$5,Dados!$A$2:$A$57,0))),"")</f>
        <v>4.959670042116217E-3</v>
      </c>
      <c r="D11" s="10">
        <f>IFERROR(IF(INDEX(Dados!$K$2:$K$57,MATCH($A11&amp;"|"&amp;D$5,Dados!$A$2:$A$57,0))="","",INDEX(Dados!$K$2:$K$57,MATCH($A11&amp;"|"&amp;D$5,Dados!$A$2:$A$57,0))),"")</f>
        <v>5.1312625791830428E-3</v>
      </c>
      <c r="E11" s="10">
        <f>IFERROR(IF(INDEX(Dados!$K$2:$K$57,MATCH($A11&amp;"|"&amp;E$5,Dados!$A$2:$A$57,0))="","",INDEX(Dados!$K$2:$K$57,MATCH($A11&amp;"|"&amp;E$5,Dados!$A$2:$A$57,0))),"")</f>
        <v>5.8052640912770554E-3</v>
      </c>
      <c r="F11" s="10">
        <f>IFERROR(IF(INDEX(Dados!$K$2:$K$57,MATCH($A11&amp;"|"&amp;F$5,Dados!$A$2:$A$57,0))="","",INDEX(Dados!$K$2:$K$57,MATCH($A11&amp;"|"&amp;F$5,Dados!$A$2:$A$57,0))),"")</f>
        <v>6.0928772765969095E-3</v>
      </c>
      <c r="G11" s="10">
        <f>IFERROR(IF(INDEX(Dados!$K$2:$K$57,MATCH($A11&amp;"|"&amp;G$5,Dados!$A$2:$A$57,0))="","",INDEX(Dados!$K$2:$K$57,MATCH($A11&amp;"|"&amp;G$5,Dados!$A$2:$A$57,0))),"")</f>
        <v>6.3186354961290723E-3</v>
      </c>
      <c r="H11" s="10">
        <f>IFERROR(IF(INDEX(Dados!$K$2:$K$57,MATCH($A11&amp;"|"&amp;H$5,Dados!$A$2:$A$57,0))="","",INDEX(Dados!$K$2:$K$57,MATCH($A11&amp;"|"&amp;H$5,Dados!$A$2:$A$57,0))),"")</f>
        <v>6.4551947772593845E-3</v>
      </c>
      <c r="I11" s="10">
        <f>IFERROR(IF(INDEX(Dados!$K$2:$K$57,MATCH($A11&amp;"|"&amp;I$5,Dados!$A$2:$A$57,0))="","",INDEX(Dados!$K$2:$K$57,MATCH($A11&amp;"|"&amp;I$5,Dados!$A$2:$A$57,0))),"")</f>
        <v>6.6494917776416945E-3</v>
      </c>
      <c r="J11" s="10">
        <f>IFERROR(IF(INDEX(Dados!$K$2:$K$57,MATCH($A11&amp;"|"&amp;J$5,Dados!$A$2:$A$57,0))="","",INDEX(Dados!$K$2:$K$57,MATCH($A11&amp;"|"&amp;J$5,Dados!$A$2:$A$57,0))),"")</f>
        <v>6.4592120824890431E-3</v>
      </c>
      <c r="K11" s="10" t="str">
        <f>IFERROR(IF(INDEX(Dados!$N$2:$N$57,MATCH($A11&amp;"|"&amp;J$5,Dados!$A$2:$A$57,0))=0,"—",INDEX(Dados!$N$2:$N$57,MATCH($A11&amp;"|"&amp;J$5,Dados!$A$2:$A$57,0))),"—")</f>
        <v>—</v>
      </c>
      <c r="L11" s="9" t="str">
        <f>IFERROR(IF(INDEX(Dados!$T$2:$T$57,MATCH($A11&amp;"|"&amp;J$5,Dados!$A$2:$A$57,0))="","—",INDEX(Dados!$T$2:$T$57,MATCH($A11&amp;"|"&amp;J$5,Dados!$A$2:$A$57,0))),"—")</f>
        <v>Sem limite próprio na LRF</v>
      </c>
    </row>
    <row r="12" spans="1:12" x14ac:dyDescent="0.25">
      <c r="A12" s="8" t="s">
        <v>24</v>
      </c>
      <c r="B12" s="9" t="s">
        <v>24</v>
      </c>
      <c r="C12" s="10">
        <f>IFERROR(IF(INDEX(Dados!$K$2:$K$57,MATCH($A12&amp;"|"&amp;C$5,Dados!$A$2:$A$57,0))="","",INDEX(Dados!$K$2:$K$57,MATCH($A12&amp;"|"&amp;C$5,Dados!$A$2:$A$57,0))),"")</f>
        <v>1.7938828741281547E-2</v>
      </c>
      <c r="D12" s="10">
        <f>IFERROR(IF(INDEX(Dados!$K$2:$K$57,MATCH($A12&amp;"|"&amp;D$5,Dados!$A$2:$A$57,0))="","",INDEX(Dados!$K$2:$K$57,MATCH($A12&amp;"|"&amp;D$5,Dados!$A$2:$A$57,0))),"")</f>
        <v>1.7572813343456388E-2</v>
      </c>
      <c r="E12" s="10">
        <f>IFERROR(IF(INDEX(Dados!$K$2:$K$57,MATCH($A12&amp;"|"&amp;E$5,Dados!$A$2:$A$57,0))="","",INDEX(Dados!$K$2:$K$57,MATCH($A12&amp;"|"&amp;E$5,Dados!$A$2:$A$57,0))),"")</f>
        <v>1.7256938063479721E-2</v>
      </c>
      <c r="F12" s="10">
        <f>IFERROR(IF(INDEX(Dados!$K$2:$K$57,MATCH($A12&amp;"|"&amp;F$5,Dados!$A$2:$A$57,0))="","",INDEX(Dados!$K$2:$K$57,MATCH($A12&amp;"|"&amp;F$5,Dados!$A$2:$A$57,0))),"")</f>
        <v>1.7417605899178335E-2</v>
      </c>
      <c r="G12" s="10">
        <f>IFERROR(IF(INDEX(Dados!$K$2:$K$57,MATCH($A12&amp;"|"&amp;G$5,Dados!$A$2:$A$57,0))="","",INDEX(Dados!$K$2:$K$57,MATCH($A12&amp;"|"&amp;G$5,Dados!$A$2:$A$57,0))),"")</f>
        <v>1.7413913202971171E-2</v>
      </c>
      <c r="H12" s="10">
        <f>IFERROR(IF(INDEX(Dados!$K$2:$K$57,MATCH($A12&amp;"|"&amp;H$5,Dados!$A$2:$A$57,0))="","",INDEX(Dados!$K$2:$K$57,MATCH($A12&amp;"|"&amp;H$5,Dados!$A$2:$A$57,0))),"")</f>
        <v>1.7428136465672386E-2</v>
      </c>
      <c r="I12" s="10">
        <f>IFERROR(IF(INDEX(Dados!$K$2:$K$57,MATCH($A12&amp;"|"&amp;I$5,Dados!$A$2:$A$57,0))="","",INDEX(Dados!$K$2:$K$57,MATCH($A12&amp;"|"&amp;I$5,Dados!$A$2:$A$57,0))),"")</f>
        <v>1.7353718280376303E-2</v>
      </c>
      <c r="J12" s="10">
        <f>IFERROR(IF(INDEX(Dados!$K$2:$K$57,MATCH($A12&amp;"|"&amp;J$5,Dados!$A$2:$A$57,0))="","",INDEX(Dados!$K$2:$K$57,MATCH($A12&amp;"|"&amp;J$5,Dados!$A$2:$A$57,0))),"")</f>
        <v>1.6993672495395701E-2</v>
      </c>
      <c r="K12" s="10">
        <f>IFERROR(IF(INDEX(Dados!$N$2:$N$57,MATCH($A12&amp;"|"&amp;J$5,Dados!$A$2:$A$57,0))=0,"—",INDEX(Dados!$N$2:$N$57,MATCH($A12&amp;"|"&amp;J$5,Dados!$A$2:$A$57,0))),"—")</f>
        <v>0.02</v>
      </c>
      <c r="L12" s="9" t="str">
        <f>IFERROR(IF(INDEX(Dados!$T$2:$T$57,MATCH($A12&amp;"|"&amp;J$5,Dados!$A$2:$A$57,0))="","—",INDEX(Dados!$T$2:$T$57,MATCH($A12&amp;"|"&amp;J$5,Dados!$A$2:$A$57,0))),"—")</f>
        <v>Abaixo do limite de alerta</v>
      </c>
    </row>
    <row r="13" spans="1:12" x14ac:dyDescent="0.25">
      <c r="A13" s="3" t="s">
        <v>25</v>
      </c>
      <c r="B13" s="11" t="s">
        <v>26</v>
      </c>
      <c r="C13" s="12">
        <f>IFERROR(INDEX(Dados!$J$2:$J$57,MATCH("Governo|"&amp;C$5,Dados!$A$2:$A$57,0))/1000000,"")</f>
        <v>95766.089914589989</v>
      </c>
      <c r="D13" s="12">
        <f>IFERROR(INDEX(Dados!$J$2:$J$57,MATCH("Governo|"&amp;D$5,Dados!$A$2:$A$57,0))/1000000,"")</f>
        <v>99117.274750919998</v>
      </c>
      <c r="E13" s="12">
        <f>IFERROR(INDEX(Dados!$J$2:$J$57,MATCH("Governo|"&amp;E$5,Dados!$A$2:$A$57,0))/1000000,"")</f>
        <v>103465.72648995</v>
      </c>
      <c r="F13" s="12">
        <f>IFERROR(INDEX(Dados!$J$2:$J$57,MATCH("Governo|"&amp;F$5,Dados!$A$2:$A$57,0))/1000000,"")</f>
        <v>106657.62712243</v>
      </c>
      <c r="G13" s="12">
        <f>IFERROR(INDEX(Dados!$J$2:$J$57,MATCH("Governo|"&amp;G$5,Dados!$A$2:$A$57,0))/1000000,"")</f>
        <v>109306.80254196</v>
      </c>
      <c r="H13" s="12">
        <f>IFERROR(INDEX(Dados!$J$2:$J$57,MATCH("Governo|"&amp;H$5,Dados!$A$2:$A$57,0))/1000000,"")</f>
        <v>111722.74476994001</v>
      </c>
      <c r="I13" s="12">
        <f>IFERROR(INDEX(Dados!$J$2:$J$57,MATCH("Governo|"&amp;I$5,Dados!$A$2:$A$57,0))/1000000,"")</f>
        <v>113022.05095538001</v>
      </c>
      <c r="J13" s="12">
        <f>IFERROR(INDEX(Dados!$J$2:$J$57,MATCH("Governo|"&amp;J$5,Dados!$A$2:$A$57,0))/1000000,"")</f>
        <v>117720.25463313001</v>
      </c>
    </row>
    <row r="15" spans="1:12" x14ac:dyDescent="0.25">
      <c r="A15" s="3" t="s">
        <v>27</v>
      </c>
    </row>
    <row r="16" spans="1:12" ht="44.1" customHeight="1" x14ac:dyDescent="0.25">
      <c r="A16" s="4" t="s">
        <v>3</v>
      </c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9</v>
      </c>
      <c r="H16" s="4" t="s">
        <v>10</v>
      </c>
      <c r="I16" s="4" t="s">
        <v>11</v>
      </c>
      <c r="J16" s="4" t="s">
        <v>12</v>
      </c>
    </row>
    <row r="17" spans="1:10" x14ac:dyDescent="0.25">
      <c r="A17" s="5" t="s">
        <v>15</v>
      </c>
      <c r="B17" s="6" t="s">
        <v>16</v>
      </c>
      <c r="C17" s="13">
        <f>IFERROR(IF(INDEX(Dados!$I$2:$I$57,MATCH($A17&amp;"|"&amp;C$16,Dados!$A$2:$A$57,0))="","",INDEX(Dados!$I$2:$I$57,MATCH($A17&amp;"|"&amp;C$16,Dados!$A$2:$A$57,0))/1000000),"")</f>
        <v>48234.85592812</v>
      </c>
      <c r="D17" s="13">
        <f>IFERROR(IF(INDEX(Dados!$I$2:$I$57,MATCH($A17&amp;"|"&amp;D$16,Dados!$A$2:$A$57,0))="","",INDEX(Dados!$I$2:$I$57,MATCH($A17&amp;"|"&amp;D$16,Dados!$A$2:$A$57,0))/1000000),"")</f>
        <v>49676.872959790002</v>
      </c>
      <c r="E17" s="13">
        <f>IFERROR(IF(INDEX(Dados!$I$2:$I$57,MATCH($A17&amp;"|"&amp;E$16,Dados!$A$2:$A$57,0))="","",INDEX(Dados!$I$2:$I$57,MATCH($A17&amp;"|"&amp;E$16,Dados!$A$2:$A$57,0))/1000000),"")</f>
        <v>50492.145171780001</v>
      </c>
      <c r="F17" s="13">
        <f>IFERROR(IF(INDEX(Dados!$I$2:$I$57,MATCH($A17&amp;"|"&amp;F$16,Dados!$A$2:$A$57,0))="","",INDEX(Dados!$I$2:$I$57,MATCH($A17&amp;"|"&amp;F$16,Dados!$A$2:$A$57,0))/1000000),"")</f>
        <v>52056.327789269999</v>
      </c>
      <c r="G17" s="13">
        <f>IFERROR(IF(INDEX(Dados!$I$2:$I$57,MATCH($A17&amp;"|"&amp;G$16,Dados!$A$2:$A$57,0))="","",INDEX(Dados!$I$2:$I$57,MATCH($A17&amp;"|"&amp;G$16,Dados!$A$2:$A$57,0))/1000000),"")</f>
        <v>53034.127686500004</v>
      </c>
      <c r="H17" s="13">
        <f>IFERROR(IF(INDEX(Dados!$I$2:$I$57,MATCH($A17&amp;"|"&amp;H$16,Dados!$A$2:$A$57,0))="","",INDEX(Dados!$I$2:$I$57,MATCH($A17&amp;"|"&amp;H$16,Dados!$A$2:$A$57,0))/1000000),"")</f>
        <v>53869.167715230004</v>
      </c>
      <c r="I17" s="13">
        <f>IFERROR(IF(INDEX(Dados!$I$2:$I$57,MATCH($A17&amp;"|"&amp;I$16,Dados!$A$2:$A$57,0))="","",INDEX(Dados!$I$2:$I$57,MATCH($A17&amp;"|"&amp;I$16,Dados!$A$2:$A$57,0))/1000000),"")</f>
        <v>54366.687535339996</v>
      </c>
      <c r="J17" s="13">
        <f>IFERROR(IF(INDEX(Dados!$I$2:$I$57,MATCH($A17&amp;"|"&amp;J$16,Dados!$A$2:$A$57,0))="","",INDEX(Dados!$I$2:$I$57,MATCH($A17&amp;"|"&amp;J$16,Dados!$A$2:$A$57,0))/1000000),"")</f>
        <v>55757.355166499998</v>
      </c>
    </row>
    <row r="18" spans="1:10" x14ac:dyDescent="0.25">
      <c r="A18" s="8" t="s">
        <v>17</v>
      </c>
      <c r="B18" s="9" t="s">
        <v>18</v>
      </c>
      <c r="C18" s="14">
        <f>IFERROR(IF(INDEX(Dados!$I$2:$I$57,MATCH($A18&amp;"|"&amp;C$16,Dados!$A$2:$A$57,0))="","",INDEX(Dados!$I$2:$I$57,MATCH($A18&amp;"|"&amp;C$16,Dados!$A$2:$A$57,0))/1000000),"")</f>
        <v>1247.2578098900001</v>
      </c>
      <c r="D18" s="14">
        <f>IFERROR(IF(INDEX(Dados!$I$2:$I$57,MATCH($A18&amp;"|"&amp;D$16,Dados!$A$2:$A$57,0))="","",INDEX(Dados!$I$2:$I$57,MATCH($A18&amp;"|"&amp;D$16,Dados!$A$2:$A$57,0))/1000000),"")</f>
        <v>1350.2973803499999</v>
      </c>
      <c r="E18" s="14">
        <f>IFERROR(IF(INDEX(Dados!$I$2:$I$57,MATCH($A18&amp;"|"&amp;E$16,Dados!$A$2:$A$57,0))="","",INDEX(Dados!$I$2:$I$57,MATCH($A18&amp;"|"&amp;E$16,Dados!$A$2:$A$57,0))/1000000),"")</f>
        <v>1407.0978426099998</v>
      </c>
      <c r="F18" s="14">
        <f>IFERROR(IF(INDEX(Dados!$I$2:$I$57,MATCH($A18&amp;"|"&amp;F$16,Dados!$A$2:$A$57,0))="","",INDEX(Dados!$I$2:$I$57,MATCH($A18&amp;"|"&amp;F$16,Dados!$A$2:$A$57,0))/1000000),"")</f>
        <v>1438.6469057199999</v>
      </c>
      <c r="G18" s="14">
        <f>IFERROR(IF(INDEX(Dados!$I$2:$I$57,MATCH($A18&amp;"|"&amp;G$16,Dados!$A$2:$A$57,0))="","",INDEX(Dados!$I$2:$I$57,MATCH($A18&amp;"|"&amp;G$16,Dados!$A$2:$A$57,0))/1000000),"")</f>
        <v>1445.6461731700001</v>
      </c>
      <c r="H18" s="14">
        <f>IFERROR(IF(INDEX(Dados!$I$2:$I$57,MATCH($A18&amp;"|"&amp;H$16,Dados!$A$2:$A$57,0))="","",INDEX(Dados!$I$2:$I$57,MATCH($A18&amp;"|"&amp;H$16,Dados!$A$2:$A$57,0))/1000000),"")</f>
        <v>1486.22558301</v>
      </c>
      <c r="I18" s="14">
        <f>IFERROR(IF(INDEX(Dados!$I$2:$I$57,MATCH($A18&amp;"|"&amp;I$16,Dados!$A$2:$A$57,0))="","",INDEX(Dados!$I$2:$I$57,MATCH($A18&amp;"|"&amp;I$16,Dados!$A$2:$A$57,0))/1000000),"")</f>
        <v>1521.74321687</v>
      </c>
      <c r="J18" s="14">
        <f>IFERROR(IF(INDEX(Dados!$I$2:$I$57,MATCH($A18&amp;"|"&amp;J$16,Dados!$A$2:$A$57,0))="","",INDEX(Dados!$I$2:$I$57,MATCH($A18&amp;"|"&amp;J$16,Dados!$A$2:$A$57,0))/1000000),"")</f>
        <v>1547.0702982799999</v>
      </c>
    </row>
    <row r="19" spans="1:10" x14ac:dyDescent="0.25">
      <c r="A19" s="8" t="s">
        <v>19</v>
      </c>
      <c r="B19" s="9" t="s">
        <v>20</v>
      </c>
      <c r="C19" s="14">
        <f>IFERROR(IF(INDEX(Dados!$I$2:$I$57,MATCH($A19&amp;"|"&amp;C$16,Dados!$A$2:$A$57,0))="","",INDEX(Dados!$I$2:$I$57,MATCH($A19&amp;"|"&amp;C$16,Dados!$A$2:$A$57,0))/1000000),"")</f>
        <v>5247.97993176</v>
      </c>
      <c r="D19" s="14">
        <f>IFERROR(IF(INDEX(Dados!$I$2:$I$57,MATCH($A19&amp;"|"&amp;D$16,Dados!$A$2:$A$57,0))="","",INDEX(Dados!$I$2:$I$57,MATCH($A19&amp;"|"&amp;D$16,Dados!$A$2:$A$57,0))/1000000),"")</f>
        <v>5363.4295721600001</v>
      </c>
      <c r="E19" s="14">
        <f>IFERROR(IF(INDEX(Dados!$I$2:$I$57,MATCH($A19&amp;"|"&amp;E$16,Dados!$A$2:$A$57,0))="","",INDEX(Dados!$I$2:$I$57,MATCH($A19&amp;"|"&amp;E$16,Dados!$A$2:$A$57,0))/1000000),"")</f>
        <v>5631.7991982499998</v>
      </c>
      <c r="F19" s="14">
        <f>IFERROR(IF(INDEX(Dados!$I$2:$I$57,MATCH($A19&amp;"|"&amp;F$16,Dados!$A$2:$A$57,0))="","",INDEX(Dados!$I$2:$I$57,MATCH($A19&amp;"|"&amp;F$16,Dados!$A$2:$A$57,0))/1000000),"")</f>
        <v>5820.5865628500005</v>
      </c>
      <c r="G19" s="14">
        <f>IFERROR(IF(INDEX(Dados!$I$2:$I$57,MATCH($A19&amp;"|"&amp;G$16,Dados!$A$2:$A$57,0))="","",INDEX(Dados!$I$2:$I$57,MATCH($A19&amp;"|"&amp;G$16,Dados!$A$2:$A$57,0))/1000000),"")</f>
        <v>6008.7718010400004</v>
      </c>
      <c r="H19" s="14">
        <f>IFERROR(IF(INDEX(Dados!$I$2:$I$57,MATCH($A19&amp;"|"&amp;H$16,Dados!$A$2:$A$57,0))="","",INDEX(Dados!$I$2:$I$57,MATCH($A19&amp;"|"&amp;H$16,Dados!$A$2:$A$57,0))/1000000),"")</f>
        <v>5976.3161067999999</v>
      </c>
      <c r="I19" s="14">
        <f>IFERROR(IF(INDEX(Dados!$I$2:$I$57,MATCH($A19&amp;"|"&amp;I$16,Dados!$A$2:$A$57,0))="","",INDEX(Dados!$I$2:$I$57,MATCH($A19&amp;"|"&amp;I$16,Dados!$A$2:$A$57,0))/1000000),"")</f>
        <v>6179.00307221</v>
      </c>
      <c r="J19" s="14">
        <f>IFERROR(IF(INDEX(Dados!$I$2:$I$57,MATCH($A19&amp;"|"&amp;J$16,Dados!$A$2:$A$57,0))="","",INDEX(Dados!$I$2:$I$57,MATCH($A19&amp;"|"&amp;J$16,Dados!$A$2:$A$57,0))/1000000),"")</f>
        <v>6334.8409698900005</v>
      </c>
    </row>
    <row r="20" spans="1:10" x14ac:dyDescent="0.25">
      <c r="A20" s="8" t="s">
        <v>21</v>
      </c>
      <c r="B20" s="9" t="s">
        <v>20</v>
      </c>
      <c r="C20" s="14">
        <f>IFERROR(IF(INDEX(Dados!$I$2:$I$57,MATCH($A20&amp;"|"&amp;C$16,Dados!$A$2:$A$57,0))="","",INDEX(Dados!$I$2:$I$57,MATCH($A20&amp;"|"&amp;C$16,Dados!$A$2:$A$57,0))/1000000),"")</f>
        <v>68.737797810000004</v>
      </c>
      <c r="D20" s="14">
        <f>IFERROR(IF(INDEX(Dados!$I$2:$I$57,MATCH($A20&amp;"|"&amp;D$16,Dados!$A$2:$A$57,0))="","",INDEX(Dados!$I$2:$I$57,MATCH($A20&amp;"|"&amp;D$16,Dados!$A$2:$A$57,0))/1000000),"")</f>
        <v>66.777602709999996</v>
      </c>
      <c r="E20" s="14">
        <f>IFERROR(IF(INDEX(Dados!$I$2:$I$57,MATCH($A20&amp;"|"&amp;E$16,Dados!$A$2:$A$57,0))="","",INDEX(Dados!$I$2:$I$57,MATCH($A20&amp;"|"&amp;E$16,Dados!$A$2:$A$57,0))/1000000),"")</f>
        <v>74.418431999999996</v>
      </c>
      <c r="F20" s="14">
        <f>IFERROR(IF(INDEX(Dados!$I$2:$I$57,MATCH($A20&amp;"|"&amp;F$16,Dados!$A$2:$A$57,0))="","",INDEX(Dados!$I$2:$I$57,MATCH($A20&amp;"|"&amp;F$16,Dados!$A$2:$A$57,0))/1000000),"")</f>
        <v>76.58724411</v>
      </c>
      <c r="G20" s="14">
        <f>IFERROR(IF(INDEX(Dados!$I$2:$I$57,MATCH($A20&amp;"|"&amp;G$16,Dados!$A$2:$A$57,0))="","",INDEX(Dados!$I$2:$I$57,MATCH($A20&amp;"|"&amp;G$16,Dados!$A$2:$A$57,0))/1000000),"")</f>
        <v>81.899280410000003</v>
      </c>
      <c r="H20" s="14">
        <f>IFERROR(IF(INDEX(Dados!$I$2:$I$57,MATCH($A20&amp;"|"&amp;H$16,Dados!$A$2:$A$57,0))="","",INDEX(Dados!$I$2:$I$57,MATCH($A20&amp;"|"&amp;H$16,Dados!$A$2:$A$57,0))/1000000),"")</f>
        <v>79.800678040000008</v>
      </c>
      <c r="I20" s="14">
        <f>IFERROR(IF(INDEX(Dados!$I$2:$I$57,MATCH($A20&amp;"|"&amp;I$16,Dados!$A$2:$A$57,0))="","",INDEX(Dados!$I$2:$I$57,MATCH($A20&amp;"|"&amp;I$16,Dados!$A$2:$A$57,0))/1000000),"")</f>
        <v>84.205476480000002</v>
      </c>
      <c r="J20" s="14">
        <f>IFERROR(IF(INDEX(Dados!$I$2:$I$57,MATCH($A20&amp;"|"&amp;J$16,Dados!$A$2:$A$57,0))="","",INDEX(Dados!$I$2:$I$57,MATCH($A20&amp;"|"&amp;J$16,Dados!$A$2:$A$57,0))/1000000),"")</f>
        <v>88.571802140000003</v>
      </c>
    </row>
    <row r="21" spans="1:10" x14ac:dyDescent="0.25">
      <c r="A21" s="8" t="s">
        <v>22</v>
      </c>
      <c r="B21" s="9" t="s">
        <v>22</v>
      </c>
      <c r="C21" s="14">
        <f>IFERROR(IF(INDEX(Dados!$I$2:$I$57,MATCH($A21&amp;"|"&amp;C$16,Dados!$A$2:$A$57,0))="","",INDEX(Dados!$I$2:$I$57,MATCH($A21&amp;"|"&amp;C$16,Dados!$A$2:$A$57,0))/1000000),"")</f>
        <v>712.71961364000003</v>
      </c>
      <c r="D21" s="14">
        <f>IFERROR(IF(INDEX(Dados!$I$2:$I$57,MATCH($A21&amp;"|"&amp;D$16,Dados!$A$2:$A$57,0))="","",INDEX(Dados!$I$2:$I$57,MATCH($A21&amp;"|"&amp;D$16,Dados!$A$2:$A$57,0))/1000000),"")</f>
        <v>755.15340134000007</v>
      </c>
      <c r="E21" s="14">
        <f>IFERROR(IF(INDEX(Dados!$I$2:$I$57,MATCH($A21&amp;"|"&amp;E$16,Dados!$A$2:$A$57,0))="","",INDEX(Dados!$I$2:$I$57,MATCH($A21&amp;"|"&amp;E$16,Dados!$A$2:$A$57,0))/1000000),"")</f>
        <v>813.38977066999996</v>
      </c>
      <c r="F21" s="14">
        <f>IFERROR(IF(INDEX(Dados!$I$2:$I$57,MATCH($A21&amp;"|"&amp;F$16,Dados!$A$2:$A$57,0))="","",INDEX(Dados!$I$2:$I$57,MATCH($A21&amp;"|"&amp;F$16,Dados!$A$2:$A$57,0))/1000000),"")</f>
        <v>842.66840703999992</v>
      </c>
      <c r="G21" s="14">
        <f>IFERROR(IF(INDEX(Dados!$I$2:$I$57,MATCH($A21&amp;"|"&amp;G$16,Dados!$A$2:$A$57,0))="","",INDEX(Dados!$I$2:$I$57,MATCH($A21&amp;"|"&amp;G$16,Dados!$A$2:$A$57,0))/1000000),"")</f>
        <v>893.72409127000003</v>
      </c>
      <c r="H21" s="14">
        <f>IFERROR(IF(INDEX(Dados!$I$2:$I$57,MATCH($A21&amp;"|"&amp;H$16,Dados!$A$2:$A$57,0))="","",INDEX(Dados!$I$2:$I$57,MATCH($A21&amp;"|"&amp;H$16,Dados!$A$2:$A$57,0))/1000000),"")</f>
        <v>858.13923883000007</v>
      </c>
      <c r="I21" s="14">
        <f>IFERROR(IF(INDEX(Dados!$I$2:$I$57,MATCH($A21&amp;"|"&amp;I$16,Dados!$A$2:$A$57,0))="","",INDEX(Dados!$I$2:$I$57,MATCH($A21&amp;"|"&amp;I$16,Dados!$A$2:$A$57,0))/1000000),"")</f>
        <v>938.73124039000004</v>
      </c>
      <c r="J21" s="14">
        <f>IFERROR(IF(INDEX(Dados!$I$2:$I$57,MATCH($A21&amp;"|"&amp;J$16,Dados!$A$2:$A$57,0))="","",INDEX(Dados!$I$2:$I$57,MATCH($A21&amp;"|"&amp;J$16,Dados!$A$2:$A$57,0))/1000000),"")</f>
        <v>950.74749344000008</v>
      </c>
    </row>
    <row r="22" spans="1:10" x14ac:dyDescent="0.25">
      <c r="A22" s="8" t="s">
        <v>23</v>
      </c>
      <c r="B22" s="9" t="s">
        <v>23</v>
      </c>
      <c r="C22" s="14">
        <f>IFERROR(IF(INDEX(Dados!$I$2:$I$57,MATCH($A22&amp;"|"&amp;C$16,Dados!$A$2:$A$57,0))="","",INDEX(Dados!$I$2:$I$57,MATCH($A22&amp;"|"&amp;C$16,Dados!$A$2:$A$57,0))/1000000),"")</f>
        <v>474.96820719999999</v>
      </c>
      <c r="D22" s="14">
        <f>IFERROR(IF(INDEX(Dados!$I$2:$I$57,MATCH($A22&amp;"|"&amp;D$16,Dados!$A$2:$A$57,0))="","",INDEX(Dados!$I$2:$I$57,MATCH($A22&amp;"|"&amp;D$16,Dados!$A$2:$A$57,0))/1000000),"")</f>
        <v>508.59676287999997</v>
      </c>
      <c r="E22" s="14">
        <f>IFERROR(IF(INDEX(Dados!$I$2:$I$57,MATCH($A22&amp;"|"&amp;E$16,Dados!$A$2:$A$57,0))="","",INDEX(Dados!$I$2:$I$57,MATCH($A22&amp;"|"&amp;E$16,Dados!$A$2:$A$57,0))/1000000),"")</f>
        <v>600.64586666999992</v>
      </c>
      <c r="F22" s="14">
        <f>IFERROR(IF(INDEX(Dados!$I$2:$I$57,MATCH($A22&amp;"|"&amp;F$16,Dados!$A$2:$A$57,0))="","",INDEX(Dados!$I$2:$I$57,MATCH($A22&amp;"|"&amp;F$16,Dados!$A$2:$A$57,0))/1000000),"")</f>
        <v>649.85183266999991</v>
      </c>
      <c r="G22" s="14">
        <f>IFERROR(IF(INDEX(Dados!$I$2:$I$57,MATCH($A22&amp;"|"&amp;G$16,Dados!$A$2:$A$57,0))="","",INDEX(Dados!$I$2:$I$57,MATCH($A22&amp;"|"&amp;G$16,Dados!$A$2:$A$57,0))/1000000),"")</f>
        <v>690.66984250999997</v>
      </c>
      <c r="H22" s="14">
        <f>IFERROR(IF(INDEX(Dados!$I$2:$I$57,MATCH($A22&amp;"|"&amp;H$16,Dados!$A$2:$A$57,0))="","",INDEX(Dados!$I$2:$I$57,MATCH($A22&amp;"|"&amp;H$16,Dados!$A$2:$A$57,0))/1000000),"")</f>
        <v>721.19207854000001</v>
      </c>
      <c r="I22" s="14">
        <f>IFERROR(IF(INDEX(Dados!$I$2:$I$57,MATCH($A22&amp;"|"&amp;I$16,Dados!$A$2:$A$57,0))="","",INDEX(Dados!$I$2:$I$57,MATCH($A22&amp;"|"&amp;I$16,Dados!$A$2:$A$57,0))/1000000),"")</f>
        <v>751.53919852000001</v>
      </c>
      <c r="J22" s="14">
        <f>IFERROR(IF(INDEX(Dados!$I$2:$I$57,MATCH($A22&amp;"|"&amp;J$16,Dados!$A$2:$A$57,0))="","",INDEX(Dados!$I$2:$I$57,MATCH($A22&amp;"|"&amp;J$16,Dados!$A$2:$A$57,0))/1000000),"")</f>
        <v>760.38009108000006</v>
      </c>
    </row>
    <row r="23" spans="1:10" x14ac:dyDescent="0.25">
      <c r="A23" s="8" t="s">
        <v>24</v>
      </c>
      <c r="B23" s="9" t="s">
        <v>24</v>
      </c>
      <c r="C23" s="14">
        <f>IFERROR(IF(INDEX(Dados!$I$2:$I$57,MATCH($A23&amp;"|"&amp;C$16,Dados!$A$2:$A$57,0))="","",INDEX(Dados!$I$2:$I$57,MATCH($A23&amp;"|"&amp;C$16,Dados!$A$2:$A$57,0))/1000000),"")</f>
        <v>1717.9314862000001</v>
      </c>
      <c r="D23" s="14">
        <f>IFERROR(IF(INDEX(Dados!$I$2:$I$57,MATCH($A23&amp;"|"&amp;D$16,Dados!$A$2:$A$57,0))="","",INDEX(Dados!$I$2:$I$57,MATCH($A23&amp;"|"&amp;D$16,Dados!$A$2:$A$57,0))/1000000),"")</f>
        <v>1741.7693683099999</v>
      </c>
      <c r="E23" s="14">
        <f>IFERROR(IF(INDEX(Dados!$I$2:$I$57,MATCH($A23&amp;"|"&amp;E$16,Dados!$A$2:$A$57,0))="","",INDEX(Dados!$I$2:$I$57,MATCH($A23&amp;"|"&amp;E$16,Dados!$A$2:$A$57,0))/1000000),"")</f>
        <v>1785.5016337300001</v>
      </c>
      <c r="F23" s="14">
        <f>IFERROR(IF(INDEX(Dados!$I$2:$I$57,MATCH($A23&amp;"|"&amp;F$16,Dados!$A$2:$A$57,0))="","",INDEX(Dados!$I$2:$I$57,MATCH($A23&amp;"|"&amp;F$16,Dados!$A$2:$A$57,0))/1000000),"")</f>
        <v>1857.7205153599998</v>
      </c>
      <c r="G23" s="14">
        <f>IFERROR(IF(INDEX(Dados!$I$2:$I$57,MATCH($A23&amp;"|"&amp;G$16,Dados!$A$2:$A$57,0))="","",INDEX(Dados!$I$2:$I$57,MATCH($A23&amp;"|"&amp;G$16,Dados!$A$2:$A$57,0))/1000000),"")</f>
        <v>1903.45917196</v>
      </c>
      <c r="H23" s="14">
        <f>IFERROR(IF(INDEX(Dados!$I$2:$I$57,MATCH($A23&amp;"|"&amp;H$16,Dados!$A$2:$A$57,0))="","",INDEX(Dados!$I$2:$I$57,MATCH($A23&amp;"|"&amp;H$16,Dados!$A$2:$A$57,0))/1000000),"")</f>
        <v>1947.11924217</v>
      </c>
      <c r="I23" s="14">
        <f>IFERROR(IF(INDEX(Dados!$I$2:$I$57,MATCH($A23&amp;"|"&amp;I$16,Dados!$A$2:$A$57,0))="","",INDEX(Dados!$I$2:$I$57,MATCH($A23&amp;"|"&amp;I$16,Dados!$A$2:$A$57,0))/1000000),"")</f>
        <v>1961.35283175</v>
      </c>
      <c r="J23" s="14">
        <f>IFERROR(IF(INDEX(Dados!$I$2:$I$57,MATCH($A23&amp;"|"&amp;J$16,Dados!$A$2:$A$57,0))="","",INDEX(Dados!$I$2:$I$57,MATCH($A23&amp;"|"&amp;J$16,Dados!$A$2:$A$57,0))/1000000),"")</f>
        <v>2000.49945331</v>
      </c>
    </row>
    <row r="25" spans="1:10" x14ac:dyDescent="0.25">
      <c r="A25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7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29</v>
      </c>
      <c r="B1" s="4" t="s">
        <v>3</v>
      </c>
      <c r="C1" s="4" t="s">
        <v>4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  <c r="L1" s="4" t="s">
        <v>38</v>
      </c>
      <c r="M1" s="4" t="s">
        <v>39</v>
      </c>
      <c r="N1" s="4" t="s">
        <v>40</v>
      </c>
      <c r="O1" s="4" t="s">
        <v>41</v>
      </c>
      <c r="P1" s="4" t="s">
        <v>42</v>
      </c>
      <c r="Q1" s="4" t="s">
        <v>43</v>
      </c>
      <c r="R1" s="4" t="s">
        <v>44</v>
      </c>
      <c r="S1" s="4" t="s">
        <v>45</v>
      </c>
      <c r="T1" s="4" t="s">
        <v>46</v>
      </c>
      <c r="U1" s="4" t="s">
        <v>47</v>
      </c>
    </row>
    <row r="2" spans="1:21" x14ac:dyDescent="0.25">
      <c r="A2" s="9" t="str">
        <f t="shared" ref="A2:A33" si="0">B2&amp;"|"&amp;G2</f>
        <v>Governo|1º quad. 2024</v>
      </c>
      <c r="B2" s="9" t="s">
        <v>15</v>
      </c>
      <c r="C2" s="9" t="s">
        <v>16</v>
      </c>
      <c r="D2" s="9" t="s">
        <v>48</v>
      </c>
      <c r="E2" s="9" t="s">
        <v>49</v>
      </c>
      <c r="F2" s="9">
        <v>1</v>
      </c>
      <c r="G2" s="9" t="s">
        <v>5</v>
      </c>
      <c r="H2" s="9" t="s">
        <v>50</v>
      </c>
      <c r="I2" s="15">
        <v>48234855928.120003</v>
      </c>
      <c r="J2" s="15">
        <v>95766089914.589996</v>
      </c>
      <c r="K2" s="10">
        <f t="shared" ref="K2:K33" si="1">IF(OR(I2="",J2="",J2=0),"",I2/J2)</f>
        <v>0.50367364869066666</v>
      </c>
      <c r="L2" s="16">
        <v>0.50369999999999993</v>
      </c>
      <c r="M2" s="9" t="str">
        <f t="shared" ref="M2:M33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46925384058.150002</v>
      </c>
      <c r="R2" s="15">
        <v>44579114855.239998</v>
      </c>
      <c r="S2" s="15">
        <v>42232845652.339996</v>
      </c>
      <c r="T2" s="9" t="str">
        <f t="shared" ref="T2:T33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Acima do limite máximo</v>
      </c>
      <c r="U2" s="9" t="s">
        <v>51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48</v>
      </c>
      <c r="E3" s="9" t="s">
        <v>49</v>
      </c>
      <c r="F3" s="9">
        <v>2</v>
      </c>
      <c r="G3" s="9" t="s">
        <v>6</v>
      </c>
      <c r="H3" s="9" t="s">
        <v>52</v>
      </c>
      <c r="I3" s="15">
        <v>49676872959.790001</v>
      </c>
      <c r="J3" s="15">
        <v>99117274750.919998</v>
      </c>
      <c r="K3" s="10">
        <f t="shared" si="1"/>
        <v>0.50119288574698129</v>
      </c>
      <c r="L3" s="16">
        <v>0.50119999999999998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48567464627.949997</v>
      </c>
      <c r="R3" s="15">
        <v>46139091396.550003</v>
      </c>
      <c r="S3" s="15">
        <v>43710718165.160004</v>
      </c>
      <c r="T3" s="9" t="str">
        <f t="shared" si="3"/>
        <v>Acima do limite máximo</v>
      </c>
      <c r="U3" s="9" t="s">
        <v>51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48</v>
      </c>
      <c r="E4" s="9" t="s">
        <v>49</v>
      </c>
      <c r="F4" s="9">
        <v>3</v>
      </c>
      <c r="G4" s="9" t="s">
        <v>7</v>
      </c>
      <c r="H4" s="9" t="s">
        <v>53</v>
      </c>
      <c r="I4" s="15">
        <v>50492145171.779999</v>
      </c>
      <c r="J4" s="15">
        <v>103465726489.95</v>
      </c>
      <c r="K4" s="10">
        <f t="shared" si="1"/>
        <v>0.48800841481245949</v>
      </c>
      <c r="L4" s="16">
        <v>0.48799999999999999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50698205980.080002</v>
      </c>
      <c r="R4" s="15">
        <v>48163295681.080002</v>
      </c>
      <c r="S4" s="15">
        <v>45628385382.07</v>
      </c>
      <c r="T4" s="9" t="str">
        <f t="shared" si="3"/>
        <v>Acima do limite prudencial</v>
      </c>
      <c r="U4" s="9" t="s">
        <v>51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48</v>
      </c>
      <c r="E5" s="9" t="s">
        <v>54</v>
      </c>
      <c r="F5" s="9">
        <v>1</v>
      </c>
      <c r="G5" s="9" t="s">
        <v>8</v>
      </c>
      <c r="H5" s="9" t="s">
        <v>55</v>
      </c>
      <c r="I5" s="15">
        <v>52056327789.269997</v>
      </c>
      <c r="J5" s="15">
        <v>106657627122.42999</v>
      </c>
      <c r="K5" s="10">
        <f t="shared" si="1"/>
        <v>0.48806943482359361</v>
      </c>
      <c r="L5" s="16">
        <v>0.48809999999999998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52262237289.989998</v>
      </c>
      <c r="R5" s="15">
        <v>49649125425.489998</v>
      </c>
      <c r="S5" s="15">
        <v>47036013560.989998</v>
      </c>
      <c r="T5" s="9" t="str">
        <f t="shared" si="3"/>
        <v>Acima do limite prudencial</v>
      </c>
      <c r="U5" s="9" t="s">
        <v>51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48</v>
      </c>
      <c r="E6" s="9" t="s">
        <v>54</v>
      </c>
      <c r="F6" s="9">
        <v>2</v>
      </c>
      <c r="G6" s="9" t="s">
        <v>9</v>
      </c>
      <c r="H6" s="9" t="s">
        <v>56</v>
      </c>
      <c r="I6" s="15">
        <v>53034127686.5</v>
      </c>
      <c r="J6" s="15">
        <v>109306802541.96001</v>
      </c>
      <c r="K6" s="10">
        <f t="shared" si="1"/>
        <v>0.48518597610740277</v>
      </c>
      <c r="L6" s="16">
        <v>0.48520000000000002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53560333245.559998</v>
      </c>
      <c r="R6" s="15">
        <v>50882316583.279999</v>
      </c>
      <c r="S6" s="15">
        <v>48204299921</v>
      </c>
      <c r="T6" s="9" t="str">
        <f t="shared" si="3"/>
        <v>Acima do limite prudencial</v>
      </c>
      <c r="U6" s="9" t="s">
        <v>51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48</v>
      </c>
      <c r="E7" s="9" t="s">
        <v>54</v>
      </c>
      <c r="F7" s="9">
        <v>3</v>
      </c>
      <c r="G7" s="9" t="s">
        <v>10</v>
      </c>
      <c r="H7" s="9" t="s">
        <v>57</v>
      </c>
      <c r="I7" s="15">
        <v>53869167715.230003</v>
      </c>
      <c r="J7" s="15">
        <v>111722744769.94</v>
      </c>
      <c r="K7" s="10">
        <f t="shared" si="1"/>
        <v>0.48216831609496924</v>
      </c>
      <c r="L7" s="16">
        <v>0.48220000000000002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54744144937.269997</v>
      </c>
      <c r="R7" s="15">
        <v>52006937690.410004</v>
      </c>
      <c r="S7" s="15">
        <v>49269730443.540001</v>
      </c>
      <c r="T7" s="9" t="str">
        <f t="shared" si="3"/>
        <v>Acima do limite prudencial</v>
      </c>
      <c r="U7" s="9" t="s">
        <v>51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48</v>
      </c>
      <c r="E8" s="9" t="s">
        <v>58</v>
      </c>
      <c r="F8" s="9">
        <v>1</v>
      </c>
      <c r="G8" s="9" t="s">
        <v>11</v>
      </c>
      <c r="H8" s="9" t="s">
        <v>59</v>
      </c>
      <c r="I8" s="15">
        <v>54366687535.339996</v>
      </c>
      <c r="J8" s="15">
        <v>113022050955.38</v>
      </c>
      <c r="K8" s="10">
        <f t="shared" si="1"/>
        <v>0.48102726039543764</v>
      </c>
      <c r="L8" s="16">
        <v>0.48099999999999998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55380804968.139999</v>
      </c>
      <c r="R8" s="15">
        <v>52611764719.730003</v>
      </c>
      <c r="S8" s="15">
        <v>49842724471.330002</v>
      </c>
      <c r="T8" s="9" t="str">
        <f t="shared" si="3"/>
        <v>Acima do limite prudencial</v>
      </c>
      <c r="U8" s="9" t="s">
        <v>51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48</v>
      </c>
      <c r="E9" s="9" t="s">
        <v>58</v>
      </c>
      <c r="F9" s="9">
        <v>2</v>
      </c>
      <c r="G9" s="9" t="s">
        <v>12</v>
      </c>
      <c r="H9" s="9" t="s">
        <v>60</v>
      </c>
      <c r="I9" s="15">
        <v>55757355166.5</v>
      </c>
      <c r="J9" s="15">
        <v>117720254633.13</v>
      </c>
      <c r="K9" s="10">
        <f t="shared" si="1"/>
        <v>0.4736428352135777</v>
      </c>
      <c r="L9" s="16">
        <v>0.47360000000000002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57682924770.230003</v>
      </c>
      <c r="R9" s="15">
        <v>54798778531.720001</v>
      </c>
      <c r="S9" s="15">
        <v>51914632293.209999</v>
      </c>
      <c r="T9" s="9" t="str">
        <f t="shared" si="3"/>
        <v>Acima do limite prudencial</v>
      </c>
      <c r="U9" s="9" t="s">
        <v>51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61</v>
      </c>
      <c r="E10" s="9" t="s">
        <v>49</v>
      </c>
      <c r="F10" s="9">
        <v>1</v>
      </c>
      <c r="G10" s="9" t="s">
        <v>5</v>
      </c>
      <c r="H10" s="9" t="s">
        <v>50</v>
      </c>
      <c r="I10" s="15">
        <v>1247257809.8900001</v>
      </c>
      <c r="J10" s="15">
        <v>95766089914.589996</v>
      </c>
      <c r="K10" s="10">
        <f t="shared" si="1"/>
        <v>1.3024002661092044E-2</v>
      </c>
      <c r="L10" s="16">
        <v>1.2999999999999999E-2</v>
      </c>
      <c r="M10" s="9" t="str">
        <f t="shared" si="2"/>
        <v>Sim</v>
      </c>
      <c r="N10" s="16">
        <v>1.9E-2</v>
      </c>
      <c r="O10" s="16">
        <v>1.8100000000000002E-2</v>
      </c>
      <c r="P10" s="16">
        <v>1.7100000000000001E-2</v>
      </c>
      <c r="Q10" s="15">
        <v>1819555708.3800001</v>
      </c>
      <c r="R10" s="15">
        <v>1728577922.96</v>
      </c>
      <c r="S10" s="15">
        <v>1637600137.54</v>
      </c>
      <c r="T10" s="9" t="str">
        <f t="shared" si="3"/>
        <v>Abaixo do limite de alerta</v>
      </c>
      <c r="U10" s="9" t="s">
        <v>51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61</v>
      </c>
      <c r="E11" s="9" t="s">
        <v>49</v>
      </c>
      <c r="F11" s="9">
        <v>2</v>
      </c>
      <c r="G11" s="9" t="s">
        <v>6</v>
      </c>
      <c r="H11" s="9" t="s">
        <v>52</v>
      </c>
      <c r="I11" s="15">
        <v>1350297380.3499999</v>
      </c>
      <c r="J11" s="15">
        <v>99117274750.919998</v>
      </c>
      <c r="K11" s="10">
        <f t="shared" si="1"/>
        <v>1.3623229489947881E-2</v>
      </c>
      <c r="L11" s="16">
        <v>1.3599999999999999E-2</v>
      </c>
      <c r="M11" s="9" t="str">
        <f t="shared" si="2"/>
        <v>Sim</v>
      </c>
      <c r="N11" s="16">
        <v>1.9E-2</v>
      </c>
      <c r="O11" s="16">
        <v>1.8100000000000002E-2</v>
      </c>
      <c r="P11" s="16">
        <v>1.7100000000000001E-2</v>
      </c>
      <c r="Q11" s="15">
        <v>1883228220.27</v>
      </c>
      <c r="R11" s="15">
        <v>1789066809.26</v>
      </c>
      <c r="S11" s="15">
        <v>1694905398.24</v>
      </c>
      <c r="T11" s="9" t="str">
        <f t="shared" si="3"/>
        <v>Abaixo do limite de alerta</v>
      </c>
      <c r="U11" s="9" t="s">
        <v>51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61</v>
      </c>
      <c r="E12" s="9" t="s">
        <v>49</v>
      </c>
      <c r="F12" s="9">
        <v>3</v>
      </c>
      <c r="G12" s="9" t="s">
        <v>7</v>
      </c>
      <c r="H12" s="9" t="s">
        <v>53</v>
      </c>
      <c r="I12" s="15">
        <v>1407097842.6099999</v>
      </c>
      <c r="J12" s="15">
        <v>103465726489.95</v>
      </c>
      <c r="K12" s="10">
        <f t="shared" si="1"/>
        <v>1.3599651694773307E-2</v>
      </c>
      <c r="L12" s="16">
        <v>1.3599999999999999E-2</v>
      </c>
      <c r="M12" s="9" t="str">
        <f t="shared" si="2"/>
        <v>Sim</v>
      </c>
      <c r="N12" s="16">
        <v>1.9E-2</v>
      </c>
      <c r="O12" s="16">
        <v>1.8100000000000002E-2</v>
      </c>
      <c r="P12" s="16">
        <v>1.7100000000000001E-2</v>
      </c>
      <c r="Q12" s="15">
        <v>1965848803.3099999</v>
      </c>
      <c r="R12" s="15">
        <v>1867556363.1400001</v>
      </c>
      <c r="S12" s="15">
        <v>1769263922.98</v>
      </c>
      <c r="T12" s="9" t="str">
        <f t="shared" si="3"/>
        <v>Abaixo do limite de alerta</v>
      </c>
      <c r="U12" s="9" t="s">
        <v>51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61</v>
      </c>
      <c r="E13" s="9" t="s">
        <v>54</v>
      </c>
      <c r="F13" s="9">
        <v>1</v>
      </c>
      <c r="G13" s="9" t="s">
        <v>8</v>
      </c>
      <c r="H13" s="9" t="s">
        <v>55</v>
      </c>
      <c r="I13" s="15">
        <v>1438646905.72</v>
      </c>
      <c r="J13" s="15">
        <v>106657627122.42999</v>
      </c>
      <c r="K13" s="10">
        <f t="shared" si="1"/>
        <v>1.3488457830292889E-2</v>
      </c>
      <c r="L13" s="16">
        <v>1.35E-2</v>
      </c>
      <c r="M13" s="9" t="str">
        <f t="shared" si="2"/>
        <v>Sim</v>
      </c>
      <c r="N13" s="16">
        <v>1.9E-2</v>
      </c>
      <c r="O13" s="16">
        <v>1.8100000000000002E-2</v>
      </c>
      <c r="P13" s="16">
        <v>1.7100000000000001E-2</v>
      </c>
      <c r="Q13" s="15">
        <v>2026494915.3299999</v>
      </c>
      <c r="R13" s="15">
        <v>1925170169.5599999</v>
      </c>
      <c r="S13" s="15">
        <v>1823845423.8</v>
      </c>
      <c r="T13" s="9" t="str">
        <f t="shared" si="3"/>
        <v>Abaixo do limite de alerta</v>
      </c>
      <c r="U13" s="9" t="s">
        <v>51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61</v>
      </c>
      <c r="E14" s="9" t="s">
        <v>54</v>
      </c>
      <c r="F14" s="9">
        <v>2</v>
      </c>
      <c r="G14" s="9" t="s">
        <v>9</v>
      </c>
      <c r="H14" s="9" t="s">
        <v>56</v>
      </c>
      <c r="I14" s="15">
        <v>1445646173.1700001</v>
      </c>
      <c r="J14" s="15">
        <v>109306802541.96001</v>
      </c>
      <c r="K14" s="10">
        <f t="shared" si="1"/>
        <v>1.3225582850756746E-2</v>
      </c>
      <c r="L14" s="16">
        <v>1.32E-2</v>
      </c>
      <c r="M14" s="9" t="str">
        <f t="shared" si="2"/>
        <v>Sim</v>
      </c>
      <c r="N14" s="16">
        <v>1.9E-2</v>
      </c>
      <c r="O14" s="16">
        <v>1.8100000000000002E-2</v>
      </c>
      <c r="P14" s="16">
        <v>1.7100000000000001E-2</v>
      </c>
      <c r="Q14" s="15">
        <v>2076829248.3</v>
      </c>
      <c r="R14" s="15">
        <v>1972987785.8900001</v>
      </c>
      <c r="S14" s="15">
        <v>1869146323.47</v>
      </c>
      <c r="T14" s="9" t="str">
        <f t="shared" si="3"/>
        <v>Abaixo do limite de alerta</v>
      </c>
      <c r="U14" s="9" t="s">
        <v>51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61</v>
      </c>
      <c r="E15" s="9" t="s">
        <v>54</v>
      </c>
      <c r="F15" s="9">
        <v>3</v>
      </c>
      <c r="G15" s="9" t="s">
        <v>10</v>
      </c>
      <c r="H15" s="9" t="s">
        <v>57</v>
      </c>
      <c r="I15" s="15">
        <v>1486225583.01</v>
      </c>
      <c r="J15" s="15">
        <v>111722744769.94</v>
      </c>
      <c r="K15" s="10">
        <f t="shared" si="1"/>
        <v>1.3302802272450813E-2</v>
      </c>
      <c r="L15" s="16">
        <v>1.3299999999999999E-2</v>
      </c>
      <c r="M15" s="9" t="str">
        <f t="shared" si="2"/>
        <v>Sim</v>
      </c>
      <c r="N15" s="16">
        <v>1.9E-2</v>
      </c>
      <c r="O15" s="16">
        <v>1.8100000000000002E-2</v>
      </c>
      <c r="P15" s="16">
        <v>1.7100000000000001E-2</v>
      </c>
      <c r="Q15" s="15">
        <v>2122732150.6300001</v>
      </c>
      <c r="R15" s="15">
        <v>2016595543.0999999</v>
      </c>
      <c r="S15" s="15">
        <v>1910458935.5699999</v>
      </c>
      <c r="T15" s="9" t="str">
        <f t="shared" si="3"/>
        <v>Abaixo do limite de alerta</v>
      </c>
      <c r="U15" s="9" t="s">
        <v>51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61</v>
      </c>
      <c r="E16" s="9" t="s">
        <v>58</v>
      </c>
      <c r="F16" s="9">
        <v>1</v>
      </c>
      <c r="G16" s="9" t="s">
        <v>11</v>
      </c>
      <c r="H16" s="9" t="s">
        <v>59</v>
      </c>
      <c r="I16" s="15">
        <v>1521743216.8699999</v>
      </c>
      <c r="J16" s="15">
        <v>113022050955.38</v>
      </c>
      <c r="K16" s="10">
        <f t="shared" si="1"/>
        <v>1.3464126725772912E-2</v>
      </c>
      <c r="L16" s="16">
        <v>1.35E-2</v>
      </c>
      <c r="M16" s="9" t="str">
        <f t="shared" si="2"/>
        <v>Sim</v>
      </c>
      <c r="N16" s="16">
        <v>1.9E-2</v>
      </c>
      <c r="O16" s="16">
        <v>1.8100000000000002E-2</v>
      </c>
      <c r="P16" s="16">
        <v>1.7100000000000001E-2</v>
      </c>
      <c r="Q16" s="15">
        <v>2147418968.1500001</v>
      </c>
      <c r="R16" s="15">
        <v>2040048019.74</v>
      </c>
      <c r="S16" s="15">
        <v>1932677071.3399999</v>
      </c>
      <c r="T16" s="9" t="str">
        <f t="shared" si="3"/>
        <v>Abaixo do limite de alerta</v>
      </c>
      <c r="U16" s="9" t="s">
        <v>51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61</v>
      </c>
      <c r="E17" s="9" t="s">
        <v>58</v>
      </c>
      <c r="F17" s="9">
        <v>2</v>
      </c>
      <c r="G17" s="9" t="s">
        <v>12</v>
      </c>
      <c r="H17" s="9" t="s">
        <v>60</v>
      </c>
      <c r="I17" s="15">
        <v>1547070298.28</v>
      </c>
      <c r="J17" s="15">
        <v>117720254633.13</v>
      </c>
      <c r="K17" s="10">
        <f t="shared" si="1"/>
        <v>1.3141921100165613E-2</v>
      </c>
      <c r="L17" s="16">
        <v>1.3100000000000001E-2</v>
      </c>
      <c r="M17" s="9" t="str">
        <f t="shared" si="2"/>
        <v>Sim</v>
      </c>
      <c r="N17" s="16">
        <v>1.9E-2</v>
      </c>
      <c r="O17" s="16">
        <v>1.8100000000000002E-2</v>
      </c>
      <c r="P17" s="16">
        <v>1.7100000000000001E-2</v>
      </c>
      <c r="Q17" s="15">
        <v>2236684838.0300002</v>
      </c>
      <c r="R17" s="15">
        <v>2124850596.1300001</v>
      </c>
      <c r="S17" s="15">
        <v>2013016354.23</v>
      </c>
      <c r="T17" s="9" t="str">
        <f t="shared" si="3"/>
        <v>Abaixo do limite de alerta</v>
      </c>
      <c r="U17" s="9" t="s">
        <v>51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62</v>
      </c>
      <c r="E18" s="9" t="s">
        <v>49</v>
      </c>
      <c r="F18" s="9">
        <v>1</v>
      </c>
      <c r="G18" s="9" t="s">
        <v>5</v>
      </c>
      <c r="H18" s="9" t="s">
        <v>50</v>
      </c>
      <c r="I18" s="15">
        <v>5247979931.7600002</v>
      </c>
      <c r="J18" s="15">
        <v>95766089914.589996</v>
      </c>
      <c r="K18" s="10">
        <f t="shared" si="1"/>
        <v>5.4799981250570708E-2</v>
      </c>
      <c r="L18" s="16">
        <v>5.4800000000000001E-2</v>
      </c>
      <c r="M18" s="9" t="str">
        <f t="shared" si="2"/>
        <v>Sim</v>
      </c>
      <c r="N18" s="16">
        <v>5.91E-2</v>
      </c>
      <c r="O18" s="16">
        <v>5.6099999999999997E-2</v>
      </c>
      <c r="P18" s="16">
        <v>5.3199999999999997E-2</v>
      </c>
      <c r="Q18" s="15">
        <v>5659775913.9499998</v>
      </c>
      <c r="R18" s="15">
        <v>5376787118.25</v>
      </c>
      <c r="S18" s="15">
        <v>5093798322.5600004</v>
      </c>
      <c r="T18" s="9" t="str">
        <f t="shared" si="3"/>
        <v>Acima do limite de alerta</v>
      </c>
      <c r="U18" s="9" t="s">
        <v>51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62</v>
      </c>
      <c r="E19" s="9" t="s">
        <v>49</v>
      </c>
      <c r="F19" s="9">
        <v>2</v>
      </c>
      <c r="G19" s="9" t="s">
        <v>6</v>
      </c>
      <c r="H19" s="9" t="s">
        <v>52</v>
      </c>
      <c r="I19" s="15">
        <v>5363429572.1599998</v>
      </c>
      <c r="J19" s="15">
        <v>99117274750.919998</v>
      </c>
      <c r="K19" s="10">
        <f t="shared" si="1"/>
        <v>5.4111955616598678E-2</v>
      </c>
      <c r="L19" s="16">
        <v>5.4100000000000002E-2</v>
      </c>
      <c r="M19" s="9" t="str">
        <f t="shared" si="2"/>
        <v>Sim</v>
      </c>
      <c r="N19" s="16">
        <v>5.91E-2</v>
      </c>
      <c r="O19" s="16">
        <v>5.6099999999999997E-2</v>
      </c>
      <c r="P19" s="16">
        <v>5.3199999999999997E-2</v>
      </c>
      <c r="Q19" s="15">
        <v>5857830937.7799997</v>
      </c>
      <c r="R19" s="15">
        <v>5564939390.8900003</v>
      </c>
      <c r="S19" s="15">
        <v>5272047844</v>
      </c>
      <c r="T19" s="9" t="str">
        <f t="shared" si="3"/>
        <v>Acima do limite de alerta</v>
      </c>
      <c r="U19" s="9" t="s">
        <v>51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62</v>
      </c>
      <c r="E20" s="9" t="s">
        <v>49</v>
      </c>
      <c r="F20" s="9">
        <v>3</v>
      </c>
      <c r="G20" s="9" t="s">
        <v>7</v>
      </c>
      <c r="H20" s="9" t="s">
        <v>53</v>
      </c>
      <c r="I20" s="15">
        <v>5631799198.25</v>
      </c>
      <c r="J20" s="15">
        <v>103465726489.95</v>
      </c>
      <c r="K20" s="10">
        <f t="shared" si="1"/>
        <v>5.4431543558504249E-2</v>
      </c>
      <c r="L20" s="16">
        <v>5.4399999999999997E-2</v>
      </c>
      <c r="M20" s="9" t="str">
        <f t="shared" si="2"/>
        <v>Sim</v>
      </c>
      <c r="N20" s="16">
        <v>5.91E-2</v>
      </c>
      <c r="O20" s="16">
        <v>5.6099999999999997E-2</v>
      </c>
      <c r="P20" s="16">
        <v>5.3199999999999997E-2</v>
      </c>
      <c r="Q20" s="15">
        <v>6114824435.5600004</v>
      </c>
      <c r="R20" s="15">
        <v>5809083213.7799997</v>
      </c>
      <c r="S20" s="15">
        <v>5503341992</v>
      </c>
      <c r="T20" s="9" t="str">
        <f t="shared" si="3"/>
        <v>Acima do limite de alerta</v>
      </c>
      <c r="U20" s="9" t="s">
        <v>51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62</v>
      </c>
      <c r="E21" s="9" t="s">
        <v>54</v>
      </c>
      <c r="F21" s="9">
        <v>1</v>
      </c>
      <c r="G21" s="9" t="s">
        <v>8</v>
      </c>
      <c r="H21" s="9" t="s">
        <v>55</v>
      </c>
      <c r="I21" s="15">
        <v>5820586562.8500004</v>
      </c>
      <c r="J21" s="15">
        <v>106657627122.42999</v>
      </c>
      <c r="K21" s="10">
        <f t="shared" si="1"/>
        <v>5.457262382341091E-2</v>
      </c>
      <c r="L21" s="16">
        <v>5.4600000000000003E-2</v>
      </c>
      <c r="M21" s="9" t="str">
        <f t="shared" si="2"/>
        <v>Sim</v>
      </c>
      <c r="N21" s="16">
        <v>5.91E-2</v>
      </c>
      <c r="O21" s="16">
        <v>5.6099999999999997E-2</v>
      </c>
      <c r="P21" s="16">
        <v>5.3199999999999997E-2</v>
      </c>
      <c r="Q21" s="15">
        <v>6303465762.9399996</v>
      </c>
      <c r="R21" s="15">
        <v>5988292474.79</v>
      </c>
      <c r="S21" s="15">
        <v>5673119186.6499996</v>
      </c>
      <c r="T21" s="9" t="str">
        <f t="shared" si="3"/>
        <v>Acima do limite de alerta</v>
      </c>
      <c r="U21" s="9" t="s">
        <v>51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62</v>
      </c>
      <c r="E22" s="9" t="s">
        <v>54</v>
      </c>
      <c r="F22" s="9">
        <v>2</v>
      </c>
      <c r="G22" s="9" t="s">
        <v>9</v>
      </c>
      <c r="H22" s="9" t="s">
        <v>56</v>
      </c>
      <c r="I22" s="15">
        <v>6008771801.04</v>
      </c>
      <c r="J22" s="15">
        <v>109306802541.96001</v>
      </c>
      <c r="K22" s="10">
        <f t="shared" si="1"/>
        <v>5.4971618063142873E-2</v>
      </c>
      <c r="L22" s="16">
        <v>5.5E-2</v>
      </c>
      <c r="M22" s="9" t="str">
        <f t="shared" si="2"/>
        <v>Sim</v>
      </c>
      <c r="N22" s="16">
        <v>5.91E-2</v>
      </c>
      <c r="O22" s="16">
        <v>5.6099999999999997E-2</v>
      </c>
      <c r="P22" s="16">
        <v>5.3199999999999997E-2</v>
      </c>
      <c r="Q22" s="15">
        <v>6460032030.2299995</v>
      </c>
      <c r="R22" s="15">
        <v>6137030428.7200003</v>
      </c>
      <c r="S22" s="15">
        <v>5814028827.21</v>
      </c>
      <c r="T22" s="9" t="str">
        <f t="shared" si="3"/>
        <v>Acima do limite de alerta</v>
      </c>
      <c r="U22" s="9" t="s">
        <v>51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62</v>
      </c>
      <c r="E23" s="9" t="s">
        <v>54</v>
      </c>
      <c r="F23" s="9">
        <v>3</v>
      </c>
      <c r="G23" s="9" t="s">
        <v>10</v>
      </c>
      <c r="H23" s="9" t="s">
        <v>57</v>
      </c>
      <c r="I23" s="15">
        <v>5976316106.8000002</v>
      </c>
      <c r="J23" s="15">
        <v>111722744769.94</v>
      </c>
      <c r="K23" s="10">
        <f t="shared" si="1"/>
        <v>5.3492385271293311E-2</v>
      </c>
      <c r="L23" s="16">
        <v>5.3499999999999999E-2</v>
      </c>
      <c r="M23" s="9" t="str">
        <f t="shared" si="2"/>
        <v>Sim</v>
      </c>
      <c r="N23" s="16">
        <v>5.91E-2</v>
      </c>
      <c r="O23" s="16">
        <v>5.6099999999999997E-2</v>
      </c>
      <c r="P23" s="16">
        <v>5.3199999999999997E-2</v>
      </c>
      <c r="Q23" s="15">
        <v>6602814215.8999996</v>
      </c>
      <c r="R23" s="15">
        <v>6272673505.1099997</v>
      </c>
      <c r="S23" s="15">
        <v>5942532794.3100004</v>
      </c>
      <c r="T23" s="9" t="str">
        <f t="shared" si="3"/>
        <v>Acima do limite de alerta</v>
      </c>
      <c r="U23" s="9" t="s">
        <v>51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62</v>
      </c>
      <c r="E24" s="9" t="s">
        <v>58</v>
      </c>
      <c r="F24" s="9">
        <v>1</v>
      </c>
      <c r="G24" s="9" t="s">
        <v>11</v>
      </c>
      <c r="H24" s="9" t="s">
        <v>59</v>
      </c>
      <c r="I24" s="15">
        <v>6179003072.21</v>
      </c>
      <c r="J24" s="15">
        <v>113022050955.38</v>
      </c>
      <c r="K24" s="10">
        <f t="shared" si="1"/>
        <v>5.4670774596449409E-2</v>
      </c>
      <c r="L24" s="16">
        <v>5.4699999999999999E-2</v>
      </c>
      <c r="M24" s="9" t="str">
        <f t="shared" si="2"/>
        <v>Sim</v>
      </c>
      <c r="N24" s="16">
        <v>5.91E-2</v>
      </c>
      <c r="O24" s="16">
        <v>5.6099999999999997E-2</v>
      </c>
      <c r="P24" s="16">
        <v>5.3199999999999997E-2</v>
      </c>
      <c r="Q24" s="15">
        <v>6679603211.46</v>
      </c>
      <c r="R24" s="15">
        <v>6345623050.8900003</v>
      </c>
      <c r="S24" s="15">
        <v>6011642890.3100004</v>
      </c>
      <c r="T24" s="9" t="str">
        <f t="shared" si="3"/>
        <v>Acima do limite de alerta</v>
      </c>
      <c r="U24" s="9" t="s">
        <v>51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62</v>
      </c>
      <c r="E25" s="9" t="s">
        <v>58</v>
      </c>
      <c r="F25" s="9">
        <v>2</v>
      </c>
      <c r="G25" s="9" t="s">
        <v>12</v>
      </c>
      <c r="H25" s="9" t="s">
        <v>60</v>
      </c>
      <c r="I25" s="15">
        <v>6334840969.8900003</v>
      </c>
      <c r="J25" s="15">
        <v>117720254633.13</v>
      </c>
      <c r="K25" s="10">
        <f t="shared" si="1"/>
        <v>5.3812667918806782E-2</v>
      </c>
      <c r="L25" s="16">
        <v>5.3800000000000001E-2</v>
      </c>
      <c r="M25" s="9" t="str">
        <f t="shared" si="2"/>
        <v>Sim</v>
      </c>
      <c r="N25" s="16">
        <v>5.91E-2</v>
      </c>
      <c r="O25" s="16">
        <v>5.6099999999999997E-2</v>
      </c>
      <c r="P25" s="16">
        <v>5.3199999999999997E-2</v>
      </c>
      <c r="Q25" s="15">
        <v>6957267048.8199997</v>
      </c>
      <c r="R25" s="15">
        <v>6609403696.3800001</v>
      </c>
      <c r="S25" s="15">
        <v>6261540343.9399996</v>
      </c>
      <c r="T25" s="9" t="str">
        <f t="shared" si="3"/>
        <v>Acima do limite de alerta</v>
      </c>
      <c r="U25" s="9" t="s">
        <v>51</v>
      </c>
    </row>
    <row r="26" spans="1:21" x14ac:dyDescent="0.25">
      <c r="A26" s="9" t="str">
        <f t="shared" si="0"/>
        <v>Tribunal de Justiça Militar de Minas Gerais|1º quad. 2024</v>
      </c>
      <c r="B26" s="9" t="s">
        <v>21</v>
      </c>
      <c r="C26" s="9" t="s">
        <v>20</v>
      </c>
      <c r="D26" s="9" t="s">
        <v>21</v>
      </c>
      <c r="E26" s="9" t="s">
        <v>49</v>
      </c>
      <c r="F26" s="9">
        <v>1</v>
      </c>
      <c r="G26" s="9" t="s">
        <v>5</v>
      </c>
      <c r="H26" s="9" t="s">
        <v>50</v>
      </c>
      <c r="I26" s="15">
        <v>68737797.810000002</v>
      </c>
      <c r="J26" s="15">
        <v>95766089914.589996</v>
      </c>
      <c r="K26" s="10">
        <f t="shared" si="1"/>
        <v>7.1776761347680095E-4</v>
      </c>
      <c r="L26" s="16">
        <v>7.000000000000001E-4</v>
      </c>
      <c r="M26" s="9" t="str">
        <f t="shared" si="2"/>
        <v>Sim</v>
      </c>
      <c r="N26" s="16">
        <v>8.9999999999999998E-4</v>
      </c>
      <c r="O26" s="16">
        <v>8.9999999999999998E-4</v>
      </c>
      <c r="P26" s="16">
        <v>8.0000000000000004E-4</v>
      </c>
      <c r="Q26" s="15">
        <v>86189480.920000002</v>
      </c>
      <c r="R26" s="15">
        <v>81880006.870000005</v>
      </c>
      <c r="S26" s="15">
        <v>77570532.829999998</v>
      </c>
      <c r="T26" s="9" t="str">
        <f t="shared" si="3"/>
        <v>Abaixo do limite de alerta</v>
      </c>
      <c r="U26" s="9" t="s">
        <v>51</v>
      </c>
    </row>
    <row r="27" spans="1:21" x14ac:dyDescent="0.25">
      <c r="A27" s="9" t="str">
        <f t="shared" si="0"/>
        <v>Tribunal de Justiça Militar de Minas Gerais|2º quad. 2024</v>
      </c>
      <c r="B27" s="9" t="s">
        <v>21</v>
      </c>
      <c r="C27" s="9" t="s">
        <v>20</v>
      </c>
      <c r="D27" s="9" t="s">
        <v>21</v>
      </c>
      <c r="E27" s="9" t="s">
        <v>49</v>
      </c>
      <c r="F27" s="9">
        <v>2</v>
      </c>
      <c r="G27" s="9" t="s">
        <v>6</v>
      </c>
      <c r="H27" s="9" t="s">
        <v>52</v>
      </c>
      <c r="I27" s="15">
        <v>66777602.710000001</v>
      </c>
      <c r="J27" s="15">
        <v>99117274750.919998</v>
      </c>
      <c r="K27" s="10">
        <f t="shared" si="1"/>
        <v>6.7372315146689576E-4</v>
      </c>
      <c r="L27" s="16">
        <v>7.000000000000001E-4</v>
      </c>
      <c r="M27" s="9" t="str">
        <f t="shared" si="2"/>
        <v>Sim</v>
      </c>
      <c r="N27" s="16">
        <v>8.9999999999999998E-4</v>
      </c>
      <c r="O27" s="16">
        <v>8.9999999999999998E-4</v>
      </c>
      <c r="P27" s="16">
        <v>8.0000000000000004E-4</v>
      </c>
      <c r="Q27" s="15">
        <v>89205547.280000001</v>
      </c>
      <c r="R27" s="15">
        <v>84745269.920000002</v>
      </c>
      <c r="S27" s="15">
        <v>80284992.549999997</v>
      </c>
      <c r="T27" s="9" t="str">
        <f t="shared" si="3"/>
        <v>Abaixo do limite de alerta</v>
      </c>
      <c r="U27" s="9" t="s">
        <v>51</v>
      </c>
    </row>
    <row r="28" spans="1:21" x14ac:dyDescent="0.25">
      <c r="A28" s="9" t="str">
        <f t="shared" si="0"/>
        <v>Tribunal de Justiça Militar de Minas Gerais|3º quad. 2024</v>
      </c>
      <c r="B28" s="9" t="s">
        <v>21</v>
      </c>
      <c r="C28" s="9" t="s">
        <v>20</v>
      </c>
      <c r="D28" s="9" t="s">
        <v>21</v>
      </c>
      <c r="E28" s="9" t="s">
        <v>49</v>
      </c>
      <c r="F28" s="9">
        <v>3</v>
      </c>
      <c r="G28" s="9" t="s">
        <v>7</v>
      </c>
      <c r="H28" s="9" t="s">
        <v>53</v>
      </c>
      <c r="I28" s="15">
        <v>74418432</v>
      </c>
      <c r="J28" s="15">
        <v>103465726489.95</v>
      </c>
      <c r="K28" s="10">
        <f t="shared" si="1"/>
        <v>7.1925684499232246E-4</v>
      </c>
      <c r="L28" s="16">
        <v>7.000000000000001E-4</v>
      </c>
      <c r="M28" s="9" t="str">
        <f t="shared" si="2"/>
        <v>Sim</v>
      </c>
      <c r="N28" s="16">
        <v>8.9999999999999998E-4</v>
      </c>
      <c r="O28" s="16">
        <v>8.9999999999999998E-4</v>
      </c>
      <c r="P28" s="16">
        <v>8.0000000000000004E-4</v>
      </c>
      <c r="Q28" s="15">
        <v>93119153.840000004</v>
      </c>
      <c r="R28" s="15">
        <v>88463196.150000006</v>
      </c>
      <c r="S28" s="15">
        <v>83807238.459999993</v>
      </c>
      <c r="T28" s="9" t="str">
        <f t="shared" si="3"/>
        <v>Abaixo do limite de alerta</v>
      </c>
      <c r="U28" s="9" t="s">
        <v>51</v>
      </c>
    </row>
    <row r="29" spans="1:21" x14ac:dyDescent="0.25">
      <c r="A29" s="9" t="str">
        <f t="shared" si="0"/>
        <v>Tribunal de Justiça Militar de Minas Gerais|1º quad. 2025</v>
      </c>
      <c r="B29" s="9" t="s">
        <v>21</v>
      </c>
      <c r="C29" s="9" t="s">
        <v>20</v>
      </c>
      <c r="D29" s="9" t="s">
        <v>21</v>
      </c>
      <c r="E29" s="9" t="s">
        <v>54</v>
      </c>
      <c r="F29" s="9">
        <v>1</v>
      </c>
      <c r="G29" s="9" t="s">
        <v>8</v>
      </c>
      <c r="H29" s="9" t="s">
        <v>55</v>
      </c>
      <c r="I29" s="15">
        <v>76587244.109999999</v>
      </c>
      <c r="J29" s="15">
        <v>106657627122.42999</v>
      </c>
      <c r="K29" s="10">
        <f t="shared" si="1"/>
        <v>7.1806626657920257E-4</v>
      </c>
      <c r="L29" s="16">
        <v>7.000000000000001E-4</v>
      </c>
      <c r="M29" s="9" t="str">
        <f t="shared" si="2"/>
        <v>Sim</v>
      </c>
      <c r="N29" s="16">
        <v>8.9999999999999998E-4</v>
      </c>
      <c r="O29" s="16">
        <v>8.9999999999999998E-4</v>
      </c>
      <c r="P29" s="16">
        <v>8.0000000000000004E-4</v>
      </c>
      <c r="Q29" s="15">
        <v>95991864.409999996</v>
      </c>
      <c r="R29" s="15">
        <v>91192271.189999998</v>
      </c>
      <c r="S29" s="15">
        <v>86392677.969999999</v>
      </c>
      <c r="T29" s="9" t="str">
        <f t="shared" si="3"/>
        <v>Abaixo do limite de alerta</v>
      </c>
      <c r="U29" s="9" t="s">
        <v>51</v>
      </c>
    </row>
    <row r="30" spans="1:21" x14ac:dyDescent="0.25">
      <c r="A30" s="9" t="str">
        <f t="shared" si="0"/>
        <v>Tribunal de Justiça Militar de Minas Gerais|2º quad. 2025</v>
      </c>
      <c r="B30" s="9" t="s">
        <v>21</v>
      </c>
      <c r="C30" s="9" t="s">
        <v>20</v>
      </c>
      <c r="D30" s="9" t="s">
        <v>21</v>
      </c>
      <c r="E30" s="9" t="s">
        <v>54</v>
      </c>
      <c r="F30" s="9">
        <v>2</v>
      </c>
      <c r="G30" s="9" t="s">
        <v>9</v>
      </c>
      <c r="H30" s="9" t="s">
        <v>56</v>
      </c>
      <c r="I30" s="15">
        <v>81899280.409999996</v>
      </c>
      <c r="J30" s="15">
        <v>109306802541.96001</v>
      </c>
      <c r="K30" s="10">
        <f t="shared" si="1"/>
        <v>7.4926059957303225E-4</v>
      </c>
      <c r="L30" s="16">
        <v>7.000000000000001E-4</v>
      </c>
      <c r="M30" s="9" t="str">
        <f t="shared" si="2"/>
        <v>Sim</v>
      </c>
      <c r="N30" s="16">
        <v>8.9999999999999998E-4</v>
      </c>
      <c r="O30" s="16">
        <v>8.9999999999999998E-4</v>
      </c>
      <c r="P30" s="16">
        <v>8.0000000000000004E-4</v>
      </c>
      <c r="Q30" s="15">
        <v>98376122.290000007</v>
      </c>
      <c r="R30" s="15">
        <v>93457316.180000007</v>
      </c>
      <c r="S30" s="15">
        <v>88538510.060000002</v>
      </c>
      <c r="T30" s="9" t="str">
        <f t="shared" si="3"/>
        <v>Abaixo do limite de alerta</v>
      </c>
      <c r="U30" s="9" t="s">
        <v>51</v>
      </c>
    </row>
    <row r="31" spans="1:21" x14ac:dyDescent="0.25">
      <c r="A31" s="9" t="str">
        <f t="shared" si="0"/>
        <v>Tribunal de Justiça Militar de Minas Gerais|3º quad. 2025</v>
      </c>
      <c r="B31" s="9" t="s">
        <v>21</v>
      </c>
      <c r="C31" s="9" t="s">
        <v>20</v>
      </c>
      <c r="D31" s="9" t="s">
        <v>21</v>
      </c>
      <c r="E31" s="9" t="s">
        <v>54</v>
      </c>
      <c r="F31" s="9">
        <v>3</v>
      </c>
      <c r="G31" s="9" t="s">
        <v>10</v>
      </c>
      <c r="H31" s="9" t="s">
        <v>57</v>
      </c>
      <c r="I31" s="15">
        <v>79800678.040000007</v>
      </c>
      <c r="J31" s="15">
        <v>111722744769.94</v>
      </c>
      <c r="K31" s="10">
        <f t="shared" si="1"/>
        <v>7.1427423488678102E-4</v>
      </c>
      <c r="L31" s="16">
        <v>7.000000000000001E-4</v>
      </c>
      <c r="M31" s="9" t="str">
        <f t="shared" si="2"/>
        <v>Sim</v>
      </c>
      <c r="N31" s="16">
        <v>8.9999999999999998E-4</v>
      </c>
      <c r="O31" s="16">
        <v>8.9999999999999998E-4</v>
      </c>
      <c r="P31" s="16">
        <v>8.0000000000000004E-4</v>
      </c>
      <c r="Q31" s="15">
        <v>100550470.29000001</v>
      </c>
      <c r="R31" s="15">
        <v>95522946.780000001</v>
      </c>
      <c r="S31" s="15">
        <v>90495423.260000005</v>
      </c>
      <c r="T31" s="9" t="str">
        <f t="shared" si="3"/>
        <v>Abaixo do limite de alerta</v>
      </c>
      <c r="U31" s="9" t="s">
        <v>51</v>
      </c>
    </row>
    <row r="32" spans="1:21" x14ac:dyDescent="0.25">
      <c r="A32" s="9" t="str">
        <f t="shared" si="0"/>
        <v>Tribunal de Justiça Militar de Minas Gerais|1º quad. 2026</v>
      </c>
      <c r="B32" s="9" t="s">
        <v>21</v>
      </c>
      <c r="C32" s="9" t="s">
        <v>20</v>
      </c>
      <c r="D32" s="9" t="s">
        <v>21</v>
      </c>
      <c r="E32" s="9" t="s">
        <v>58</v>
      </c>
      <c r="F32" s="9">
        <v>1</v>
      </c>
      <c r="G32" s="9" t="s">
        <v>11</v>
      </c>
      <c r="H32" s="9" t="s">
        <v>59</v>
      </c>
      <c r="I32" s="15">
        <v>84205476.480000004</v>
      </c>
      <c r="J32" s="15">
        <v>113022050955.38</v>
      </c>
      <c r="K32" s="10">
        <f t="shared" si="1"/>
        <v>7.4503582060498534E-4</v>
      </c>
      <c r="L32" s="16">
        <v>7.000000000000001E-4</v>
      </c>
      <c r="M32" s="9" t="str">
        <f t="shared" si="2"/>
        <v>Sim</v>
      </c>
      <c r="N32" s="16">
        <v>8.9999999999999998E-4</v>
      </c>
      <c r="O32" s="16">
        <v>8.9999999999999998E-4</v>
      </c>
      <c r="P32" s="16">
        <v>8.0000000000000004E-4</v>
      </c>
      <c r="Q32" s="15">
        <v>101719845.86</v>
      </c>
      <c r="R32" s="15">
        <v>96633853.569999993</v>
      </c>
      <c r="S32" s="15">
        <v>91547861.269999996</v>
      </c>
      <c r="T32" s="9" t="str">
        <f t="shared" si="3"/>
        <v>Abaixo do limite de alerta</v>
      </c>
      <c r="U32" s="9" t="s">
        <v>51</v>
      </c>
    </row>
    <row r="33" spans="1:21" x14ac:dyDescent="0.25">
      <c r="A33" s="9" t="str">
        <f t="shared" si="0"/>
        <v>Tribunal de Justiça Militar de Minas Gerais|2º quad. 2026</v>
      </c>
      <c r="B33" s="9" t="s">
        <v>21</v>
      </c>
      <c r="C33" s="9" t="s">
        <v>20</v>
      </c>
      <c r="D33" s="9" t="s">
        <v>21</v>
      </c>
      <c r="E33" s="9" t="s">
        <v>58</v>
      </c>
      <c r="F33" s="9">
        <v>2</v>
      </c>
      <c r="G33" s="9" t="s">
        <v>12</v>
      </c>
      <c r="H33" s="9" t="s">
        <v>60</v>
      </c>
      <c r="I33" s="15">
        <v>88571802.140000001</v>
      </c>
      <c r="J33" s="15">
        <v>117720254633.13</v>
      </c>
      <c r="K33" s="10">
        <f t="shared" si="1"/>
        <v>7.5239220655808233E-4</v>
      </c>
      <c r="L33" s="16">
        <v>8.0000000000000004E-4</v>
      </c>
      <c r="M33" s="9" t="str">
        <f t="shared" si="2"/>
        <v>Sim</v>
      </c>
      <c r="N33" s="16">
        <v>8.9999999999999998E-4</v>
      </c>
      <c r="O33" s="16">
        <v>8.9999999999999998E-4</v>
      </c>
      <c r="P33" s="16">
        <v>8.0000000000000004E-4</v>
      </c>
      <c r="Q33" s="15">
        <v>105948229.17</v>
      </c>
      <c r="R33" s="15">
        <v>100650817.70999999</v>
      </c>
      <c r="S33" s="15">
        <v>95353406.25</v>
      </c>
      <c r="T33" s="9" t="str">
        <f t="shared" si="3"/>
        <v>Abaixo do limite de alerta</v>
      </c>
      <c r="U33" s="9" t="s">
        <v>51</v>
      </c>
    </row>
    <row r="34" spans="1:21" x14ac:dyDescent="0.25">
      <c r="A34" s="9" t="str">
        <f t="shared" ref="A34:A65" si="4">B34&amp;"|"&amp;G34</f>
        <v>Tribunal de Contas|1º quad. 2024</v>
      </c>
      <c r="B34" s="9" t="s">
        <v>22</v>
      </c>
      <c r="C34" s="9" t="s">
        <v>22</v>
      </c>
      <c r="D34" s="9" t="s">
        <v>63</v>
      </c>
      <c r="E34" s="9" t="s">
        <v>49</v>
      </c>
      <c r="F34" s="9">
        <v>1</v>
      </c>
      <c r="G34" s="9" t="s">
        <v>5</v>
      </c>
      <c r="H34" s="9" t="s">
        <v>50</v>
      </c>
      <c r="I34" s="15">
        <v>712719613.63999999</v>
      </c>
      <c r="J34" s="15">
        <v>95766089914.589996</v>
      </c>
      <c r="K34" s="10">
        <f t="shared" ref="K34:K65" si="5">IF(OR(I34="",J34="",J34=0),"",I34/J34)</f>
        <v>7.4422962687068729E-3</v>
      </c>
      <c r="L34" s="16">
        <v>7.4000000000000003E-3</v>
      </c>
      <c r="M34" s="9" t="str">
        <f t="shared" ref="M34:M65" si="6">IF(L34="","Não declarado",IF(K34="","Sem dado",IF(ABS(K34-L34)&lt;=0.00005,"Sim","Não")))</f>
        <v>Sim</v>
      </c>
      <c r="N34" s="16">
        <v>1.0999999999999999E-2</v>
      </c>
      <c r="O34" s="16">
        <v>1.0500000000000001E-2</v>
      </c>
      <c r="P34" s="16">
        <v>9.8999999999999991E-3</v>
      </c>
      <c r="Q34" s="15">
        <v>1053426989.0599999</v>
      </c>
      <c r="R34" s="15">
        <v>1000755639.61</v>
      </c>
      <c r="S34" s="15">
        <v>948084290.14999998</v>
      </c>
      <c r="T34" s="9" t="str">
        <f t="shared" ref="T34:T65" si="7">IF(K34="","Sem dado",IF(N34="","Sem limite próprio na LRF",IF(AND(Q34&lt;&gt;"",R34&lt;&gt;"",S34&lt;&gt;""),IF(I34&gt;Q34,"Acima do limite máximo",IF(I34&gt;R34,"Acima do limite prudencial",IF(I34&gt;S34,"Acima do limite de alerta","Abaixo do limite de alerta"))),IF(K34&gt;N34,"Acima do limite máximo",IF(K34&gt;O34,"Acima do limite prudencial",IF(K34&gt;P34,"Acima do limite de alerta","Abaixo do limite de alerta"))))))</f>
        <v>Abaixo do limite de alerta</v>
      </c>
      <c r="U34" s="9" t="s">
        <v>51</v>
      </c>
    </row>
    <row r="35" spans="1:21" x14ac:dyDescent="0.25">
      <c r="A35" s="9" t="str">
        <f t="shared" si="4"/>
        <v>Tribunal de Contas|2º quad. 2024</v>
      </c>
      <c r="B35" s="9" t="s">
        <v>22</v>
      </c>
      <c r="C35" s="9" t="s">
        <v>22</v>
      </c>
      <c r="D35" s="9" t="s">
        <v>63</v>
      </c>
      <c r="E35" s="9" t="s">
        <v>49</v>
      </c>
      <c r="F35" s="9">
        <v>2</v>
      </c>
      <c r="G35" s="9" t="s">
        <v>6</v>
      </c>
      <c r="H35" s="9" t="s">
        <v>52</v>
      </c>
      <c r="I35" s="15">
        <v>755153401.34000003</v>
      </c>
      <c r="J35" s="15">
        <v>99117274750.919998</v>
      </c>
      <c r="K35" s="10">
        <f t="shared" si="5"/>
        <v>7.6187869696547599E-3</v>
      </c>
      <c r="L35" s="16">
        <v>7.6E-3</v>
      </c>
      <c r="M35" s="9" t="str">
        <f t="shared" si="6"/>
        <v>Sim</v>
      </c>
      <c r="N35" s="16">
        <v>1.0999999999999999E-2</v>
      </c>
      <c r="O35" s="16">
        <v>1.0500000000000001E-2</v>
      </c>
      <c r="P35" s="16">
        <v>9.8999999999999991E-3</v>
      </c>
      <c r="Q35" s="15">
        <v>1090290022.26</v>
      </c>
      <c r="R35" s="15">
        <v>1035775521.15</v>
      </c>
      <c r="S35" s="15">
        <v>981261020.02999997</v>
      </c>
      <c r="T35" s="9" t="str">
        <f t="shared" si="7"/>
        <v>Abaixo do limite de alerta</v>
      </c>
      <c r="U35" s="9" t="s">
        <v>51</v>
      </c>
    </row>
    <row r="36" spans="1:21" x14ac:dyDescent="0.25">
      <c r="A36" s="9" t="str">
        <f t="shared" si="4"/>
        <v>Tribunal de Contas|3º quad. 2024</v>
      </c>
      <c r="B36" s="9" t="s">
        <v>22</v>
      </c>
      <c r="C36" s="9" t="s">
        <v>22</v>
      </c>
      <c r="D36" s="9" t="s">
        <v>63</v>
      </c>
      <c r="E36" s="9" t="s">
        <v>49</v>
      </c>
      <c r="F36" s="9">
        <v>3</v>
      </c>
      <c r="G36" s="9" t="s">
        <v>7</v>
      </c>
      <c r="H36" s="9" t="s">
        <v>53</v>
      </c>
      <c r="I36" s="15">
        <v>813389770.66999996</v>
      </c>
      <c r="J36" s="15">
        <v>103465726489.95</v>
      </c>
      <c r="K36" s="10">
        <f t="shared" si="5"/>
        <v>7.8614416412473315E-3</v>
      </c>
      <c r="L36" s="16">
        <v>7.9000000000000008E-3</v>
      </c>
      <c r="M36" s="9" t="str">
        <f t="shared" si="6"/>
        <v>Sim</v>
      </c>
      <c r="N36" s="16">
        <v>1.0999999999999999E-2</v>
      </c>
      <c r="O36" s="16">
        <v>1.0500000000000001E-2</v>
      </c>
      <c r="P36" s="16">
        <v>9.8999999999999991E-3</v>
      </c>
      <c r="Q36" s="15">
        <v>1138122991.3900001</v>
      </c>
      <c r="R36" s="15">
        <v>1081216841.8199999</v>
      </c>
      <c r="S36" s="15">
        <v>1024310692.25</v>
      </c>
      <c r="T36" s="9" t="str">
        <f t="shared" si="7"/>
        <v>Abaixo do limite de alerta</v>
      </c>
      <c r="U36" s="9" t="s">
        <v>51</v>
      </c>
    </row>
    <row r="37" spans="1:21" x14ac:dyDescent="0.25">
      <c r="A37" s="9" t="str">
        <f t="shared" si="4"/>
        <v>Tribunal de Contas|1º quad. 2025</v>
      </c>
      <c r="B37" s="9" t="s">
        <v>22</v>
      </c>
      <c r="C37" s="9" t="s">
        <v>22</v>
      </c>
      <c r="D37" s="9" t="s">
        <v>63</v>
      </c>
      <c r="E37" s="9" t="s">
        <v>54</v>
      </c>
      <c r="F37" s="9">
        <v>1</v>
      </c>
      <c r="G37" s="9" t="s">
        <v>8</v>
      </c>
      <c r="H37" s="9" t="s">
        <v>55</v>
      </c>
      <c r="I37" s="15">
        <v>842668407.03999996</v>
      </c>
      <c r="J37" s="15">
        <v>106657627122.42999</v>
      </c>
      <c r="K37" s="10">
        <f t="shared" si="5"/>
        <v>7.9006858653691871E-3</v>
      </c>
      <c r="L37" s="16">
        <v>7.9000000000000008E-3</v>
      </c>
      <c r="M37" s="9" t="str">
        <f t="shared" si="6"/>
        <v>Sim</v>
      </c>
      <c r="N37" s="16">
        <v>1.0999999999999999E-2</v>
      </c>
      <c r="O37" s="16">
        <v>1.0500000000000001E-2</v>
      </c>
      <c r="P37" s="16">
        <v>9.8999999999999991E-3</v>
      </c>
      <c r="Q37" s="15">
        <v>1173233898.3499999</v>
      </c>
      <c r="R37" s="15">
        <v>1114572203.4300001</v>
      </c>
      <c r="S37" s="15">
        <v>1055910508.52</v>
      </c>
      <c r="T37" s="9" t="str">
        <f t="shared" si="7"/>
        <v>Abaixo do limite de alerta</v>
      </c>
      <c r="U37" s="9" t="s">
        <v>51</v>
      </c>
    </row>
    <row r="38" spans="1:21" x14ac:dyDescent="0.25">
      <c r="A38" s="9" t="str">
        <f t="shared" si="4"/>
        <v>Tribunal de Contas|2º quad. 2025</v>
      </c>
      <c r="B38" s="9" t="s">
        <v>22</v>
      </c>
      <c r="C38" s="9" t="s">
        <v>22</v>
      </c>
      <c r="D38" s="9" t="s">
        <v>63</v>
      </c>
      <c r="E38" s="9" t="s">
        <v>54</v>
      </c>
      <c r="F38" s="9">
        <v>2</v>
      </c>
      <c r="G38" s="9" t="s">
        <v>9</v>
      </c>
      <c r="H38" s="9" t="s">
        <v>56</v>
      </c>
      <c r="I38" s="15">
        <v>893724091.26999998</v>
      </c>
      <c r="J38" s="15">
        <v>109306802541.96001</v>
      </c>
      <c r="K38" s="10">
        <f t="shared" si="5"/>
        <v>8.1762897686712844E-3</v>
      </c>
      <c r="L38" s="16">
        <v>8.199999999999999E-3</v>
      </c>
      <c r="M38" s="9" t="str">
        <f t="shared" si="6"/>
        <v>Sim</v>
      </c>
      <c r="N38" s="16">
        <v>1.0999999999999999E-2</v>
      </c>
      <c r="O38" s="16">
        <v>1.0500000000000001E-2</v>
      </c>
      <c r="P38" s="16">
        <v>9.8999999999999991E-3</v>
      </c>
      <c r="Q38" s="15">
        <v>1202374827.96</v>
      </c>
      <c r="R38" s="15">
        <v>1142256086.5599999</v>
      </c>
      <c r="S38" s="15">
        <v>1082137345.1600001</v>
      </c>
      <c r="T38" s="9" t="str">
        <f t="shared" si="7"/>
        <v>Abaixo do limite de alerta</v>
      </c>
      <c r="U38" s="9" t="s">
        <v>51</v>
      </c>
    </row>
    <row r="39" spans="1:21" x14ac:dyDescent="0.25">
      <c r="A39" s="9" t="str">
        <f t="shared" si="4"/>
        <v>Tribunal de Contas|3º quad. 2025</v>
      </c>
      <c r="B39" s="9" t="s">
        <v>22</v>
      </c>
      <c r="C39" s="9" t="s">
        <v>22</v>
      </c>
      <c r="D39" s="9" t="s">
        <v>63</v>
      </c>
      <c r="E39" s="9" t="s">
        <v>54</v>
      </c>
      <c r="F39" s="9">
        <v>3</v>
      </c>
      <c r="G39" s="9" t="s">
        <v>10</v>
      </c>
      <c r="H39" s="9" t="s">
        <v>57</v>
      </c>
      <c r="I39" s="15">
        <v>858139238.83000004</v>
      </c>
      <c r="J39" s="15">
        <v>111722744769.94</v>
      </c>
      <c r="K39" s="10">
        <f t="shared" si="5"/>
        <v>7.6809716821501688E-3</v>
      </c>
      <c r="L39" s="16">
        <v>7.7000000000000002E-3</v>
      </c>
      <c r="M39" s="9" t="str">
        <f t="shared" si="6"/>
        <v>Sim</v>
      </c>
      <c r="N39" s="16">
        <v>1.0999999999999999E-2</v>
      </c>
      <c r="O39" s="16">
        <v>1.0500000000000001E-2</v>
      </c>
      <c r="P39" s="16">
        <v>9.8999999999999991E-3</v>
      </c>
      <c r="Q39" s="15">
        <v>1228950192.47</v>
      </c>
      <c r="R39" s="15">
        <v>1167502682.8499999</v>
      </c>
      <c r="S39" s="15">
        <v>1106055173.22</v>
      </c>
      <c r="T39" s="9" t="str">
        <f t="shared" si="7"/>
        <v>Abaixo do limite de alerta</v>
      </c>
      <c r="U39" s="9" t="s">
        <v>51</v>
      </c>
    </row>
    <row r="40" spans="1:21" x14ac:dyDescent="0.25">
      <c r="A40" s="9" t="str">
        <f t="shared" si="4"/>
        <v>Tribunal de Contas|1º quad. 2026</v>
      </c>
      <c r="B40" s="9" t="s">
        <v>22</v>
      </c>
      <c r="C40" s="9" t="s">
        <v>22</v>
      </c>
      <c r="D40" s="9" t="s">
        <v>63</v>
      </c>
      <c r="E40" s="9" t="s">
        <v>58</v>
      </c>
      <c r="F40" s="9">
        <v>1</v>
      </c>
      <c r="G40" s="9" t="s">
        <v>11</v>
      </c>
      <c r="H40" s="9" t="s">
        <v>59</v>
      </c>
      <c r="I40" s="15">
        <v>938731240.38999999</v>
      </c>
      <c r="J40" s="15">
        <v>113022050955.38</v>
      </c>
      <c r="K40" s="10">
        <f t="shared" si="5"/>
        <v>8.3057353185052515E-3</v>
      </c>
      <c r="L40" s="16">
        <v>8.3000000000000001E-3</v>
      </c>
      <c r="M40" s="9" t="str">
        <f t="shared" si="6"/>
        <v>Sim</v>
      </c>
      <c r="N40" s="16">
        <v>1.0999999999999999E-2</v>
      </c>
      <c r="O40" s="16">
        <v>1.0500000000000001E-2</v>
      </c>
      <c r="P40" s="16">
        <v>9.8999999999999991E-3</v>
      </c>
      <c r="Q40" s="15">
        <v>1243242560.51</v>
      </c>
      <c r="R40" s="15">
        <v>1181080432.48</v>
      </c>
      <c r="S40" s="15">
        <v>1118918304.46</v>
      </c>
      <c r="T40" s="9" t="str">
        <f t="shared" si="7"/>
        <v>Abaixo do limite de alerta</v>
      </c>
      <c r="U40" s="9" t="s">
        <v>51</v>
      </c>
    </row>
    <row r="41" spans="1:21" x14ac:dyDescent="0.25">
      <c r="A41" s="9" t="str">
        <f t="shared" si="4"/>
        <v>Tribunal de Contas|2º quad. 2026</v>
      </c>
      <c r="B41" s="9" t="s">
        <v>22</v>
      </c>
      <c r="C41" s="9" t="s">
        <v>22</v>
      </c>
      <c r="D41" s="9" t="s">
        <v>63</v>
      </c>
      <c r="E41" s="9" t="s">
        <v>58</v>
      </c>
      <c r="F41" s="9">
        <v>2</v>
      </c>
      <c r="G41" s="9" t="s">
        <v>12</v>
      </c>
      <c r="H41" s="9" t="s">
        <v>60</v>
      </c>
      <c r="I41" s="15">
        <v>950747493.44000006</v>
      </c>
      <c r="J41" s="15">
        <v>117720254633.13</v>
      </c>
      <c r="K41" s="10">
        <f t="shared" si="5"/>
        <v>8.0763288900704711E-3</v>
      </c>
      <c r="L41" s="16">
        <v>8.1000000000000013E-3</v>
      </c>
      <c r="M41" s="9" t="str">
        <f t="shared" si="6"/>
        <v>Sim</v>
      </c>
      <c r="N41" s="16">
        <v>1.0999999999999999E-2</v>
      </c>
      <c r="O41" s="16">
        <v>1.0500000000000001E-2</v>
      </c>
      <c r="P41" s="16">
        <v>9.8999999999999991E-3</v>
      </c>
      <c r="Q41" s="15">
        <v>1294922800.96</v>
      </c>
      <c r="R41" s="15">
        <v>1230176660.9100001</v>
      </c>
      <c r="S41" s="15">
        <v>1165430520.8599999</v>
      </c>
      <c r="T41" s="9" t="str">
        <f t="shared" si="7"/>
        <v>Abaixo do limite de alerta</v>
      </c>
      <c r="U41" s="9" t="s">
        <v>51</v>
      </c>
    </row>
    <row r="42" spans="1:21" x14ac:dyDescent="0.25">
      <c r="A42" s="9" t="str">
        <f t="shared" si="4"/>
        <v>Defensoria Pública|1º quad. 2024</v>
      </c>
      <c r="B42" s="9" t="s">
        <v>23</v>
      </c>
      <c r="C42" s="9" t="s">
        <v>23</v>
      </c>
      <c r="D42" s="9" t="s">
        <v>64</v>
      </c>
      <c r="E42" s="9" t="s">
        <v>49</v>
      </c>
      <c r="F42" s="9">
        <v>1</v>
      </c>
      <c r="G42" s="9" t="s">
        <v>5</v>
      </c>
      <c r="H42" s="9" t="s">
        <v>50</v>
      </c>
      <c r="I42" s="15">
        <v>474968207.19999999</v>
      </c>
      <c r="J42" s="15">
        <v>95766089914.589996</v>
      </c>
      <c r="K42" s="10">
        <f t="shared" si="5"/>
        <v>4.959670042116217E-3</v>
      </c>
      <c r="L42" s="10"/>
      <c r="M42" s="9" t="str">
        <f t="shared" si="6"/>
        <v>Não declarado</v>
      </c>
      <c r="N42" s="10"/>
      <c r="O42" s="10"/>
      <c r="P42" s="10"/>
      <c r="Q42" s="17"/>
      <c r="R42" s="17"/>
      <c r="S42" s="17"/>
      <c r="T42" s="9" t="str">
        <f t="shared" si="7"/>
        <v>Sem limite próprio na LRF</v>
      </c>
      <c r="U42" s="9" t="s">
        <v>65</v>
      </c>
    </row>
    <row r="43" spans="1:21" x14ac:dyDescent="0.25">
      <c r="A43" s="9" t="str">
        <f t="shared" si="4"/>
        <v>Defensoria Pública|2º quad. 2024</v>
      </c>
      <c r="B43" s="9" t="s">
        <v>23</v>
      </c>
      <c r="C43" s="9" t="s">
        <v>23</v>
      </c>
      <c r="D43" s="9" t="s">
        <v>64</v>
      </c>
      <c r="E43" s="9" t="s">
        <v>49</v>
      </c>
      <c r="F43" s="9">
        <v>2</v>
      </c>
      <c r="G43" s="9" t="s">
        <v>6</v>
      </c>
      <c r="H43" s="9" t="s">
        <v>52</v>
      </c>
      <c r="I43" s="15">
        <v>508596762.88</v>
      </c>
      <c r="J43" s="15">
        <v>99117274750.919998</v>
      </c>
      <c r="K43" s="10">
        <f t="shared" si="5"/>
        <v>5.1312625791830428E-3</v>
      </c>
      <c r="L43" s="10"/>
      <c r="M43" s="9" t="str">
        <f t="shared" si="6"/>
        <v>Não declarado</v>
      </c>
      <c r="N43" s="10"/>
      <c r="O43" s="10"/>
      <c r="P43" s="10"/>
      <c r="Q43" s="17"/>
      <c r="R43" s="17"/>
      <c r="S43" s="17"/>
      <c r="T43" s="9" t="str">
        <f t="shared" si="7"/>
        <v>Sem limite próprio na LRF</v>
      </c>
      <c r="U43" s="9" t="s">
        <v>65</v>
      </c>
    </row>
    <row r="44" spans="1:21" x14ac:dyDescent="0.25">
      <c r="A44" s="9" t="str">
        <f t="shared" si="4"/>
        <v>Defensoria Pública|3º quad. 2024</v>
      </c>
      <c r="B44" s="9" t="s">
        <v>23</v>
      </c>
      <c r="C44" s="9" t="s">
        <v>23</v>
      </c>
      <c r="D44" s="9" t="s">
        <v>64</v>
      </c>
      <c r="E44" s="9" t="s">
        <v>49</v>
      </c>
      <c r="F44" s="9">
        <v>3</v>
      </c>
      <c r="G44" s="9" t="s">
        <v>7</v>
      </c>
      <c r="H44" s="9" t="s">
        <v>53</v>
      </c>
      <c r="I44" s="15">
        <v>600645866.66999996</v>
      </c>
      <c r="J44" s="15">
        <v>103465726489.95</v>
      </c>
      <c r="K44" s="10">
        <f t="shared" si="5"/>
        <v>5.8052640912770554E-3</v>
      </c>
      <c r="L44" s="10"/>
      <c r="M44" s="9" t="str">
        <f t="shared" si="6"/>
        <v>Não declarado</v>
      </c>
      <c r="N44" s="10"/>
      <c r="O44" s="10"/>
      <c r="P44" s="10"/>
      <c r="Q44" s="17"/>
      <c r="R44" s="17"/>
      <c r="S44" s="17"/>
      <c r="T44" s="9" t="str">
        <f t="shared" si="7"/>
        <v>Sem limite próprio na LRF</v>
      </c>
      <c r="U44" s="9" t="s">
        <v>65</v>
      </c>
    </row>
    <row r="45" spans="1:21" x14ac:dyDescent="0.25">
      <c r="A45" s="9" t="str">
        <f t="shared" si="4"/>
        <v>Defensoria Pública|1º quad. 2025</v>
      </c>
      <c r="B45" s="9" t="s">
        <v>23</v>
      </c>
      <c r="C45" s="9" t="s">
        <v>23</v>
      </c>
      <c r="D45" s="9" t="s">
        <v>64</v>
      </c>
      <c r="E45" s="9" t="s">
        <v>54</v>
      </c>
      <c r="F45" s="9">
        <v>1</v>
      </c>
      <c r="G45" s="9" t="s">
        <v>8</v>
      </c>
      <c r="H45" s="9" t="s">
        <v>55</v>
      </c>
      <c r="I45" s="15">
        <v>649851832.66999996</v>
      </c>
      <c r="J45" s="15">
        <v>106657627122.42999</v>
      </c>
      <c r="K45" s="10">
        <f t="shared" si="5"/>
        <v>6.0928772765969095E-3</v>
      </c>
      <c r="L45" s="10"/>
      <c r="M45" s="9" t="str">
        <f t="shared" si="6"/>
        <v>Não declarado</v>
      </c>
      <c r="N45" s="10"/>
      <c r="O45" s="10"/>
      <c r="P45" s="10"/>
      <c r="Q45" s="17"/>
      <c r="R45" s="17"/>
      <c r="S45" s="17"/>
      <c r="T45" s="9" t="str">
        <f t="shared" si="7"/>
        <v>Sem limite próprio na LRF</v>
      </c>
      <c r="U45" s="9" t="s">
        <v>65</v>
      </c>
    </row>
    <row r="46" spans="1:21" x14ac:dyDescent="0.25">
      <c r="A46" s="9" t="str">
        <f t="shared" si="4"/>
        <v>Defensoria Pública|2º quad. 2025</v>
      </c>
      <c r="B46" s="9" t="s">
        <v>23</v>
      </c>
      <c r="C46" s="9" t="s">
        <v>23</v>
      </c>
      <c r="D46" s="9" t="s">
        <v>64</v>
      </c>
      <c r="E46" s="9" t="s">
        <v>54</v>
      </c>
      <c r="F46" s="9">
        <v>2</v>
      </c>
      <c r="G46" s="9" t="s">
        <v>9</v>
      </c>
      <c r="H46" s="9" t="s">
        <v>56</v>
      </c>
      <c r="I46" s="15">
        <v>690669842.50999999</v>
      </c>
      <c r="J46" s="15">
        <v>109306802541.96001</v>
      </c>
      <c r="K46" s="10">
        <f t="shared" si="5"/>
        <v>6.3186354961290723E-3</v>
      </c>
      <c r="L46" s="10"/>
      <c r="M46" s="9" t="str">
        <f t="shared" si="6"/>
        <v>Não declarado</v>
      </c>
      <c r="N46" s="10"/>
      <c r="O46" s="10"/>
      <c r="P46" s="10"/>
      <c r="Q46" s="17"/>
      <c r="R46" s="17"/>
      <c r="S46" s="17"/>
      <c r="T46" s="9" t="str">
        <f t="shared" si="7"/>
        <v>Sem limite próprio na LRF</v>
      </c>
      <c r="U46" s="9" t="s">
        <v>65</v>
      </c>
    </row>
    <row r="47" spans="1:21" x14ac:dyDescent="0.25">
      <c r="A47" s="9" t="str">
        <f t="shared" si="4"/>
        <v>Defensoria Pública|3º quad. 2025</v>
      </c>
      <c r="B47" s="9" t="s">
        <v>23</v>
      </c>
      <c r="C47" s="9" t="s">
        <v>23</v>
      </c>
      <c r="D47" s="9" t="s">
        <v>64</v>
      </c>
      <c r="E47" s="9" t="s">
        <v>54</v>
      </c>
      <c r="F47" s="9">
        <v>3</v>
      </c>
      <c r="G47" s="9" t="s">
        <v>10</v>
      </c>
      <c r="H47" s="9" t="s">
        <v>57</v>
      </c>
      <c r="I47" s="15">
        <v>721192078.53999996</v>
      </c>
      <c r="J47" s="15">
        <v>111722744769.94</v>
      </c>
      <c r="K47" s="10">
        <f t="shared" si="5"/>
        <v>6.4551947772593845E-3</v>
      </c>
      <c r="L47" s="10"/>
      <c r="M47" s="9" t="str">
        <f t="shared" si="6"/>
        <v>Não declarado</v>
      </c>
      <c r="N47" s="10"/>
      <c r="O47" s="10"/>
      <c r="P47" s="10"/>
      <c r="Q47" s="17"/>
      <c r="R47" s="17"/>
      <c r="S47" s="17"/>
      <c r="T47" s="9" t="str">
        <f t="shared" si="7"/>
        <v>Sem limite próprio na LRF</v>
      </c>
      <c r="U47" s="9" t="s">
        <v>65</v>
      </c>
    </row>
    <row r="48" spans="1:21" x14ac:dyDescent="0.25">
      <c r="A48" s="9" t="str">
        <f t="shared" si="4"/>
        <v>Defensoria Pública|1º quad. 2026</v>
      </c>
      <c r="B48" s="9" t="s">
        <v>23</v>
      </c>
      <c r="C48" s="9" t="s">
        <v>23</v>
      </c>
      <c r="D48" s="9" t="s">
        <v>64</v>
      </c>
      <c r="E48" s="9" t="s">
        <v>58</v>
      </c>
      <c r="F48" s="9">
        <v>1</v>
      </c>
      <c r="G48" s="9" t="s">
        <v>11</v>
      </c>
      <c r="H48" s="9" t="s">
        <v>59</v>
      </c>
      <c r="I48" s="15">
        <v>751539198.51999998</v>
      </c>
      <c r="J48" s="15">
        <v>113022050955.38</v>
      </c>
      <c r="K48" s="10">
        <f t="shared" si="5"/>
        <v>6.6494917776416945E-3</v>
      </c>
      <c r="L48" s="10"/>
      <c r="M48" s="9" t="str">
        <f t="shared" si="6"/>
        <v>Não declarado</v>
      </c>
      <c r="N48" s="10"/>
      <c r="O48" s="10"/>
      <c r="P48" s="10"/>
      <c r="Q48" s="17"/>
      <c r="R48" s="17"/>
      <c r="S48" s="17"/>
      <c r="T48" s="9" t="str">
        <f t="shared" si="7"/>
        <v>Sem limite próprio na LRF</v>
      </c>
      <c r="U48" s="9" t="s">
        <v>65</v>
      </c>
    </row>
    <row r="49" spans="1:21" x14ac:dyDescent="0.25">
      <c r="A49" s="9" t="str">
        <f t="shared" si="4"/>
        <v>Defensoria Pública|2º quad. 2026</v>
      </c>
      <c r="B49" s="9" t="s">
        <v>23</v>
      </c>
      <c r="C49" s="9" t="s">
        <v>23</v>
      </c>
      <c r="D49" s="9" t="s">
        <v>64</v>
      </c>
      <c r="E49" s="9" t="s">
        <v>58</v>
      </c>
      <c r="F49" s="9">
        <v>2</v>
      </c>
      <c r="G49" s="9" t="s">
        <v>12</v>
      </c>
      <c r="H49" s="9" t="s">
        <v>60</v>
      </c>
      <c r="I49" s="15">
        <v>760380091.08000004</v>
      </c>
      <c r="J49" s="15">
        <v>117720254633.13</v>
      </c>
      <c r="K49" s="10">
        <f t="shared" si="5"/>
        <v>6.4592120824890431E-3</v>
      </c>
      <c r="L49" s="10"/>
      <c r="M49" s="9" t="str">
        <f t="shared" si="6"/>
        <v>Não declarado</v>
      </c>
      <c r="N49" s="10"/>
      <c r="O49" s="10"/>
      <c r="P49" s="10"/>
      <c r="Q49" s="17"/>
      <c r="R49" s="17"/>
      <c r="S49" s="17"/>
      <c r="T49" s="9" t="str">
        <f t="shared" si="7"/>
        <v>Sem limite próprio na LRF</v>
      </c>
      <c r="U49" s="9" t="s">
        <v>65</v>
      </c>
    </row>
    <row r="50" spans="1:21" x14ac:dyDescent="0.25">
      <c r="A50" s="9" t="str">
        <f t="shared" si="4"/>
        <v>Ministério Público|1º quad. 2024</v>
      </c>
      <c r="B50" s="9" t="s">
        <v>24</v>
      </c>
      <c r="C50" s="9" t="s">
        <v>24</v>
      </c>
      <c r="D50" s="9" t="s">
        <v>66</v>
      </c>
      <c r="E50" s="9" t="s">
        <v>49</v>
      </c>
      <c r="F50" s="9">
        <v>1</v>
      </c>
      <c r="G50" s="9" t="s">
        <v>5</v>
      </c>
      <c r="H50" s="9" t="s">
        <v>50</v>
      </c>
      <c r="I50" s="15">
        <v>1717931486.2</v>
      </c>
      <c r="J50" s="15">
        <v>95766089914.589996</v>
      </c>
      <c r="K50" s="10">
        <f t="shared" si="5"/>
        <v>1.7938828741281547E-2</v>
      </c>
      <c r="L50" s="16">
        <v>1.7899999999999999E-2</v>
      </c>
      <c r="M50" s="9" t="str">
        <f t="shared" si="6"/>
        <v>Sim</v>
      </c>
      <c r="N50" s="16">
        <v>0.02</v>
      </c>
      <c r="O50" s="16">
        <v>1.9E-2</v>
      </c>
      <c r="P50" s="16">
        <v>1.7999999999999999E-2</v>
      </c>
      <c r="Q50" s="15">
        <v>1915321798.29</v>
      </c>
      <c r="R50" s="15">
        <v>1819555708.3800001</v>
      </c>
      <c r="S50" s="15">
        <v>1723789618.46</v>
      </c>
      <c r="T50" s="9" t="str">
        <f t="shared" si="7"/>
        <v>Abaixo do limite de alerta</v>
      </c>
      <c r="U50" s="9" t="s">
        <v>51</v>
      </c>
    </row>
    <row r="51" spans="1:21" x14ac:dyDescent="0.25">
      <c r="A51" s="9" t="str">
        <f t="shared" si="4"/>
        <v>Ministério Público|2º quad. 2024</v>
      </c>
      <c r="B51" s="9" t="s">
        <v>24</v>
      </c>
      <c r="C51" s="9" t="s">
        <v>24</v>
      </c>
      <c r="D51" s="9" t="s">
        <v>66</v>
      </c>
      <c r="E51" s="9" t="s">
        <v>49</v>
      </c>
      <c r="F51" s="9">
        <v>2</v>
      </c>
      <c r="G51" s="9" t="s">
        <v>6</v>
      </c>
      <c r="H51" s="9" t="s">
        <v>52</v>
      </c>
      <c r="I51" s="15">
        <v>1741769368.3099999</v>
      </c>
      <c r="J51" s="15">
        <v>99117274750.919998</v>
      </c>
      <c r="K51" s="10">
        <f t="shared" si="5"/>
        <v>1.7572813343456388E-2</v>
      </c>
      <c r="L51" s="16">
        <v>1.7600000000000001E-2</v>
      </c>
      <c r="M51" s="9" t="str">
        <f t="shared" si="6"/>
        <v>Sim</v>
      </c>
      <c r="N51" s="16">
        <v>0.02</v>
      </c>
      <c r="O51" s="16">
        <v>1.9E-2</v>
      </c>
      <c r="P51" s="16">
        <v>1.7999999999999999E-2</v>
      </c>
      <c r="Q51" s="15">
        <v>1982345495.02</v>
      </c>
      <c r="R51" s="15">
        <v>1883228220.27</v>
      </c>
      <c r="S51" s="15">
        <v>1784110945.52</v>
      </c>
      <c r="T51" s="9" t="str">
        <f t="shared" si="7"/>
        <v>Abaixo do limite de alerta</v>
      </c>
      <c r="U51" s="9" t="s">
        <v>51</v>
      </c>
    </row>
    <row r="52" spans="1:21" x14ac:dyDescent="0.25">
      <c r="A52" s="9" t="str">
        <f t="shared" si="4"/>
        <v>Ministério Público|3º quad. 2024</v>
      </c>
      <c r="B52" s="9" t="s">
        <v>24</v>
      </c>
      <c r="C52" s="9" t="s">
        <v>24</v>
      </c>
      <c r="D52" s="9" t="s">
        <v>66</v>
      </c>
      <c r="E52" s="9" t="s">
        <v>49</v>
      </c>
      <c r="F52" s="9">
        <v>3</v>
      </c>
      <c r="G52" s="9" t="s">
        <v>7</v>
      </c>
      <c r="H52" s="9" t="s">
        <v>53</v>
      </c>
      <c r="I52" s="15">
        <v>1785501633.73</v>
      </c>
      <c r="J52" s="15">
        <v>103465726489.95</v>
      </c>
      <c r="K52" s="10">
        <f t="shared" si="5"/>
        <v>1.7256938063479721E-2</v>
      </c>
      <c r="L52" s="16">
        <v>1.7299999999999999E-2</v>
      </c>
      <c r="M52" s="9" t="str">
        <f t="shared" si="6"/>
        <v>Sim</v>
      </c>
      <c r="N52" s="16">
        <v>0.02</v>
      </c>
      <c r="O52" s="16">
        <v>1.9E-2</v>
      </c>
      <c r="P52" s="16">
        <v>1.7999999999999999E-2</v>
      </c>
      <c r="Q52" s="15">
        <v>2069314529.8</v>
      </c>
      <c r="R52" s="15">
        <v>1965848803.3099999</v>
      </c>
      <c r="S52" s="15">
        <v>1862383076.8199999</v>
      </c>
      <c r="T52" s="9" t="str">
        <f t="shared" si="7"/>
        <v>Abaixo do limite de alerta</v>
      </c>
      <c r="U52" s="9" t="s">
        <v>51</v>
      </c>
    </row>
    <row r="53" spans="1:21" x14ac:dyDescent="0.25">
      <c r="A53" s="9" t="str">
        <f t="shared" si="4"/>
        <v>Ministério Público|1º quad. 2025</v>
      </c>
      <c r="B53" s="9" t="s">
        <v>24</v>
      </c>
      <c r="C53" s="9" t="s">
        <v>24</v>
      </c>
      <c r="D53" s="9" t="s">
        <v>66</v>
      </c>
      <c r="E53" s="9" t="s">
        <v>54</v>
      </c>
      <c r="F53" s="9">
        <v>1</v>
      </c>
      <c r="G53" s="9" t="s">
        <v>8</v>
      </c>
      <c r="H53" s="9" t="s">
        <v>55</v>
      </c>
      <c r="I53" s="15">
        <v>1857720515.3599999</v>
      </c>
      <c r="J53" s="15">
        <v>106657627122.42999</v>
      </c>
      <c r="K53" s="10">
        <f t="shared" si="5"/>
        <v>1.7417605899178335E-2</v>
      </c>
      <c r="L53" s="16">
        <v>1.7399999999999999E-2</v>
      </c>
      <c r="M53" s="9" t="str">
        <f t="shared" si="6"/>
        <v>Sim</v>
      </c>
      <c r="N53" s="16">
        <v>0.02</v>
      </c>
      <c r="O53" s="16">
        <v>1.9E-2</v>
      </c>
      <c r="P53" s="16">
        <v>1.7999999999999999E-2</v>
      </c>
      <c r="Q53" s="15">
        <v>2133152542.45</v>
      </c>
      <c r="R53" s="15">
        <v>2026494915.3299999</v>
      </c>
      <c r="S53" s="15">
        <v>1919837288.21</v>
      </c>
      <c r="T53" s="9" t="str">
        <f t="shared" si="7"/>
        <v>Abaixo do limite de alerta</v>
      </c>
      <c r="U53" s="9" t="s">
        <v>51</v>
      </c>
    </row>
    <row r="54" spans="1:21" x14ac:dyDescent="0.25">
      <c r="A54" s="9" t="str">
        <f t="shared" si="4"/>
        <v>Ministério Público|2º quad. 2025</v>
      </c>
      <c r="B54" s="9" t="s">
        <v>24</v>
      </c>
      <c r="C54" s="9" t="s">
        <v>24</v>
      </c>
      <c r="D54" s="9" t="s">
        <v>66</v>
      </c>
      <c r="E54" s="9" t="s">
        <v>54</v>
      </c>
      <c r="F54" s="9">
        <v>2</v>
      </c>
      <c r="G54" s="9" t="s">
        <v>9</v>
      </c>
      <c r="H54" s="9" t="s">
        <v>56</v>
      </c>
      <c r="I54" s="15">
        <v>1903459171.96</v>
      </c>
      <c r="J54" s="15">
        <v>109306802541.96001</v>
      </c>
      <c r="K54" s="10">
        <f t="shared" si="5"/>
        <v>1.7413913202971171E-2</v>
      </c>
      <c r="L54" s="16">
        <v>1.7399999999999999E-2</v>
      </c>
      <c r="M54" s="9" t="str">
        <f t="shared" si="6"/>
        <v>Sim</v>
      </c>
      <c r="N54" s="16">
        <v>0.02</v>
      </c>
      <c r="O54" s="16">
        <v>1.9E-2</v>
      </c>
      <c r="P54" s="16">
        <v>1.7999999999999999E-2</v>
      </c>
      <c r="Q54" s="15">
        <v>2186136050.8400002</v>
      </c>
      <c r="R54" s="15">
        <v>2076829248.3</v>
      </c>
      <c r="S54" s="15">
        <v>1967522445.76</v>
      </c>
      <c r="T54" s="9" t="str">
        <f t="shared" si="7"/>
        <v>Abaixo do limite de alerta</v>
      </c>
      <c r="U54" s="9" t="s">
        <v>51</v>
      </c>
    </row>
    <row r="55" spans="1:21" x14ac:dyDescent="0.25">
      <c r="A55" s="9" t="str">
        <f t="shared" si="4"/>
        <v>Ministério Público|3º quad. 2025</v>
      </c>
      <c r="B55" s="9" t="s">
        <v>24</v>
      </c>
      <c r="C55" s="9" t="s">
        <v>24</v>
      </c>
      <c r="D55" s="9" t="s">
        <v>66</v>
      </c>
      <c r="E55" s="9" t="s">
        <v>54</v>
      </c>
      <c r="F55" s="9">
        <v>3</v>
      </c>
      <c r="G55" s="9" t="s">
        <v>10</v>
      </c>
      <c r="H55" s="9" t="s">
        <v>57</v>
      </c>
      <c r="I55" s="15">
        <v>1947119242.1700001</v>
      </c>
      <c r="J55" s="15">
        <v>111722744769.94</v>
      </c>
      <c r="K55" s="10">
        <f t="shared" si="5"/>
        <v>1.7428136465672386E-2</v>
      </c>
      <c r="L55" s="16">
        <v>1.7399999999999999E-2</v>
      </c>
      <c r="M55" s="9" t="str">
        <f t="shared" si="6"/>
        <v>Sim</v>
      </c>
      <c r="N55" s="16">
        <v>0.02</v>
      </c>
      <c r="O55" s="16">
        <v>1.9E-2</v>
      </c>
      <c r="P55" s="16">
        <v>1.7999999999999999E-2</v>
      </c>
      <c r="Q55" s="15">
        <v>2234454895.4000001</v>
      </c>
      <c r="R55" s="15">
        <v>2122732150.6300001</v>
      </c>
      <c r="S55" s="15">
        <v>2011009405.8599999</v>
      </c>
      <c r="T55" s="9" t="str">
        <f t="shared" si="7"/>
        <v>Abaixo do limite de alerta</v>
      </c>
      <c r="U55" s="9" t="s">
        <v>51</v>
      </c>
    </row>
    <row r="56" spans="1:21" x14ac:dyDescent="0.25">
      <c r="A56" s="9" t="str">
        <f t="shared" si="4"/>
        <v>Ministério Público|1º quad. 2026</v>
      </c>
      <c r="B56" s="9" t="s">
        <v>24</v>
      </c>
      <c r="C56" s="9" t="s">
        <v>24</v>
      </c>
      <c r="D56" s="9" t="s">
        <v>66</v>
      </c>
      <c r="E56" s="9" t="s">
        <v>58</v>
      </c>
      <c r="F56" s="9">
        <v>1</v>
      </c>
      <c r="G56" s="9" t="s">
        <v>11</v>
      </c>
      <c r="H56" s="9" t="s">
        <v>59</v>
      </c>
      <c r="I56" s="15">
        <v>1961352831.75</v>
      </c>
      <c r="J56" s="15">
        <v>113022050955.38</v>
      </c>
      <c r="K56" s="10">
        <f t="shared" si="5"/>
        <v>1.7353718280376303E-2</v>
      </c>
      <c r="L56" s="16">
        <v>1.7399999999999999E-2</v>
      </c>
      <c r="M56" s="9" t="str">
        <f t="shared" si="6"/>
        <v>Sim</v>
      </c>
      <c r="N56" s="16">
        <v>0.02</v>
      </c>
      <c r="O56" s="16">
        <v>1.9E-2</v>
      </c>
      <c r="P56" s="16">
        <v>1.7999999999999999E-2</v>
      </c>
      <c r="Q56" s="15">
        <v>2260441019.1100001</v>
      </c>
      <c r="R56" s="15">
        <v>2147418968.1500001</v>
      </c>
      <c r="S56" s="15">
        <v>2034396917.2</v>
      </c>
      <c r="T56" s="9" t="str">
        <f t="shared" si="7"/>
        <v>Abaixo do limite de alerta</v>
      </c>
      <c r="U56" s="9" t="s">
        <v>51</v>
      </c>
    </row>
    <row r="57" spans="1:21" x14ac:dyDescent="0.25">
      <c r="A57" s="9" t="str">
        <f t="shared" si="4"/>
        <v>Ministério Público|2º quad. 2026</v>
      </c>
      <c r="B57" s="9" t="s">
        <v>24</v>
      </c>
      <c r="C57" s="9" t="s">
        <v>24</v>
      </c>
      <c r="D57" s="9" t="s">
        <v>66</v>
      </c>
      <c r="E57" s="9" t="s">
        <v>58</v>
      </c>
      <c r="F57" s="9">
        <v>2</v>
      </c>
      <c r="G57" s="9" t="s">
        <v>12</v>
      </c>
      <c r="H57" s="9" t="s">
        <v>60</v>
      </c>
      <c r="I57" s="15">
        <v>2000499453.3099999</v>
      </c>
      <c r="J57" s="15">
        <v>117720254633.13</v>
      </c>
      <c r="K57" s="10">
        <f t="shared" si="5"/>
        <v>1.6993672495395701E-2</v>
      </c>
      <c r="L57" s="16">
        <v>1.7000000000000001E-2</v>
      </c>
      <c r="M57" s="9" t="str">
        <f t="shared" si="6"/>
        <v>Sim</v>
      </c>
      <c r="N57" s="16">
        <v>0.02</v>
      </c>
      <c r="O57" s="16">
        <v>1.9E-2</v>
      </c>
      <c r="P57" s="16">
        <v>1.7999999999999999E-2</v>
      </c>
      <c r="Q57" s="15">
        <v>2354405092.6599998</v>
      </c>
      <c r="R57" s="15">
        <v>2236684838.0300002</v>
      </c>
      <c r="S57" s="15">
        <v>2118964583.3900001</v>
      </c>
      <c r="T57" s="9" t="str">
        <f t="shared" si="7"/>
        <v>Abaixo do limite de alerta</v>
      </c>
      <c r="U57" s="9" t="s">
        <v>51</v>
      </c>
    </row>
  </sheetData>
  <autoFilter ref="A1:U57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67</v>
      </c>
    </row>
    <row r="3" spans="1:2" ht="30" customHeight="1" x14ac:dyDescent="0.25">
      <c r="A3" s="18" t="s">
        <v>68</v>
      </c>
      <c r="B3" s="19" t="s">
        <v>69</v>
      </c>
    </row>
    <row r="4" spans="1:2" ht="15" customHeight="1" x14ac:dyDescent="0.25">
      <c r="A4" s="18" t="s">
        <v>70</v>
      </c>
      <c r="B4" s="19" t="s">
        <v>71</v>
      </c>
    </row>
    <row r="5" spans="1:2" ht="30" customHeight="1" x14ac:dyDescent="0.25">
      <c r="A5" s="18" t="s">
        <v>72</v>
      </c>
      <c r="B5" s="19" t="s">
        <v>73</v>
      </c>
    </row>
    <row r="6" spans="1:2" ht="30" customHeight="1" x14ac:dyDescent="0.25">
      <c r="A6" s="18" t="s">
        <v>74</v>
      </c>
      <c r="B6" s="19" t="s">
        <v>75</v>
      </c>
    </row>
    <row r="7" spans="1:2" ht="30" customHeight="1" x14ac:dyDescent="0.25">
      <c r="A7" s="18" t="s">
        <v>76</v>
      </c>
      <c r="B7" s="19" t="s">
        <v>77</v>
      </c>
    </row>
    <row r="8" spans="1:2" ht="60" customHeight="1" x14ac:dyDescent="0.25">
      <c r="A8" s="18" t="s">
        <v>78</v>
      </c>
      <c r="B8" s="19" t="s">
        <v>79</v>
      </c>
    </row>
    <row r="9" spans="1:2" ht="45" customHeight="1" x14ac:dyDescent="0.25">
      <c r="A9" s="18" t="s">
        <v>80</v>
      </c>
      <c r="B9" s="19" t="s">
        <v>81</v>
      </c>
    </row>
    <row r="10" spans="1:2" ht="15" customHeight="1" x14ac:dyDescent="0.25">
      <c r="A10" s="18" t="s">
        <v>82</v>
      </c>
      <c r="B10" s="19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2026-10-15T09:56:23Z</dcterms:created>
  <dcterms:modified xsi:type="dcterms:W3CDTF">2026-10-15T09:57:05Z</dcterms:modified>
</cp:coreProperties>
</file>