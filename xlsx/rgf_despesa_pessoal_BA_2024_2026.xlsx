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6B95E1BF3A153BD2C5DBE033ADC8551F1704517A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2" l="1"/>
  <c r="A57" i="2"/>
  <c r="K56" i="2"/>
  <c r="A56" i="2"/>
  <c r="K55" i="2"/>
  <c r="A55" i="2"/>
  <c r="K54" i="2"/>
  <c r="A54" i="2"/>
  <c r="K53" i="2"/>
  <c r="A53" i="2"/>
  <c r="K52" i="2"/>
  <c r="A52" i="2"/>
  <c r="K51" i="2"/>
  <c r="A51" i="2"/>
  <c r="K50" i="2"/>
  <c r="A50" i="2"/>
  <c r="M49" i="2"/>
  <c r="K49" i="2"/>
  <c r="T49" i="2" s="1"/>
  <c r="A49" i="2"/>
  <c r="M48" i="2"/>
  <c r="K48" i="2"/>
  <c r="T48" i="2" s="1"/>
  <c r="A48" i="2"/>
  <c r="M47" i="2"/>
  <c r="K47" i="2"/>
  <c r="T47" i="2" s="1"/>
  <c r="A47" i="2"/>
  <c r="M46" i="2"/>
  <c r="K46" i="2"/>
  <c r="T46" i="2" s="1"/>
  <c r="A46" i="2"/>
  <c r="M45" i="2"/>
  <c r="K45" i="2"/>
  <c r="T45" i="2" s="1"/>
  <c r="A45" i="2"/>
  <c r="M44" i="2"/>
  <c r="K44" i="2"/>
  <c r="T44" i="2" s="1"/>
  <c r="A44" i="2"/>
  <c r="M43" i="2"/>
  <c r="K43" i="2"/>
  <c r="T43" i="2" s="1"/>
  <c r="A43" i="2"/>
  <c r="M42" i="2"/>
  <c r="K42" i="2"/>
  <c r="T42" i="2" s="1"/>
  <c r="A42" i="2"/>
  <c r="K41" i="2"/>
  <c r="A41" i="2"/>
  <c r="K40" i="2"/>
  <c r="A40" i="2"/>
  <c r="K39" i="2"/>
  <c r="A39" i="2"/>
  <c r="K38" i="2"/>
  <c r="A38" i="2"/>
  <c r="K37" i="2"/>
  <c r="A37" i="2"/>
  <c r="K36" i="2"/>
  <c r="A36" i="2"/>
  <c r="K35" i="2"/>
  <c r="A35" i="2"/>
  <c r="K34" i="2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J23" i="1"/>
  <c r="I23" i="1"/>
  <c r="H23" i="1"/>
  <c r="G23" i="1"/>
  <c r="F23" i="1"/>
  <c r="E23" i="1"/>
  <c r="D23" i="1"/>
  <c r="C23" i="1"/>
  <c r="J22" i="1"/>
  <c r="I22" i="1"/>
  <c r="H22" i="1"/>
  <c r="G22" i="1"/>
  <c r="F22" i="1"/>
  <c r="E22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1" i="1" l="1"/>
  <c r="M50" i="2"/>
  <c r="T50" i="2"/>
  <c r="M35" i="2"/>
  <c r="T35" i="2"/>
  <c r="M20" i="2"/>
  <c r="T20" i="2"/>
  <c r="T57" i="2"/>
  <c r="L12" i="1" s="1"/>
  <c r="M57" i="2"/>
  <c r="T56" i="2"/>
  <c r="M56" i="2"/>
  <c r="T55" i="2"/>
  <c r="M55" i="2"/>
  <c r="T54" i="2"/>
  <c r="M54" i="2"/>
  <c r="T53" i="2"/>
  <c r="M53" i="2"/>
  <c r="T52" i="2"/>
  <c r="M52" i="2"/>
  <c r="T51" i="2"/>
  <c r="M51" i="2"/>
  <c r="T41" i="2"/>
  <c r="L10" i="1" s="1"/>
  <c r="M41" i="2"/>
  <c r="T40" i="2"/>
  <c r="M40" i="2"/>
  <c r="T39" i="2"/>
  <c r="M39" i="2"/>
  <c r="T38" i="2"/>
  <c r="M38" i="2"/>
  <c r="T37" i="2"/>
  <c r="M37" i="2"/>
  <c r="T36" i="2"/>
  <c r="M36" i="2"/>
  <c r="T34" i="2"/>
  <c r="M34" i="2"/>
  <c r="T33" i="2"/>
  <c r="L9" i="1" s="1"/>
  <c r="M33" i="2"/>
  <c r="M32" i="2"/>
  <c r="T32" i="2"/>
  <c r="T31" i="2"/>
  <c r="M31" i="2"/>
  <c r="T30" i="2"/>
  <c r="M30" i="2"/>
  <c r="T29" i="2"/>
  <c r="M29" i="2"/>
  <c r="T28" i="2"/>
  <c r="M28" i="2"/>
  <c r="M27" i="2"/>
  <c r="T27" i="2"/>
  <c r="T26" i="2"/>
  <c r="M26" i="2"/>
  <c r="T25" i="2"/>
  <c r="L8" i="1" s="1"/>
  <c r="M25" i="2"/>
  <c r="T24" i="2"/>
  <c r="M24" i="2"/>
  <c r="T23" i="2"/>
  <c r="M23" i="2"/>
  <c r="T22" i="2"/>
  <c r="M22" i="2"/>
  <c r="M21" i="2"/>
  <c r="T21" i="2"/>
  <c r="T19" i="2"/>
  <c r="M19" i="2"/>
  <c r="T18" i="2"/>
  <c r="M18" i="2"/>
  <c r="T17" i="2"/>
  <c r="L7" i="1" s="1"/>
  <c r="M17" i="2"/>
  <c r="T16" i="2"/>
  <c r="M16" i="2"/>
  <c r="T15" i="2"/>
  <c r="M15" i="2"/>
  <c r="T14" i="2"/>
  <c r="M14" i="2"/>
  <c r="T13" i="2"/>
  <c r="M13" i="2"/>
  <c r="M12" i="2"/>
  <c r="T12" i="2"/>
  <c r="T11" i="2"/>
  <c r="M11" i="2"/>
  <c r="M10" i="2"/>
  <c r="T10" i="2"/>
  <c r="M9" i="2"/>
  <c r="T9" i="2"/>
  <c r="L6" i="1" s="1"/>
  <c r="T8" i="2"/>
  <c r="M8" i="2"/>
  <c r="M7" i="2"/>
  <c r="T7" i="2"/>
  <c r="T6" i="2"/>
  <c r="M6" i="2"/>
  <c r="T5" i="2"/>
  <c r="M5" i="2"/>
  <c r="T4" i="2"/>
  <c r="M4" i="2"/>
  <c r="T3" i="2"/>
  <c r="M3" i="2"/>
  <c r="M2" i="2"/>
  <c r="T2" i="2"/>
  <c r="D22" i="1"/>
  <c r="C22" i="1"/>
  <c r="J21" i="1"/>
  <c r="I21" i="1"/>
  <c r="H21" i="1"/>
  <c r="G21" i="1"/>
  <c r="F21" i="1"/>
  <c r="E21" i="1"/>
  <c r="D21" i="1"/>
  <c r="C21" i="1"/>
  <c r="J20" i="1"/>
  <c r="I20" i="1"/>
  <c r="F18" i="1"/>
  <c r="E18" i="1"/>
  <c r="D18" i="1"/>
  <c r="C18" i="1"/>
  <c r="J17" i="1"/>
  <c r="I17" i="1"/>
  <c r="H17" i="1"/>
  <c r="G17" i="1"/>
  <c r="F17" i="1"/>
  <c r="E17" i="1"/>
  <c r="D17" i="1"/>
  <c r="C17" i="1"/>
  <c r="J13" i="1"/>
  <c r="I13" i="1"/>
  <c r="H13" i="1"/>
  <c r="G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<sst xmlns="http://schemas.openxmlformats.org/spreadsheetml/2006/main" count="487" uniqueCount="85">
  <si>
    <t>Despesa total com pessoal - Bahia (BA)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</si>
  <si>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</si>
  <si>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</si>
  <si>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</si>
  <si>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</si>
  <si>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</si>
  <si>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</si>
  <si>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</si>
  <si>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</si>
  <si>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</si>
  <si>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</si>
  <si>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</si>
  <si>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</si>
  <si>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</si>
  <si>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</si>
  <si>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</si>
  <si>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</si>
  <si>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</si>
  <si>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</si>
  <si>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</si>
  <si>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</si>
  <si>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</si>
  <si>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Tribunal de Contas dos Municípios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</si>
  <si>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</si>
  <si>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</si>
  <si>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</si>
  <si>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</si>
  <si>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</si>
  <si>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</si>
  <si>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</si>
  <si>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</si>
  <si>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</si>
  <si>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</si>
  <si>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</si>
  <si>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</si>
  <si>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</si>
  <si>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</si>
  <si>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</si>
  <si>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</si>
  <si>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</si>
  <si>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</si>
  <si>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</si>
  <si>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</si>
  <si>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</si>
  <si>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</si>
  <si>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</si>
  <si>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</si>
  <si>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</si>
  <si>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da Bahia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</si>
  <si>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</si>
  <si>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</si>
  <si>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</si>
  <si>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</si>
  <si>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</si>
  <si>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</si>
  <si>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</si>
  <si>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</si>
  <si>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</si>
  <si>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</si>
  <si>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</si>
  <si>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</si>
  <si>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da Bahia</t>
  </si>
  <si>
    <t>Tribunal de Justiça do Estado da Bahia</t>
  </si>
  <si>
    <t>Tribunal de Contas do Estado da Bahia</t>
  </si>
  <si>
    <t>Tribunal de Contas dos Municípios do Estado da Bahia</t>
  </si>
  <si>
    <t>Defensoria Pública do Estado da Bahia</t>
  </si>
  <si>
    <t>Calculado (despesa líquida / RCL Ajustada do Executivo)</t>
  </si>
  <si>
    <t>Ministério Público do Estado da Bahia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</si>
  <si>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</si>
  <si>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</si>
  <si>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</si>
  <si>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</si>
  <si>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Bahia (BA).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</si>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</sst>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IFERROR(IF(INDEX(Dados!$K$2:$K$57,MATCH($A6&amp;"|"&amp;C$5,Dados!$A$2:$A$57,0))="","",INDEX(Dados!$K$2:$K$57,MATCH($A6&amp;"|"&amp;C$5,Dados!$A$2:$A$57,0))),"")</f>
        <v>0.38460617302814043</v>
      </c>
      <c r="D6" s="7">
        <f>IFERROR(IF(INDEX(Dados!$K$2:$K$57,MATCH($A6&amp;"|"&amp;D$5,Dados!$A$2:$A$57,0))="","",INDEX(Dados!$K$2:$K$57,MATCH($A6&amp;"|"&amp;D$5,Dados!$A$2:$A$57,0))),"")</f>
        <v>0.42361489765796684</v>
      </c>
      <c r="E6" s="7">
        <f>IFERROR(IF(INDEX(Dados!$K$2:$K$57,MATCH($A6&amp;"|"&amp;E$5,Dados!$A$2:$A$57,0))="","",INDEX(Dados!$K$2:$K$57,MATCH($A6&amp;"|"&amp;E$5,Dados!$A$2:$A$57,0))),"")</f>
        <v>0.41645141984322992</v>
      </c>
      <c r="F6" s="7">
        <f>IFERROR(IF(INDEX(Dados!$K$2:$K$57,MATCH($A6&amp;"|"&amp;F$5,Dados!$A$2:$A$57,0))="","",INDEX(Dados!$K$2:$K$57,MATCH($A6&amp;"|"&amp;F$5,Dados!$A$2:$A$57,0))),"")</f>
        <v>0.43143992387913682</v>
      </c>
      <c r="G6" s="7">
        <f>IFERROR(IF(INDEX(Dados!$K$2:$K$57,MATCH($A6&amp;"|"&amp;G$5,Dados!$A$2:$A$57,0))="","",INDEX(Dados!$K$2:$K$57,MATCH($A6&amp;"|"&amp;G$5,Dados!$A$2:$A$57,0))),"")</f>
        <v>0.41397449075909715</v>
      </c>
      <c r="H6" s="7">
        <f>IFERROR(IF(INDEX(Dados!$K$2:$K$57,MATCH($A6&amp;"|"&amp;H$5,Dados!$A$2:$A$57,0))="","",INDEX(Dados!$K$2:$K$57,MATCH($A6&amp;"|"&amp;H$5,Dados!$A$2:$A$57,0))),"")</f>
        <v>0.40360849418423372</v>
      </c>
      <c r="I6" s="7">
        <f>IFERROR(IF(INDEX(Dados!$K$2:$K$57,MATCH($A6&amp;"|"&amp;I$5,Dados!$A$2:$A$57,0))="","",INDEX(Dados!$K$2:$K$57,MATCH($A6&amp;"|"&amp;I$5,Dados!$A$2:$A$57,0))),"")</f>
        <v>0.41005708537962166</v>
      </c>
      <c r="J6" s="7">
        <f>IFERROR(IF(INDEX(Dados!$K$2:$K$57,MATCH($A6&amp;"|"&amp;J$5,Dados!$A$2:$A$57,0))="","",INDEX(Dados!$K$2:$K$57,MATCH($A6&amp;"|"&amp;J$5,Dados!$A$2:$A$57,0))),"")</f>
        <v>0.42131284405572478</v>
      </c>
      <c r="K6" s="7">
        <f>IFERROR(IF(INDEX(Dados!$N$2:$N$57,MATCH($A6&amp;"|"&amp;J$5,Dados!$A$2:$A$57,0))=0,"—",INDEX(Dados!$N$2:$N$57,MATCH($A6&amp;"|"&amp;J$5,Dados!$A$2:$A$57,0))),"—")</f>
        <v>0.48599999999999999</v>
      </c>
      <c r="L6" s="6" t="str">
        <f>IFERROR(IF(INDEX(Dados!$T$2:$T$57,MATCH($A6&amp;"|"&amp;J$5,Dados!$A$2:$A$57,0))="","—",INDEX(Dados!$T$2:$T$57,MATCH($A6&amp;"|"&amp;J$5,Dados!$A$2:$A$57,0))),"—")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IFERROR(IF(INDEX(Dados!$K$2:$K$57,MATCH($A7&amp;"|"&amp;C$5,Dados!$A$2:$A$57,0))="","",INDEX(Dados!$K$2:$K$57,MATCH($A7&amp;"|"&amp;C$5,Dados!$A$2:$A$57,0))),"")</f>
        <v>1.3386629095018565E-2</v>
      </c>
      <c r="D7" s="10">
        <f>IFERROR(IF(INDEX(Dados!$K$2:$K$57,MATCH($A7&amp;"|"&amp;D$5,Dados!$A$2:$A$57,0))="","",INDEX(Dados!$K$2:$K$57,MATCH($A7&amp;"|"&amp;D$5,Dados!$A$2:$A$57,0))),"")</f>
        <v>1.3873957471999954E-2</v>
      </c>
      <c r="E7" s="10">
        <f>IFERROR(IF(INDEX(Dados!$K$2:$K$57,MATCH($A7&amp;"|"&amp;E$5,Dados!$A$2:$A$57,0))="","",INDEX(Dados!$K$2:$K$57,MATCH($A7&amp;"|"&amp;E$5,Dados!$A$2:$A$57,0))),"")</f>
        <v>1.3713433347902371E-2</v>
      </c>
      <c r="F7" s="10">
        <f>IFERROR(IF(INDEX(Dados!$K$2:$K$57,MATCH($A7&amp;"|"&amp;F$5,Dados!$A$2:$A$57,0))="","",INDEX(Dados!$K$2:$K$57,MATCH($A7&amp;"|"&amp;F$5,Dados!$A$2:$A$57,0))),"")</f>
        <v>1.4352721119724979E-2</v>
      </c>
      <c r="G7" s="10">
        <f>IFERROR(IF(INDEX(Dados!$K$2:$K$57,MATCH($A7&amp;"|"&amp;G$5,Dados!$A$2:$A$57,0))="","",INDEX(Dados!$K$2:$K$57,MATCH($A7&amp;"|"&amp;G$5,Dados!$A$2:$A$57,0))),"")</f>
        <v>1.4616473835769604E-2</v>
      </c>
      <c r="H7" s="10">
        <f>IFERROR(IF(INDEX(Dados!$K$2:$K$57,MATCH($A7&amp;"|"&amp;H$5,Dados!$A$2:$A$57,0))="","",INDEX(Dados!$K$2:$K$57,MATCH($A7&amp;"|"&amp;H$5,Dados!$A$2:$A$57,0))),"")</f>
        <v>1.436318624254385E-2</v>
      </c>
      <c r="I7" s="10">
        <f>IFERROR(IF(INDEX(Dados!$K$2:$K$57,MATCH($A7&amp;"|"&amp;I$5,Dados!$A$2:$A$57,0))="","",INDEX(Dados!$K$2:$K$57,MATCH($A7&amp;"|"&amp;I$5,Dados!$A$2:$A$57,0))),"")</f>
        <v>1.4396577420996311E-2</v>
      </c>
      <c r="J7" s="10">
        <f>IFERROR(IF(INDEX(Dados!$K$2:$K$57,MATCH($A7&amp;"|"&amp;J$5,Dados!$A$2:$A$57,0))="","",INDEX(Dados!$K$2:$K$57,MATCH($A7&amp;"|"&amp;J$5,Dados!$A$2:$A$57,0))),"")</f>
        <v>1.4854753806889099E-2</v>
      </c>
      <c r="K7" s="10">
        <f>IFERROR(IF(INDEX(Dados!$N$2:$N$57,MATCH($A7&amp;"|"&amp;J$5,Dados!$A$2:$A$57,0))=0,"—",INDEX(Dados!$N$2:$N$57,MATCH($A7&amp;"|"&amp;J$5,Dados!$A$2:$A$57,0))),"—")</f>
        <v>1.9300000000000001E-2</v>
      </c>
      <c r="L7" s="9" t="str">
        <f>IFERROR(IF(INDEX(Dados!$T$2:$T$57,MATCH($A7&amp;"|"&amp;J$5,Dados!$A$2:$A$57,0))="","—",INDEX(Dados!$T$2:$T$57,MATCH($A7&amp;"|"&amp;J$5,Dados!$A$2:$A$57,0))),"—")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IFERROR(IF(INDEX(Dados!$K$2:$K$57,MATCH($A8&amp;"|"&amp;C$5,Dados!$A$2:$A$57,0))="","",INDEX(Dados!$K$2:$K$57,MATCH($A8&amp;"|"&amp;C$5,Dados!$A$2:$A$57,0))),"")</f>
        <v>4.580053735947838E-2</v>
      </c>
      <c r="D8" s="10">
        <f>IFERROR(IF(INDEX(Dados!$K$2:$K$57,MATCH($A8&amp;"|"&amp;D$5,Dados!$A$2:$A$57,0))="","",INDEX(Dados!$K$2:$K$57,MATCH($A8&amp;"|"&amp;D$5,Dados!$A$2:$A$57,0))),"")</f>
        <v>4.6677742636525195E-2</v>
      </c>
      <c r="E8" s="10">
        <f>IFERROR(IF(INDEX(Dados!$K$2:$K$57,MATCH($A8&amp;"|"&amp;E$5,Dados!$A$2:$A$57,0))="","",INDEX(Dados!$K$2:$K$57,MATCH($A8&amp;"|"&amp;E$5,Dados!$A$2:$A$57,0))),"")</f>
        <v>4.7570207463596262E-2</v>
      </c>
      <c r="F8" s="10">
        <f>IFERROR(IF(INDEX(Dados!$K$2:$K$57,MATCH($A8&amp;"|"&amp;F$5,Dados!$A$2:$A$57,0))="","",INDEX(Dados!$K$2:$K$57,MATCH($A8&amp;"|"&amp;F$5,Dados!$A$2:$A$57,0))),"")</f>
        <v>5.0570677788065066E-2</v>
      </c>
      <c r="G8" s="10">
        <f>IFERROR(IF(INDEX(Dados!$K$2:$K$57,MATCH($A8&amp;"|"&amp;G$5,Dados!$A$2:$A$57,0))="","",INDEX(Dados!$K$2:$K$57,MATCH($A8&amp;"|"&amp;G$5,Dados!$A$2:$A$57,0))),"")</f>
        <v>5.0894981350805682E-2</v>
      </c>
      <c r="H8" s="10">
        <f>IFERROR(IF(INDEX(Dados!$K$2:$K$57,MATCH($A8&amp;"|"&amp;H$5,Dados!$A$2:$A$57,0))="","",INDEX(Dados!$K$2:$K$57,MATCH($A8&amp;"|"&amp;H$5,Dados!$A$2:$A$57,0))),"")</f>
        <v>4.9555622671384046E-2</v>
      </c>
      <c r="I8" s="10">
        <f>IFERROR(IF(INDEX(Dados!$K$2:$K$57,MATCH($A8&amp;"|"&amp;I$5,Dados!$A$2:$A$57,0))="","",INDEX(Dados!$K$2:$K$57,MATCH($A8&amp;"|"&amp;I$5,Dados!$A$2:$A$57,0))),"")</f>
        <v>4.9280794969677272E-2</v>
      </c>
      <c r="J8" s="10">
        <f>IFERROR(IF(INDEX(Dados!$K$2:$K$57,MATCH($A8&amp;"|"&amp;J$5,Dados!$A$2:$A$57,0))="","",INDEX(Dados!$K$2:$K$57,MATCH($A8&amp;"|"&amp;J$5,Dados!$A$2:$A$57,0))),"")</f>
        <v>4.9969709209393011E-2</v>
      </c>
      <c r="K8" s="10">
        <f>IFERROR(IF(INDEX(Dados!$N$2:$N$57,MATCH($A8&amp;"|"&amp;J$5,Dados!$A$2:$A$57,0))=0,"—",INDEX(Dados!$N$2:$N$57,MATCH($A8&amp;"|"&amp;J$5,Dados!$A$2:$A$57,0))),"—")</f>
        <v>0.06</v>
      </c>
      <c r="L8" s="9" t="str">
        <f>IFERROR(IF(INDEX(Dados!$T$2:$T$57,MATCH($A8&amp;"|"&amp;J$5,Dados!$A$2:$A$57,0))="","—",INDEX(Dados!$T$2:$T$57,MATCH($A8&amp;"|"&amp;J$5,Dados!$A$2:$A$57,0))),"—")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IFERROR(IF(INDEX(Dados!$K$2:$K$57,MATCH($A9&amp;"|"&amp;C$5,Dados!$A$2:$A$57,0))="","",INDEX(Dados!$K$2:$K$57,MATCH($A9&amp;"|"&amp;C$5,Dados!$A$2:$A$57,0))),"")</f>
        <v>4.6512334874063256E-3</v>
      </c>
      <c r="D9" s="10">
        <f>IFERROR(IF(INDEX(Dados!$K$2:$K$57,MATCH($A9&amp;"|"&amp;D$5,Dados!$A$2:$A$57,0))="","",INDEX(Dados!$K$2:$K$57,MATCH($A9&amp;"|"&amp;D$5,Dados!$A$2:$A$57,0))),"")</f>
        <v>4.7599758363269231E-3</v>
      </c>
      <c r="E9" s="10">
        <f>IFERROR(IF(INDEX(Dados!$K$2:$K$57,MATCH($A9&amp;"|"&amp;E$5,Dados!$A$2:$A$57,0))="","",INDEX(Dados!$K$2:$K$57,MATCH($A9&amp;"|"&amp;E$5,Dados!$A$2:$A$57,0))),"")</f>
        <v>4.8300091266820942E-3</v>
      </c>
      <c r="F9" s="10">
        <f>IFERROR(IF(INDEX(Dados!$K$2:$K$57,MATCH($A9&amp;"|"&amp;F$5,Dados!$A$2:$A$57,0))="","",INDEX(Dados!$K$2:$K$57,MATCH($A9&amp;"|"&amp;F$5,Dados!$A$2:$A$57,0))),"")</f>
        <v>5.0757312032864233E-3</v>
      </c>
      <c r="G9" s="10">
        <f>IFERROR(IF(INDEX(Dados!$K$2:$K$57,MATCH($A9&amp;"|"&amp;G$5,Dados!$A$2:$A$57,0))="","",INDEX(Dados!$K$2:$K$57,MATCH($A9&amp;"|"&amp;G$5,Dados!$A$2:$A$57,0))),"")</f>
        <v>5.0679834922752135E-3</v>
      </c>
      <c r="H9" s="10">
        <f>IFERROR(IF(INDEX(Dados!$K$2:$K$57,MATCH($A9&amp;"|"&amp;H$5,Dados!$A$2:$A$57,0))="","",INDEX(Dados!$K$2:$K$57,MATCH($A9&amp;"|"&amp;H$5,Dados!$A$2:$A$57,0))),"")</f>
        <v>4.7034469416963607E-3</v>
      </c>
      <c r="I9" s="10">
        <f>IFERROR(IF(INDEX(Dados!$K$2:$K$57,MATCH($A9&amp;"|"&amp;I$5,Dados!$A$2:$A$57,0))="","",INDEX(Dados!$K$2:$K$57,MATCH($A9&amp;"|"&amp;I$5,Dados!$A$2:$A$57,0))),"")</f>
        <v>4.8078002313683352E-3</v>
      </c>
      <c r="J9" s="10">
        <f>IFERROR(IF(INDEX(Dados!$K$2:$K$57,MATCH($A9&amp;"|"&amp;J$5,Dados!$A$2:$A$57,0))="","",INDEX(Dados!$K$2:$K$57,MATCH($A9&amp;"|"&amp;J$5,Dados!$A$2:$A$57,0))),"")</f>
        <v>4.8745214790261232E-3</v>
      </c>
      <c r="K9" s="10">
        <f>IFERROR(IF(INDEX(Dados!$N$2:$N$57,MATCH($A9&amp;"|"&amp;J$5,Dados!$A$2:$A$57,0))=0,"—",INDEX(Dados!$N$2:$N$57,MATCH($A9&amp;"|"&amp;J$5,Dados!$A$2:$A$57,0))),"—")</f>
        <v>9.0000000000000011E-3</v>
      </c>
      <c r="L9" s="9" t="str">
        <f>IFERROR(IF(INDEX(Dados!$T$2:$T$57,MATCH($A9&amp;"|"&amp;J$5,Dados!$A$2:$A$57,0))="","—",INDEX(Dados!$T$2:$T$57,MATCH($A9&amp;"|"&amp;J$5,Dados!$A$2:$A$57,0))),"—")</f>
        <v>Abaixo do limite de alerta</v>
      </c>
    </row>
    <row r="10" spans="1:12" x14ac:dyDescent="0.25">
      <c r="A10" s="8" t="s">
        <v>22</v>
      </c>
      <c r="B10" s="9" t="s">
        <v>21</v>
      </c>
      <c r="C10" s="10">
        <f>IFERROR(IF(INDEX(Dados!$K$2:$K$57,MATCH($A10&amp;"|"&amp;C$5,Dados!$A$2:$A$57,0))="","",INDEX(Dados!$K$2:$K$57,MATCH($A10&amp;"|"&amp;C$5,Dados!$A$2:$A$57,0))),"")</f>
        <v>3.1778832534388227E-3</v>
      </c>
      <c r="D10" s="10">
        <f>IFERROR(IF(INDEX(Dados!$K$2:$K$57,MATCH($A10&amp;"|"&amp;D$5,Dados!$A$2:$A$57,0))="","",INDEX(Dados!$K$2:$K$57,MATCH($A10&amp;"|"&amp;D$5,Dados!$A$2:$A$57,0))),"")</f>
        <v>3.2525473722762746E-3</v>
      </c>
      <c r="E10" s="10">
        <f>IFERROR(IF(INDEX(Dados!$K$2:$K$57,MATCH($A10&amp;"|"&amp;E$5,Dados!$A$2:$A$57,0))="","",INDEX(Dados!$K$2:$K$57,MATCH($A10&amp;"|"&amp;E$5,Dados!$A$2:$A$57,0))),"")</f>
        <v>3.2444416244419867E-3</v>
      </c>
      <c r="F10" s="10">
        <f>IFERROR(IF(INDEX(Dados!$K$2:$K$57,MATCH($A10&amp;"|"&amp;F$5,Dados!$A$2:$A$57,0))="","",INDEX(Dados!$K$2:$K$57,MATCH($A10&amp;"|"&amp;F$5,Dados!$A$2:$A$57,0))),"")</f>
        <v>3.4003838502993048E-3</v>
      </c>
      <c r="G10" s="10">
        <f>IFERROR(IF(INDEX(Dados!$K$2:$K$57,MATCH($A10&amp;"|"&amp;G$5,Dados!$A$2:$A$57,0))="","",INDEX(Dados!$K$2:$K$57,MATCH($A10&amp;"|"&amp;G$5,Dados!$A$2:$A$57,0))),"")</f>
        <v>3.3967898905344022E-3</v>
      </c>
      <c r="H10" s="10">
        <f>IFERROR(IF(INDEX(Dados!$K$2:$K$57,MATCH($A10&amp;"|"&amp;H$5,Dados!$A$2:$A$57,0))="","",INDEX(Dados!$K$2:$K$57,MATCH($A10&amp;"|"&amp;H$5,Dados!$A$2:$A$57,0))),"")</f>
        <v>3.2416752724150656E-3</v>
      </c>
      <c r="I10" s="10">
        <f>IFERROR(IF(INDEX(Dados!$K$2:$K$57,MATCH($A10&amp;"|"&amp;I$5,Dados!$A$2:$A$57,0))="","",INDEX(Dados!$K$2:$K$57,MATCH($A10&amp;"|"&amp;I$5,Dados!$A$2:$A$57,0))),"")</f>
        <v>3.1654545956945326E-3</v>
      </c>
      <c r="J10" s="10">
        <f>IFERROR(IF(INDEX(Dados!$K$2:$K$57,MATCH($A10&amp;"|"&amp;J$5,Dados!$A$2:$A$57,0))="","",INDEX(Dados!$K$2:$K$57,MATCH($A10&amp;"|"&amp;J$5,Dados!$A$2:$A$57,0))),"")</f>
        <v>3.1774844119185379E-3</v>
      </c>
      <c r="K10" s="10">
        <f>IFERROR(IF(INDEX(Dados!$N$2:$N$57,MATCH($A10&amp;"|"&amp;J$5,Dados!$A$2:$A$57,0))=0,"—",INDEX(Dados!$N$2:$N$57,MATCH($A10&amp;"|"&amp;J$5,Dados!$A$2:$A$57,0))),"—")</f>
        <v>5.6999999999999993E-3</v>
      </c>
      <c r="L10" s="9" t="str">
        <f>IFERROR(IF(INDEX(Dados!$T$2:$T$57,MATCH($A10&amp;"|"&amp;J$5,Dados!$A$2:$A$57,0))="","—",INDEX(Dados!$T$2:$T$57,MATCH($A10&amp;"|"&amp;J$5,Dados!$A$2:$A$57,0))),"—")</f>
        <v>Abaixo do limite de alerta</v>
      </c>
    </row>
    <row r="11" spans="1:12" x14ac:dyDescent="0.25">
      <c r="A11" s="8" t="s">
        <v>23</v>
      </c>
      <c r="B11" s="9" t="s">
        <v>23</v>
      </c>
      <c r="C11" s="10">
        <f>IFERROR(IF(INDEX(Dados!$K$2:$K$57,MATCH($A11&amp;"|"&amp;C$5,Dados!$A$2:$A$57,0))="","",INDEX(Dados!$K$2:$K$57,MATCH($A11&amp;"|"&amp;C$5,Dados!$A$2:$A$57,0))),"")</f>
        <v>4.1240050337633958E-3</v>
      </c>
      <c r="D11" s="10">
        <f>IFERROR(IF(INDEX(Dados!$K$2:$K$57,MATCH($A11&amp;"|"&amp;D$5,Dados!$A$2:$A$57,0))="","",INDEX(Dados!$K$2:$K$57,MATCH($A11&amp;"|"&amp;D$5,Dados!$A$2:$A$57,0))),"")</f>
        <v>4.1418802499256753E-3</v>
      </c>
      <c r="E11" s="10">
        <f>IFERROR(IF(INDEX(Dados!$K$2:$K$57,MATCH($A11&amp;"|"&amp;E$5,Dados!$A$2:$A$57,0))="","",INDEX(Dados!$K$2:$K$57,MATCH($A11&amp;"|"&amp;E$5,Dados!$A$2:$A$57,0))),"")</f>
        <v>4.2144794033164698E-3</v>
      </c>
      <c r="F11" s="10">
        <f>IFERROR(IF(INDEX(Dados!$K$2:$K$57,MATCH($A11&amp;"|"&amp;F$5,Dados!$A$2:$A$57,0))="","",INDEX(Dados!$K$2:$K$57,MATCH($A11&amp;"|"&amp;F$5,Dados!$A$2:$A$57,0))),"")</f>
        <v>4.6037035374318731E-3</v>
      </c>
      <c r="G11" s="10">
        <f>IFERROR(IF(INDEX(Dados!$K$2:$K$57,MATCH($A11&amp;"|"&amp;G$5,Dados!$A$2:$A$57,0))="","",INDEX(Dados!$K$2:$K$57,MATCH($A11&amp;"|"&amp;G$5,Dados!$A$2:$A$57,0))),"")</f>
        <v>4.9009971809304675E-3</v>
      </c>
      <c r="H11" s="10">
        <f>IFERROR(IF(INDEX(Dados!$K$2:$K$57,MATCH($A11&amp;"|"&amp;H$5,Dados!$A$2:$A$57,0))="","",INDEX(Dados!$K$2:$K$57,MATCH($A11&amp;"|"&amp;H$5,Dados!$A$2:$A$57,0))),"")</f>
        <v>5.0652926462367012E-3</v>
      </c>
      <c r="I11" s="10">
        <f>IFERROR(IF(INDEX(Dados!$K$2:$K$57,MATCH($A11&amp;"|"&amp;I$5,Dados!$A$2:$A$57,0))="","",INDEX(Dados!$K$2:$K$57,MATCH($A11&amp;"|"&amp;I$5,Dados!$A$2:$A$57,0))),"")</f>
        <v>5.156028072640817E-3</v>
      </c>
      <c r="J11" s="10">
        <f>IFERROR(IF(INDEX(Dados!$K$2:$K$57,MATCH($A11&amp;"|"&amp;J$5,Dados!$A$2:$A$57,0))="","",INDEX(Dados!$K$2:$K$57,MATCH($A11&amp;"|"&amp;J$5,Dados!$A$2:$A$57,0))),"")</f>
        <v>5.4658684916238896E-3</v>
      </c>
      <c r="K11" s="10" t="str">
        <f>IFERROR(IF(INDEX(Dados!$N$2:$N$57,MATCH($A11&amp;"|"&amp;J$5,Dados!$A$2:$A$57,0))=0,"—",INDEX(Dados!$N$2:$N$57,MATCH($A11&amp;"|"&amp;J$5,Dados!$A$2:$A$57,0))),"—")</f>
        <v>—</v>
      </c>
      <c r="L11" s="9" t="str">
        <f>IFERROR(IF(INDEX(Dados!$T$2:$T$57,MATCH($A11&amp;"|"&amp;J$5,Dados!$A$2:$A$57,0))="","—",INDEX(Dados!$T$2:$T$57,MATCH($A11&amp;"|"&amp;J$5,Dados!$A$2:$A$57,0))),"—")</f>
        <v>Sem limite próprio na LRF</v>
      </c>
    </row>
    <row r="12" spans="1:12" x14ac:dyDescent="0.25">
      <c r="A12" s="8" t="s">
        <v>24</v>
      </c>
      <c r="B12" s="9" t="s">
        <v>24</v>
      </c>
      <c r="C12" s="10">
        <f>IFERROR(IF(INDEX(Dados!$K$2:$K$57,MATCH($A12&amp;"|"&amp;C$5,Dados!$A$2:$A$57,0))="","",INDEX(Dados!$K$2:$K$57,MATCH($A12&amp;"|"&amp;C$5,Dados!$A$2:$A$57,0))),"")</f>
        <v>1.28422395866927E-2</v>
      </c>
      <c r="D12" s="10">
        <f>IFERROR(IF(INDEX(Dados!$K$2:$K$57,MATCH($A12&amp;"|"&amp;D$5,Dados!$A$2:$A$57,0))="","",INDEX(Dados!$K$2:$K$57,MATCH($A12&amp;"|"&amp;D$5,Dados!$A$2:$A$57,0))),"")</f>
        <v>1.3225785071523791E-2</v>
      </c>
      <c r="E12" s="10">
        <f>IFERROR(IF(INDEX(Dados!$K$2:$K$57,MATCH($A12&amp;"|"&amp;E$5,Dados!$A$2:$A$57,0))="","",INDEX(Dados!$K$2:$K$57,MATCH($A12&amp;"|"&amp;E$5,Dados!$A$2:$A$57,0))),"")</f>
        <v>1.3512611890348124E-2</v>
      </c>
      <c r="F12" s="10">
        <f>IFERROR(IF(INDEX(Dados!$K$2:$K$57,MATCH($A12&amp;"|"&amp;F$5,Dados!$A$2:$A$57,0))="","",INDEX(Dados!$K$2:$K$57,MATCH($A12&amp;"|"&amp;F$5,Dados!$A$2:$A$57,0))),"")</f>
        <v>1.438285649331543E-2</v>
      </c>
      <c r="G12" s="10">
        <f>IFERROR(IF(INDEX(Dados!$K$2:$K$57,MATCH($A12&amp;"|"&amp;G$5,Dados!$A$2:$A$57,0))="","",INDEX(Dados!$K$2:$K$57,MATCH($A12&amp;"|"&amp;G$5,Dados!$A$2:$A$57,0))),"")</f>
        <v>1.4378924056765162E-2</v>
      </c>
      <c r="H12" s="10">
        <f>IFERROR(IF(INDEX(Dados!$K$2:$K$57,MATCH($A12&amp;"|"&amp;H$5,Dados!$A$2:$A$57,0))="","",INDEX(Dados!$K$2:$K$57,MATCH($A12&amp;"|"&amp;H$5,Dados!$A$2:$A$57,0))),"")</f>
        <v>1.5513839348540545E-2</v>
      </c>
      <c r="I12" s="10">
        <f>IFERROR(IF(INDEX(Dados!$K$2:$K$57,MATCH($A12&amp;"|"&amp;I$5,Dados!$A$2:$A$57,0))="","",INDEX(Dados!$K$2:$K$57,MATCH($A12&amp;"|"&amp;I$5,Dados!$A$2:$A$57,0))),"")</f>
        <v>1.621762080153541E-2</v>
      </c>
      <c r="J12" s="10">
        <f>IFERROR(IF(INDEX(Dados!$K$2:$K$57,MATCH($A12&amp;"|"&amp;J$5,Dados!$A$2:$A$57,0))="","",INDEX(Dados!$K$2:$K$57,MATCH($A12&amp;"|"&amp;J$5,Dados!$A$2:$A$57,0))),"")</f>
        <v>1.6813231568639633E-2</v>
      </c>
      <c r="K12" s="10">
        <f>IFERROR(IF(INDEX(Dados!$N$2:$N$57,MATCH($A12&amp;"|"&amp;J$5,Dados!$A$2:$A$57,0))=0,"—",INDEX(Dados!$N$2:$N$57,MATCH($A12&amp;"|"&amp;J$5,Dados!$A$2:$A$57,0))),"—")</f>
        <v>0.02</v>
      </c>
      <c r="L12" s="9" t="str">
        <f>IFERROR(IF(INDEX(Dados!$T$2:$T$57,MATCH($A12&amp;"|"&amp;J$5,Dados!$A$2:$A$57,0))="","—",INDEX(Dados!$T$2:$T$57,MATCH($A12&amp;"|"&amp;J$5,Dados!$A$2:$A$57,0))),"—")</f>
        <v>Abaixo do limite de alerta</v>
      </c>
    </row>
    <row r="13" spans="1:12" x14ac:dyDescent="0.25">
      <c r="A13" s="3" t="s">
        <v>25</v>
      </c>
      <c r="B13" s="11" t="s">
        <v>26</v>
      </c>
      <c r="C13" s="12">
        <f>IFERROR(INDEX(Dados!$J$2:$J$57,MATCH("Governo|"&amp;C$5,Dados!$A$2:$A$57,0))/1000000,"")</f>
        <v>63057.592321290002</v>
      </c>
      <c r="D13" s="12">
        <f>IFERROR(INDEX(Dados!$J$2:$J$57,MATCH("Governo|"&amp;D$5,Dados!$A$2:$A$57,0))/1000000,"")</f>
        <v>62984.452917169998</v>
      </c>
      <c r="E13" s="12">
        <f>IFERROR(INDEX(Dados!$J$2:$J$57,MATCH("Governo|"&amp;E$5,Dados!$A$2:$A$57,0))/1000000,"")</f>
        <v>64853.815964769994</v>
      </c>
      <c r="F13" s="12">
        <f>IFERROR(INDEX(Dados!$J$2:$J$57,MATCH("Governo|"&amp;F$5,Dados!$A$2:$A$57,0))/1000000,"")</f>
        <v>63814.115800749998</v>
      </c>
      <c r="G13" s="12">
        <f>IFERROR(INDEX(Dados!$J$2:$J$57,MATCH("Governo|"&amp;G$5,Dados!$A$2:$A$57,0))/1000000,"")</f>
        <v>65093.778301140002</v>
      </c>
      <c r="H13" s="12">
        <f>IFERROR(INDEX(Dados!$J$2:$J$57,MATCH("Governo|"&amp;H$5,Dados!$A$2:$A$57,0))/1000000,"")</f>
        <v>68809.425557859999</v>
      </c>
      <c r="I13" s="12">
        <f>IFERROR(INDEX(Dados!$J$2:$J$57,MATCH("Governo|"&amp;I$5,Dados!$A$2:$A$57,0))/1000000,"")</f>
        <v>70819.47055089999</v>
      </c>
      <c r="J13" s="12">
        <f>IFERROR(INDEX(Dados!$J$2:$J$57,MATCH("Governo|"&amp;J$5,Dados!$A$2:$A$57,0))/1000000,"")</f>
        <v>72046.894213330001</v>
      </c>
    </row>
    <row r="15" spans="1:12" x14ac:dyDescent="0.25">
      <c r="A15" s="3" t="s">
        <v>27</v>
      </c>
    </row>
    <row r="16" spans="1:12" ht="44.1" customHeight="1" x14ac:dyDescent="0.25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4" t="s">
        <v>10</v>
      </c>
      <c r="I16" s="4" t="s">
        <v>11</v>
      </c>
      <c r="J16" s="4" t="s">
        <v>12</v>
      </c>
    </row>
    <row r="17" spans="1:10" x14ac:dyDescent="0.25">
      <c r="A17" s="5" t="s">
        <v>15</v>
      </c>
      <c r="B17" s="6" t="s">
        <v>16</v>
      </c>
      <c r="C17" s="13">
        <f>IFERROR(IF(INDEX(Dados!$I$2:$I$57,MATCH($A17&amp;"|"&amp;C$16,Dados!$A$2:$A$57,0))="","",INDEX(Dados!$I$2:$I$57,MATCH($A17&amp;"|"&amp;C$16,Dados!$A$2:$A$57,0))/1000000),"")</f>
        <v>24252.339263060003</v>
      </c>
      <c r="D17" s="13">
        <f>IFERROR(IF(INDEX(Dados!$I$2:$I$57,MATCH($A17&amp;"|"&amp;D$16,Dados!$A$2:$A$57,0))="","",INDEX(Dados!$I$2:$I$57,MATCH($A17&amp;"|"&amp;D$16,Dados!$A$2:$A$57,0))/1000000),"")</f>
        <v>26681.152576550001</v>
      </c>
      <c r="E17" s="13">
        <f>IFERROR(IF(INDEX(Dados!$I$2:$I$57,MATCH($A17&amp;"|"&amp;E$16,Dados!$A$2:$A$57,0))="","",INDEX(Dados!$I$2:$I$57,MATCH($A17&amp;"|"&amp;E$16,Dados!$A$2:$A$57,0))/1000000),"")</f>
        <v>27008.46374078</v>
      </c>
      <c r="F17" s="13">
        <f>IFERROR(IF(INDEX(Dados!$I$2:$I$57,MATCH($A17&amp;"|"&amp;F$16,Dados!$A$2:$A$57,0))="","",INDEX(Dados!$I$2:$I$57,MATCH($A17&amp;"|"&amp;F$16,Dados!$A$2:$A$57,0))/1000000),"")</f>
        <v>27531.957263490003</v>
      </c>
      <c r="G17" s="13">
        <f>IFERROR(IF(INDEX(Dados!$I$2:$I$57,MATCH($A17&amp;"|"&amp;G$16,Dados!$A$2:$A$57,0))="","",INDEX(Dados!$I$2:$I$57,MATCH($A17&amp;"|"&amp;G$16,Dados!$A$2:$A$57,0))/1000000),"")</f>
        <v>26947.1637238</v>
      </c>
      <c r="H17" s="13">
        <f>IFERROR(IF(INDEX(Dados!$I$2:$I$57,MATCH($A17&amp;"|"&amp;H$16,Dados!$A$2:$A$57,0))="","",INDEX(Dados!$I$2:$I$57,MATCH($A17&amp;"|"&amp;H$16,Dados!$A$2:$A$57,0))/1000000),"")</f>
        <v>27772.06863509</v>
      </c>
      <c r="I17" s="13">
        <f>IFERROR(IF(INDEX(Dados!$I$2:$I$57,MATCH($A17&amp;"|"&amp;I$16,Dados!$A$2:$A$57,0))="","",INDEX(Dados!$I$2:$I$57,MATCH($A17&amp;"|"&amp;I$16,Dados!$A$2:$A$57,0))/1000000),"")</f>
        <v>29040.02568223</v>
      </c>
      <c r="J17" s="13">
        <f>IFERROR(IF(INDEX(Dados!$I$2:$I$57,MATCH($A17&amp;"|"&amp;J$16,Dados!$A$2:$A$57,0))="","",INDEX(Dados!$I$2:$I$57,MATCH($A17&amp;"|"&amp;J$16,Dados!$A$2:$A$57,0))/1000000),"")</f>
        <v>30354.281906400003</v>
      </c>
    </row>
    <row r="18" spans="1:10" x14ac:dyDescent="0.25">
      <c r="A18" s="8" t="s">
        <v>17</v>
      </c>
      <c r="B18" s="9" t="s">
        <v>18</v>
      </c>
      <c r="C18" s="14">
        <f>IFERROR(IF(INDEX(Dados!$I$2:$I$57,MATCH($A18&amp;"|"&amp;C$16,Dados!$A$2:$A$57,0))="","",INDEX(Dados!$I$2:$I$57,MATCH($A18&amp;"|"&amp;C$16,Dados!$A$2:$A$57,0))/1000000),"")</f>
        <v>844.12860002999992</v>
      </c>
      <c r="D18" s="14">
        <f>IFERROR(IF(INDEX(Dados!$I$2:$I$57,MATCH($A18&amp;"|"&amp;D$16,Dados!$A$2:$A$57,0))="","",INDEX(Dados!$I$2:$I$57,MATCH($A18&amp;"|"&amp;D$16,Dados!$A$2:$A$57,0))/1000000),"")</f>
        <v>873.84362117000001</v>
      </c>
      <c r="E18" s="14">
        <f>IFERROR(IF(INDEX(Dados!$I$2:$I$57,MATCH($A18&amp;"|"&amp;E$16,Dados!$A$2:$A$57,0))="","",INDEX(Dados!$I$2:$I$57,MATCH($A18&amp;"|"&amp;E$16,Dados!$A$2:$A$57,0))/1000000),"")</f>
        <v>889.36848258999999</v>
      </c>
      <c r="F18" s="14">
        <f>IFERROR(IF(INDEX(Dados!$I$2:$I$57,MATCH($A18&amp;"|"&amp;F$16,Dados!$A$2:$A$57,0))="","",INDEX(Dados!$I$2:$I$57,MATCH($A18&amp;"|"&amp;F$16,Dados!$A$2:$A$57,0))/1000000),"")</f>
        <v>915.90620759000001</v>
      </c>
      <c r="G18" s="14">
        <f>IFERROR(IF(INDEX(Dados!$I$2:$I$57,MATCH($A18&amp;"|"&amp;G$16,Dados!$A$2:$A$57,0))="","",INDEX(Dados!$I$2:$I$57,MATCH($A18&amp;"|"&amp;G$16,Dados!$A$2:$A$57,0))/1000000),"")</f>
        <v>951.44150740999999</v>
      </c>
      <c r="H18" s="14">
        <f>IFERROR(IF(INDEX(Dados!$I$2:$I$57,MATCH($A18&amp;"|"&amp;H$16,Dados!$A$2:$A$57,0))="","",INDEX(Dados!$I$2:$I$57,MATCH($A18&amp;"|"&amp;H$16,Dados!$A$2:$A$57,0))/1000000),"")</f>
        <v>988.32259452999995</v>
      </c>
      <c r="I18" s="14">
        <f>IFERROR(IF(INDEX(Dados!$I$2:$I$57,MATCH($A18&amp;"|"&amp;I$16,Dados!$A$2:$A$57,0))="","",INDEX(Dados!$I$2:$I$57,MATCH($A18&amp;"|"&amp;I$16,Dados!$A$2:$A$57,0))/1000000),"")</f>
        <v>1019.5579907</v>
      </c>
      <c r="J18" s="14">
        <f>IFERROR(IF(INDEX(Dados!$I$2:$I$57,MATCH($A18&amp;"|"&amp;J$16,Dados!$A$2:$A$57,0))="","",INDEX(Dados!$I$2:$I$57,MATCH($A18&amp;"|"&amp;J$16,Dados!$A$2:$A$57,0))/1000000),"")</f>
        <v>1070.2388760900001</v>
      </c>
    </row>
    <row r="19" spans="1:10" x14ac:dyDescent="0.25">
      <c r="A19" s="8" t="s">
        <v>19</v>
      </c>
      <c r="B19" s="9" t="s">
        <v>20</v>
      </c>
      <c r="C19" s="14">
        <f>IFERROR(IF(INDEX(Dados!$I$2:$I$57,MATCH($A19&amp;"|"&amp;C$16,Dados!$A$2:$A$57,0))="","",INDEX(Dados!$I$2:$I$57,MATCH($A19&amp;"|"&amp;C$16,Dados!$A$2:$A$57,0))/1000000),"")</f>
        <v>2888.0716129099997</v>
      </c>
      <c r="D19" s="14">
        <f>IFERROR(IF(INDEX(Dados!$I$2:$I$57,MATCH($A19&amp;"|"&amp;D$16,Dados!$A$2:$A$57,0))="","",INDEX(Dados!$I$2:$I$57,MATCH($A19&amp;"|"&amp;D$16,Dados!$A$2:$A$57,0))/1000000),"")</f>
        <v>2939.9720833699998</v>
      </c>
      <c r="E19" s="14">
        <f>IFERROR(IF(INDEX(Dados!$I$2:$I$57,MATCH($A19&amp;"|"&amp;E$16,Dados!$A$2:$A$57,0))="","",INDEX(Dados!$I$2:$I$57,MATCH($A19&amp;"|"&amp;E$16,Dados!$A$2:$A$57,0))/1000000),"")</f>
        <v>3085.1094802500002</v>
      </c>
      <c r="F19" s="14">
        <f>IFERROR(IF(INDEX(Dados!$I$2:$I$57,MATCH($A19&amp;"|"&amp;F$16,Dados!$A$2:$A$57,0))="","",INDEX(Dados!$I$2:$I$57,MATCH($A19&amp;"|"&amp;F$16,Dados!$A$2:$A$57,0))/1000000),"")</f>
        <v>3227.1230884899996</v>
      </c>
      <c r="G19" s="14">
        <f>IFERROR(IF(INDEX(Dados!$I$2:$I$57,MATCH($A19&amp;"|"&amp;G$16,Dados!$A$2:$A$57,0))="","",INDEX(Dados!$I$2:$I$57,MATCH($A19&amp;"|"&amp;G$16,Dados!$A$2:$A$57,0))/1000000),"")</f>
        <v>3312.9466326900001</v>
      </c>
      <c r="H19" s="14">
        <f>IFERROR(IF(INDEX(Dados!$I$2:$I$57,MATCH($A19&amp;"|"&amp;H$16,Dados!$A$2:$A$57,0))="","",INDEX(Dados!$I$2:$I$57,MATCH($A19&amp;"|"&amp;H$16,Dados!$A$2:$A$57,0))/1000000),"")</f>
        <v>3409.8939291799998</v>
      </c>
      <c r="I19" s="14">
        <f>IFERROR(IF(INDEX(Dados!$I$2:$I$57,MATCH($A19&amp;"|"&amp;I$16,Dados!$A$2:$A$57,0))="","",INDEX(Dados!$I$2:$I$57,MATCH($A19&amp;"|"&amp;I$16,Dados!$A$2:$A$57,0))/1000000),"")</f>
        <v>3490.0398080800001</v>
      </c>
      <c r="J19" s="14">
        <f>IFERROR(IF(INDEX(Dados!$I$2:$I$57,MATCH($A19&amp;"|"&amp;J$16,Dados!$A$2:$A$57,0))="","",INDEX(Dados!$I$2:$I$57,MATCH($A19&amp;"|"&amp;J$16,Dados!$A$2:$A$57,0))/1000000),"")</f>
        <v>3600.1623532800004</v>
      </c>
    </row>
    <row r="20" spans="1:10" x14ac:dyDescent="0.25">
      <c r="A20" s="8" t="s">
        <v>21</v>
      </c>
      <c r="B20" s="9" t="s">
        <v>21</v>
      </c>
      <c r="C20" s="14">
        <f>IFERROR(IF(INDEX(Dados!$I$2:$I$57,MATCH($A20&amp;"|"&amp;C$16,Dados!$A$2:$A$57,0))="","",INDEX(Dados!$I$2:$I$57,MATCH($A20&amp;"|"&amp;C$16,Dados!$A$2:$A$57,0))/1000000),"")</f>
        <v>293.29558504000005</v>
      </c>
      <c r="D20" s="14">
        <f>IFERROR(IF(INDEX(Dados!$I$2:$I$57,MATCH($A20&amp;"|"&amp;D$16,Dados!$A$2:$A$57,0))="","",INDEX(Dados!$I$2:$I$57,MATCH($A20&amp;"|"&amp;D$16,Dados!$A$2:$A$57,0))/1000000),"")</f>
        <v>299.80447394999999</v>
      </c>
      <c r="E20" s="14">
        <f>IFERROR(IF(INDEX(Dados!$I$2:$I$57,MATCH($A20&amp;"|"&amp;E$16,Dados!$A$2:$A$57,0))="","",INDEX(Dados!$I$2:$I$57,MATCH($A20&amp;"|"&amp;E$16,Dados!$A$2:$A$57,0))/1000000),"")</f>
        <v>313.24452300999997</v>
      </c>
      <c r="F20" s="14">
        <f>IFERROR(IF(INDEX(Dados!$I$2:$I$57,MATCH($A20&amp;"|"&amp;F$16,Dados!$A$2:$A$57,0))="","",INDEX(Dados!$I$2:$I$57,MATCH($A20&amp;"|"&amp;F$16,Dados!$A$2:$A$57,0))/1000000),"")</f>
        <v>323.90329877999994</v>
      </c>
      <c r="G20" s="14">
        <f>IFERROR(IF(INDEX(Dados!$I$2:$I$57,MATCH($A20&amp;"|"&amp;G$16,Dados!$A$2:$A$57,0))="","",INDEX(Dados!$I$2:$I$57,MATCH($A20&amp;"|"&amp;G$16,Dados!$A$2:$A$57,0))/1000000),"")</f>
        <v>329.89419387999999</v>
      </c>
      <c r="H20" s="14">
        <f>IFERROR(IF(INDEX(Dados!$I$2:$I$57,MATCH($A20&amp;"|"&amp;H$16,Dados!$A$2:$A$57,0))="","",INDEX(Dados!$I$2:$I$57,MATCH($A20&amp;"|"&amp;H$16,Dados!$A$2:$A$57,0))/1000000),"")</f>
        <v>323.64148219999998</v>
      </c>
      <c r="I20" s="14">
        <f>IFERROR(IF(INDEX(Dados!$I$2:$I$57,MATCH($A20&amp;"|"&amp;I$16,Dados!$A$2:$A$57,0))="","",INDEX(Dados!$I$2:$I$57,MATCH($A20&amp;"|"&amp;I$16,Dados!$A$2:$A$57,0))/1000000),"")</f>
        <v>340.48586689999996</v>
      </c>
      <c r="J20" s="14">
        <f>IFERROR(IF(INDEX(Dados!$I$2:$I$57,MATCH($A20&amp;"|"&amp;J$16,Dados!$A$2:$A$57,0))="","",INDEX(Dados!$I$2:$I$57,MATCH($A20&amp;"|"&amp;J$16,Dados!$A$2:$A$57,0))/1000000),"")</f>
        <v>351.19413333999995</v>
      </c>
    </row>
    <row r="21" spans="1:10" x14ac:dyDescent="0.25">
      <c r="A21" s="8" t="s">
        <v>22</v>
      </c>
      <c r="B21" s="9" t="s">
        <v>21</v>
      </c>
      <c r="C21" s="14">
        <f>IFERROR(IF(INDEX(Dados!$I$2:$I$57,MATCH($A21&amp;"|"&amp;C$16,Dados!$A$2:$A$57,0))="","",INDEX(Dados!$I$2:$I$57,MATCH($A21&amp;"|"&amp;C$16,Dados!$A$2:$A$57,0))/1000000),"")</f>
        <v>200.38966663999997</v>
      </c>
      <c r="D21" s="14">
        <f>IFERROR(IF(INDEX(Dados!$I$2:$I$57,MATCH($A21&amp;"|"&amp;D$16,Dados!$A$2:$A$57,0))="","",INDEX(Dados!$I$2:$I$57,MATCH($A21&amp;"|"&amp;D$16,Dados!$A$2:$A$57,0))/1000000),"")</f>
        <v>204.85991683</v>
      </c>
      <c r="E21" s="14">
        <f>IFERROR(IF(INDEX(Dados!$I$2:$I$57,MATCH($A21&amp;"|"&amp;E$16,Dados!$A$2:$A$57,0))="","",INDEX(Dados!$I$2:$I$57,MATCH($A21&amp;"|"&amp;E$16,Dados!$A$2:$A$57,0))/1000000),"")</f>
        <v>210.41442002000002</v>
      </c>
      <c r="F21" s="14">
        <f>IFERROR(IF(INDEX(Dados!$I$2:$I$57,MATCH($A21&amp;"|"&amp;F$16,Dados!$A$2:$A$57,0))="","",INDEX(Dados!$I$2:$I$57,MATCH($A21&amp;"|"&amp;F$16,Dados!$A$2:$A$57,0))/1000000),"")</f>
        <v>216.99248878999998</v>
      </c>
      <c r="G21" s="14">
        <f>IFERROR(IF(INDEX(Dados!$I$2:$I$57,MATCH($A21&amp;"|"&amp;G$16,Dados!$A$2:$A$57,0))="","",INDEX(Dados!$I$2:$I$57,MATCH($A21&amp;"|"&amp;G$16,Dados!$A$2:$A$57,0))/1000000),"")</f>
        <v>221.10988806999998</v>
      </c>
      <c r="H21" s="14">
        <f>IFERROR(IF(INDEX(Dados!$I$2:$I$57,MATCH($A21&amp;"|"&amp;H$16,Dados!$A$2:$A$57,0))="","",INDEX(Dados!$I$2:$I$57,MATCH($A21&amp;"|"&amp;H$16,Dados!$A$2:$A$57,0))/1000000),"")</f>
        <v>223.05781334</v>
      </c>
      <c r="I21" s="14">
        <f>IFERROR(IF(INDEX(Dados!$I$2:$I$57,MATCH($A21&amp;"|"&amp;I$16,Dados!$A$2:$A$57,0))="","",INDEX(Dados!$I$2:$I$57,MATCH($A21&amp;"|"&amp;I$16,Dados!$A$2:$A$57,0))/1000000),"")</f>
        <v>224.17581852000001</v>
      </c>
      <c r="J21" s="14">
        <f>IFERROR(IF(INDEX(Dados!$I$2:$I$57,MATCH($A21&amp;"|"&amp;J$16,Dados!$A$2:$A$57,0))="","",INDEX(Dados!$I$2:$I$57,MATCH($A21&amp;"|"&amp;J$16,Dados!$A$2:$A$57,0))/1000000),"")</f>
        <v>228.92788328999998</v>
      </c>
    </row>
    <row r="22" spans="1:10" x14ac:dyDescent="0.25">
      <c r="A22" s="8" t="s">
        <v>23</v>
      </c>
      <c r="B22" s="9" t="s">
        <v>23</v>
      </c>
      <c r="C22" s="14">
        <f>IFERROR(IF(INDEX(Dados!$I$2:$I$57,MATCH($A22&amp;"|"&amp;C$16,Dados!$A$2:$A$57,0))="","",INDEX(Dados!$I$2:$I$57,MATCH($A22&amp;"|"&amp;C$16,Dados!$A$2:$A$57,0))/1000000),"")</f>
        <v>260.04982815</v>
      </c>
      <c r="D22" s="14">
        <f>IFERROR(IF(INDEX(Dados!$I$2:$I$57,MATCH($A22&amp;"|"&amp;D$16,Dados!$A$2:$A$57,0))="","",INDEX(Dados!$I$2:$I$57,MATCH($A22&amp;"|"&amp;D$16,Dados!$A$2:$A$57,0))/1000000),"")</f>
        <v>260.87406159</v>
      </c>
      <c r="E22" s="14">
        <f>IFERROR(IF(INDEX(Dados!$I$2:$I$57,MATCH($A22&amp;"|"&amp;E$16,Dados!$A$2:$A$57,0))="","",INDEX(Dados!$I$2:$I$57,MATCH($A22&amp;"|"&amp;E$16,Dados!$A$2:$A$57,0))/1000000),"")</f>
        <v>273.32507161000001</v>
      </c>
      <c r="F22" s="14">
        <f>IFERROR(IF(INDEX(Dados!$I$2:$I$57,MATCH($A22&amp;"|"&amp;F$16,Dados!$A$2:$A$57,0))="","",INDEX(Dados!$I$2:$I$57,MATCH($A22&amp;"|"&amp;F$16,Dados!$A$2:$A$57,0))/1000000),"")</f>
        <v>293.78127064999995</v>
      </c>
      <c r="G22" s="14">
        <f>IFERROR(IF(INDEX(Dados!$I$2:$I$57,MATCH($A22&amp;"|"&amp;G$16,Dados!$A$2:$A$57,0))="","",INDEX(Dados!$I$2:$I$57,MATCH($A22&amp;"|"&amp;G$16,Dados!$A$2:$A$57,0))/1000000),"")</f>
        <v>319.02442394999997</v>
      </c>
      <c r="H22" s="14">
        <f>IFERROR(IF(INDEX(Dados!$I$2:$I$57,MATCH($A22&amp;"|"&amp;H$16,Dados!$A$2:$A$57,0))="","",INDEX(Dados!$I$2:$I$57,MATCH($A22&amp;"|"&amp;H$16,Dados!$A$2:$A$57,0))/1000000),"")</f>
        <v>348.53987726999998</v>
      </c>
      <c r="I22" s="14">
        <f>IFERROR(IF(INDEX(Dados!$I$2:$I$57,MATCH($A22&amp;"|"&amp;I$16,Dados!$A$2:$A$57,0))="","",INDEX(Dados!$I$2:$I$57,MATCH($A22&amp;"|"&amp;I$16,Dados!$A$2:$A$57,0))/1000000),"")</f>
        <v>365.14717825000002</v>
      </c>
      <c r="J22" s="14">
        <f>IFERROR(IF(INDEX(Dados!$I$2:$I$57,MATCH($A22&amp;"|"&amp;J$16,Dados!$A$2:$A$57,0))="","",INDEX(Dados!$I$2:$I$57,MATCH($A22&amp;"|"&amp;J$16,Dados!$A$2:$A$57,0))/1000000),"")</f>
        <v>393.79884900000002</v>
      </c>
    </row>
    <row r="23" spans="1:10" x14ac:dyDescent="0.25">
      <c r="A23" s="8" t="s">
        <v>24</v>
      </c>
      <c r="B23" s="9" t="s">
        <v>24</v>
      </c>
      <c r="C23" s="14">
        <f>IFERROR(IF(INDEX(Dados!$I$2:$I$57,MATCH($A23&amp;"|"&amp;C$16,Dados!$A$2:$A$57,0))="","",INDEX(Dados!$I$2:$I$57,MATCH($A23&amp;"|"&amp;C$16,Dados!$A$2:$A$57,0))/1000000),"")</f>
        <v>809.80070835000004</v>
      </c>
      <c r="D23" s="14">
        <f>IFERROR(IF(INDEX(Dados!$I$2:$I$57,MATCH($A23&amp;"|"&amp;D$16,Dados!$A$2:$A$57,0))="","",INDEX(Dados!$I$2:$I$57,MATCH($A23&amp;"|"&amp;D$16,Dados!$A$2:$A$57,0))/1000000),"")</f>
        <v>833.01883712999995</v>
      </c>
      <c r="E23" s="14">
        <f>IFERROR(IF(INDEX(Dados!$I$2:$I$57,MATCH($A23&amp;"|"&amp;E$16,Dados!$A$2:$A$57,0))="","",INDEX(Dados!$I$2:$I$57,MATCH($A23&amp;"|"&amp;E$16,Dados!$A$2:$A$57,0))/1000000),"")</f>
        <v>876.34444473999997</v>
      </c>
      <c r="F23" s="14">
        <f>IFERROR(IF(INDEX(Dados!$I$2:$I$57,MATCH($A23&amp;"|"&amp;F$16,Dados!$A$2:$A$57,0))="","",INDEX(Dados!$I$2:$I$57,MATCH($A23&amp;"|"&amp;F$16,Dados!$A$2:$A$57,0))/1000000),"")</f>
        <v>917.82926980999991</v>
      </c>
      <c r="G23" s="14">
        <f>IFERROR(IF(INDEX(Dados!$I$2:$I$57,MATCH($A23&amp;"|"&amp;G$16,Dados!$A$2:$A$57,0))="","",INDEX(Dados!$I$2:$I$57,MATCH($A23&amp;"|"&amp;G$16,Dados!$A$2:$A$57,0))/1000000),"")</f>
        <v>935.97849475999999</v>
      </c>
      <c r="H23" s="14">
        <f>IFERROR(IF(INDEX(Dados!$I$2:$I$57,MATCH($A23&amp;"|"&amp;H$16,Dados!$A$2:$A$57,0))="","",INDEX(Dados!$I$2:$I$57,MATCH($A23&amp;"|"&amp;H$16,Dados!$A$2:$A$57,0))/1000000),"")</f>
        <v>1067.4983737699999</v>
      </c>
      <c r="I23" s="14">
        <f>IFERROR(IF(INDEX(Dados!$I$2:$I$57,MATCH($A23&amp;"|"&amp;I$16,Dados!$A$2:$A$57,0))="","",INDEX(Dados!$I$2:$I$57,MATCH($A23&amp;"|"&amp;I$16,Dados!$A$2:$A$57,0))/1000000),"")</f>
        <v>1148.5233187599999</v>
      </c>
      <c r="J23" s="14">
        <f>IFERROR(IF(INDEX(Dados!$I$2:$I$57,MATCH($A23&amp;"|"&amp;J$16,Dados!$A$2:$A$57,0))="","",INDEX(Dados!$I$2:$I$57,MATCH($A23&amp;"|"&amp;J$16,Dados!$A$2:$A$57,0))/1000000),"")</f>
        <v>1211.3411162100001</v>
      </c>
    </row>
    <row r="25" spans="1:10" x14ac:dyDescent="0.25">
      <c r="A25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29</v>
      </c>
      <c r="B1" s="4" t="s">
        <v>3</v>
      </c>
      <c r="C1" s="4" t="s">
        <v>4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47</v>
      </c>
    </row>
    <row r="2" spans="1:21" x14ac:dyDescent="0.25">
      <c r="A2" s="9" t="str">
        <f t="shared" ref="A2:A33" si="0">B2&amp;"|"&amp;G2</f>
        <v>Governo|1º quad. 2024</v>
      </c>
      <c r="B2" s="9" t="s">
        <v>15</v>
      </c>
      <c r="C2" s="9" t="s">
        <v>16</v>
      </c>
      <c r="D2" s="9" t="s">
        <v>48</v>
      </c>
      <c r="E2" s="9" t="s">
        <v>49</v>
      </c>
      <c r="F2" s="9">
        <v>1</v>
      </c>
      <c r="G2" s="9" t="s">
        <v>5</v>
      </c>
      <c r="H2" s="9" t="s">
        <v>50</v>
      </c>
      <c r="I2" s="15">
        <v>24252339263.060001</v>
      </c>
      <c r="J2" s="15">
        <v>63057592321.290001</v>
      </c>
      <c r="K2" s="10">
        <f t="shared" ref="K2:K33" si="1">IF(OR(I2="",J2="",J2=0),"",I2/J2)</f>
        <v>0.38460617302814043</v>
      </c>
      <c r="L2" s="16">
        <v>0.3846</v>
      </c>
      <c r="M2" s="9" t="str">
        <f t="shared" ref="M2:M33" si="2">IF(L2="","Não declarado",IF(K2="","Sem dado",IF(ABS(K2-L2)&lt;=0.00005,"Sim","Não")))</f>
        <v>Sim</v>
      </c>
      <c r="N2" s="16">
        <v>0.48599999999999999</v>
      </c>
      <c r="O2" s="16">
        <v>0.4617</v>
      </c>
      <c r="P2" s="16">
        <v>0.43740000000000001</v>
      </c>
      <c r="Q2" s="15">
        <v>30645989868.150002</v>
      </c>
      <c r="R2" s="15">
        <v>29113690374.740002</v>
      </c>
      <c r="S2" s="15">
        <v>27581390881.34</v>
      </c>
      <c r="T2" s="9" t="str">
        <f t="shared" ref="T2:T33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51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48</v>
      </c>
      <c r="E3" s="9" t="s">
        <v>49</v>
      </c>
      <c r="F3" s="9">
        <v>2</v>
      </c>
      <c r="G3" s="9" t="s">
        <v>6</v>
      </c>
      <c r="H3" s="9" t="s">
        <v>52</v>
      </c>
      <c r="I3" s="15">
        <v>26681152576.549999</v>
      </c>
      <c r="J3" s="15">
        <v>62984452917.169998</v>
      </c>
      <c r="K3" s="10">
        <f t="shared" si="1"/>
        <v>0.42361489765796684</v>
      </c>
      <c r="L3" s="16">
        <v>0.42359999999999998</v>
      </c>
      <c r="M3" s="9" t="str">
        <f t="shared" si="2"/>
        <v>Sim</v>
      </c>
      <c r="N3" s="16">
        <v>0.48599999999999999</v>
      </c>
      <c r="O3" s="16">
        <v>0.4617</v>
      </c>
      <c r="P3" s="16">
        <v>0.43740000000000001</v>
      </c>
      <c r="Q3" s="15">
        <v>30610444117.740002</v>
      </c>
      <c r="R3" s="15">
        <v>29079921911.849998</v>
      </c>
      <c r="S3" s="15">
        <v>27549399705.970001</v>
      </c>
      <c r="T3" s="9" t="str">
        <f t="shared" si="3"/>
        <v>Abaixo do limite de alerta</v>
      </c>
      <c r="U3" s="9" t="s">
        <v>51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48</v>
      </c>
      <c r="E4" s="9" t="s">
        <v>49</v>
      </c>
      <c r="F4" s="9">
        <v>3</v>
      </c>
      <c r="G4" s="9" t="s">
        <v>7</v>
      </c>
      <c r="H4" s="9" t="s">
        <v>53</v>
      </c>
      <c r="I4" s="15">
        <v>27008463740.779999</v>
      </c>
      <c r="J4" s="15">
        <v>64853815964.769997</v>
      </c>
      <c r="K4" s="10">
        <f t="shared" si="1"/>
        <v>0.41645141984322992</v>
      </c>
      <c r="L4" s="16">
        <v>0.41649999999999998</v>
      </c>
      <c r="M4" s="9" t="str">
        <f t="shared" si="2"/>
        <v>Sim</v>
      </c>
      <c r="N4" s="16">
        <v>0.48599999999999999</v>
      </c>
      <c r="O4" s="16">
        <v>0.4617</v>
      </c>
      <c r="P4" s="16">
        <v>0.43740000000000001</v>
      </c>
      <c r="Q4" s="15">
        <v>31518954558.880001</v>
      </c>
      <c r="R4" s="15">
        <v>29943006830.939999</v>
      </c>
      <c r="S4" s="15">
        <v>28367059102.990002</v>
      </c>
      <c r="T4" s="9" t="str">
        <f t="shared" si="3"/>
        <v>Abaixo do limite de alerta</v>
      </c>
      <c r="U4" s="9" t="s">
        <v>51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48</v>
      </c>
      <c r="E5" s="9" t="s">
        <v>54</v>
      </c>
      <c r="F5" s="9">
        <v>1</v>
      </c>
      <c r="G5" s="9" t="s">
        <v>8</v>
      </c>
      <c r="H5" s="9" t="s">
        <v>55</v>
      </c>
      <c r="I5" s="15">
        <v>27531957263.490002</v>
      </c>
      <c r="J5" s="15">
        <v>63814115800.75</v>
      </c>
      <c r="K5" s="10">
        <f t="shared" si="1"/>
        <v>0.43143992387913682</v>
      </c>
      <c r="L5" s="16">
        <v>0.43140000000000001</v>
      </c>
      <c r="M5" s="9" t="str">
        <f t="shared" si="2"/>
        <v>Sim</v>
      </c>
      <c r="N5" s="16">
        <v>0.48599999999999999</v>
      </c>
      <c r="O5" s="16">
        <v>0.4617</v>
      </c>
      <c r="P5" s="16">
        <v>0.43740000000000001</v>
      </c>
      <c r="Q5" s="15">
        <v>31013660279.16</v>
      </c>
      <c r="R5" s="15">
        <v>29462977265.200001</v>
      </c>
      <c r="S5" s="15">
        <v>27912294251.240002</v>
      </c>
      <c r="T5" s="9" t="str">
        <f t="shared" si="3"/>
        <v>Abaixo do limite de alerta</v>
      </c>
      <c r="U5" s="9" t="s">
        <v>51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48</v>
      </c>
      <c r="E6" s="9" t="s">
        <v>54</v>
      </c>
      <c r="F6" s="9">
        <v>2</v>
      </c>
      <c r="G6" s="9" t="s">
        <v>9</v>
      </c>
      <c r="H6" s="9" t="s">
        <v>56</v>
      </c>
      <c r="I6" s="15">
        <v>26947163723.799999</v>
      </c>
      <c r="J6" s="15">
        <v>65093778301.139999</v>
      </c>
      <c r="K6" s="10">
        <f t="shared" si="1"/>
        <v>0.41397449075909715</v>
      </c>
      <c r="L6" s="16">
        <v>0.41399999999999998</v>
      </c>
      <c r="M6" s="9" t="str">
        <f t="shared" si="2"/>
        <v>Sim</v>
      </c>
      <c r="N6" s="16">
        <v>0.48599999999999999</v>
      </c>
      <c r="O6" s="16">
        <v>0.4617</v>
      </c>
      <c r="P6" s="16">
        <v>0.43740000000000001</v>
      </c>
      <c r="Q6" s="15">
        <v>31635576254.349998</v>
      </c>
      <c r="R6" s="15">
        <v>30053797441.630001</v>
      </c>
      <c r="S6" s="15">
        <v>28472018628.919998</v>
      </c>
      <c r="T6" s="9" t="str">
        <f t="shared" si="3"/>
        <v>Abaixo do limite de alerta</v>
      </c>
      <c r="U6" s="9" t="s">
        <v>51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48</v>
      </c>
      <c r="E7" s="9" t="s">
        <v>54</v>
      </c>
      <c r="F7" s="9">
        <v>3</v>
      </c>
      <c r="G7" s="9" t="s">
        <v>10</v>
      </c>
      <c r="H7" s="9" t="s">
        <v>57</v>
      </c>
      <c r="I7" s="15">
        <v>27772068635.09</v>
      </c>
      <c r="J7" s="15">
        <v>68809425557.860001</v>
      </c>
      <c r="K7" s="10">
        <f t="shared" si="1"/>
        <v>0.40360849418423372</v>
      </c>
      <c r="L7" s="16">
        <v>0.40360000000000001</v>
      </c>
      <c r="M7" s="9" t="str">
        <f t="shared" si="2"/>
        <v>Sim</v>
      </c>
      <c r="N7" s="16">
        <v>0.48599999999999999</v>
      </c>
      <c r="O7" s="16">
        <v>0.4617</v>
      </c>
      <c r="P7" s="16">
        <v>0.43740000000000001</v>
      </c>
      <c r="Q7" s="15">
        <v>33441380821.119999</v>
      </c>
      <c r="R7" s="15">
        <v>31769311780.060001</v>
      </c>
      <c r="S7" s="15">
        <v>30097242739.009998</v>
      </c>
      <c r="T7" s="9" t="str">
        <f t="shared" si="3"/>
        <v>Abaixo do limite de alerta</v>
      </c>
      <c r="U7" s="9" t="s">
        <v>51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48</v>
      </c>
      <c r="E8" s="9" t="s">
        <v>58</v>
      </c>
      <c r="F8" s="9">
        <v>1</v>
      </c>
      <c r="G8" s="9" t="s">
        <v>11</v>
      </c>
      <c r="H8" s="9" t="s">
        <v>59</v>
      </c>
      <c r="I8" s="15">
        <v>29040025682.23</v>
      </c>
      <c r="J8" s="15">
        <v>70819470550.899994</v>
      </c>
      <c r="K8" s="10">
        <f t="shared" si="1"/>
        <v>0.41005708537962166</v>
      </c>
      <c r="L8" s="16">
        <v>0.41010000000000002</v>
      </c>
      <c r="M8" s="9" t="str">
        <f t="shared" si="2"/>
        <v>Sim</v>
      </c>
      <c r="N8" s="16">
        <v>0.48599999999999999</v>
      </c>
      <c r="O8" s="16">
        <v>0.4617</v>
      </c>
      <c r="P8" s="16">
        <v>0.43740000000000001</v>
      </c>
      <c r="Q8" s="15">
        <v>34418262687.739998</v>
      </c>
      <c r="R8" s="15">
        <v>32697349553.349998</v>
      </c>
      <c r="S8" s="15">
        <v>30976436418.970001</v>
      </c>
      <c r="T8" s="9" t="str">
        <f t="shared" si="3"/>
        <v>Abaixo do limite de alerta</v>
      </c>
      <c r="U8" s="9" t="s">
        <v>51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48</v>
      </c>
      <c r="E9" s="9" t="s">
        <v>58</v>
      </c>
      <c r="F9" s="9">
        <v>2</v>
      </c>
      <c r="G9" s="9" t="s">
        <v>12</v>
      </c>
      <c r="H9" s="9" t="s">
        <v>60</v>
      </c>
      <c r="I9" s="15">
        <v>30354281906.400002</v>
      </c>
      <c r="J9" s="15">
        <v>72046894213.330002</v>
      </c>
      <c r="K9" s="10">
        <f t="shared" si="1"/>
        <v>0.42131284405572478</v>
      </c>
      <c r="L9" s="16">
        <v>0.42130000000000001</v>
      </c>
      <c r="M9" s="9" t="str">
        <f t="shared" si="2"/>
        <v>Sim</v>
      </c>
      <c r="N9" s="16">
        <v>0.48599999999999999</v>
      </c>
      <c r="O9" s="16">
        <v>0.4617</v>
      </c>
      <c r="P9" s="16">
        <v>0.43740000000000001</v>
      </c>
      <c r="Q9" s="15">
        <v>35014790587.68</v>
      </c>
      <c r="R9" s="15">
        <v>33264051058.299999</v>
      </c>
      <c r="S9" s="15">
        <v>31513311528.91</v>
      </c>
      <c r="T9" s="9" t="str">
        <f t="shared" si="3"/>
        <v>Abaixo do limite de alerta</v>
      </c>
      <c r="U9" s="9" t="s">
        <v>51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61</v>
      </c>
      <c r="E10" s="9" t="s">
        <v>49</v>
      </c>
      <c r="F10" s="9">
        <v>1</v>
      </c>
      <c r="G10" s="9" t="s">
        <v>5</v>
      </c>
      <c r="H10" s="9" t="s">
        <v>50</v>
      </c>
      <c r="I10" s="15">
        <v>844128600.02999997</v>
      </c>
      <c r="J10" s="15">
        <v>63057592321.290001</v>
      </c>
      <c r="K10" s="10">
        <f t="shared" si="1"/>
        <v>1.3386629095018565E-2</v>
      </c>
      <c r="L10" s="16">
        <v>1.34E-2</v>
      </c>
      <c r="M10" s="9" t="str">
        <f t="shared" si="2"/>
        <v>Sim</v>
      </c>
      <c r="N10" s="16">
        <v>1.9300000000000001E-2</v>
      </c>
      <c r="O10" s="16">
        <v>1.83E-2</v>
      </c>
      <c r="P10" s="16">
        <v>1.7399999999999999E-2</v>
      </c>
      <c r="Q10" s="15">
        <v>1217011531.8</v>
      </c>
      <c r="R10" s="15">
        <v>1156160955.21</v>
      </c>
      <c r="S10" s="15">
        <v>1095310378.6199999</v>
      </c>
      <c r="T10" s="9" t="str">
        <f t="shared" si="3"/>
        <v>Abaixo do limite de alerta</v>
      </c>
      <c r="U10" s="9" t="s">
        <v>51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61</v>
      </c>
      <c r="E11" s="9" t="s">
        <v>49</v>
      </c>
      <c r="F11" s="9">
        <v>2</v>
      </c>
      <c r="G11" s="9" t="s">
        <v>6</v>
      </c>
      <c r="H11" s="9" t="s">
        <v>52</v>
      </c>
      <c r="I11" s="15">
        <v>873843621.16999996</v>
      </c>
      <c r="J11" s="15">
        <v>62984452917.169998</v>
      </c>
      <c r="K11" s="10">
        <f t="shared" si="1"/>
        <v>1.3873957471999954E-2</v>
      </c>
      <c r="L11" s="16">
        <v>1.3899999999999999E-2</v>
      </c>
      <c r="M11" s="9" t="str">
        <f t="shared" si="2"/>
        <v>Sim</v>
      </c>
      <c r="N11" s="16">
        <v>1.9300000000000001E-2</v>
      </c>
      <c r="O11" s="16">
        <v>1.83E-2</v>
      </c>
      <c r="P11" s="16">
        <v>1.7399999999999999E-2</v>
      </c>
      <c r="Q11" s="15">
        <v>1215599941.29</v>
      </c>
      <c r="R11" s="15">
        <v>1154819944.23</v>
      </c>
      <c r="S11" s="15">
        <v>1094039947.1600001</v>
      </c>
      <c r="T11" s="9" t="str">
        <f t="shared" si="3"/>
        <v>Abaixo do limite de alerta</v>
      </c>
      <c r="U11" s="9" t="s">
        <v>51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61</v>
      </c>
      <c r="E12" s="9" t="s">
        <v>49</v>
      </c>
      <c r="F12" s="9">
        <v>3</v>
      </c>
      <c r="G12" s="9" t="s">
        <v>7</v>
      </c>
      <c r="H12" s="9" t="s">
        <v>53</v>
      </c>
      <c r="I12" s="15">
        <v>889368482.59000003</v>
      </c>
      <c r="J12" s="15">
        <v>64853815964.769997</v>
      </c>
      <c r="K12" s="10">
        <f t="shared" si="1"/>
        <v>1.3713433347902371E-2</v>
      </c>
      <c r="L12" s="16">
        <v>1.37E-2</v>
      </c>
      <c r="M12" s="9" t="str">
        <f t="shared" si="2"/>
        <v>Sim</v>
      </c>
      <c r="N12" s="16">
        <v>1.9300000000000001E-2</v>
      </c>
      <c r="O12" s="16">
        <v>1.83E-2</v>
      </c>
      <c r="P12" s="16">
        <v>1.7399999999999999E-2</v>
      </c>
      <c r="Q12" s="15">
        <v>1251678648.1199999</v>
      </c>
      <c r="R12" s="15">
        <v>1189094715.71</v>
      </c>
      <c r="S12" s="15">
        <v>1126510783.3099999</v>
      </c>
      <c r="T12" s="9" t="str">
        <f t="shared" si="3"/>
        <v>Abaixo do limite de alerta</v>
      </c>
      <c r="U12" s="9" t="s">
        <v>51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61</v>
      </c>
      <c r="E13" s="9" t="s">
        <v>54</v>
      </c>
      <c r="F13" s="9">
        <v>1</v>
      </c>
      <c r="G13" s="9" t="s">
        <v>8</v>
      </c>
      <c r="H13" s="9" t="s">
        <v>55</v>
      </c>
      <c r="I13" s="15">
        <v>915906207.59000003</v>
      </c>
      <c r="J13" s="15">
        <v>63814115800.75</v>
      </c>
      <c r="K13" s="10">
        <f t="shared" si="1"/>
        <v>1.4352721119724979E-2</v>
      </c>
      <c r="L13" s="16">
        <v>1.44E-2</v>
      </c>
      <c r="M13" s="9" t="str">
        <f t="shared" si="2"/>
        <v>Sim</v>
      </c>
      <c r="N13" s="16">
        <v>1.9300000000000001E-2</v>
      </c>
      <c r="O13" s="16">
        <v>1.83E-2</v>
      </c>
      <c r="P13" s="16">
        <v>1.7399999999999999E-2</v>
      </c>
      <c r="Q13" s="15">
        <v>1231612434.95</v>
      </c>
      <c r="R13" s="15">
        <v>1170031813.2</v>
      </c>
      <c r="S13" s="15">
        <v>1108451191.46</v>
      </c>
      <c r="T13" s="9" t="str">
        <f t="shared" si="3"/>
        <v>Abaixo do limite de alerta</v>
      </c>
      <c r="U13" s="9" t="s">
        <v>51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61</v>
      </c>
      <c r="E14" s="9" t="s">
        <v>54</v>
      </c>
      <c r="F14" s="9">
        <v>2</v>
      </c>
      <c r="G14" s="9" t="s">
        <v>9</v>
      </c>
      <c r="H14" s="9" t="s">
        <v>56</v>
      </c>
      <c r="I14" s="15">
        <v>951441507.40999997</v>
      </c>
      <c r="J14" s="15">
        <v>65093778301.139999</v>
      </c>
      <c r="K14" s="10">
        <f t="shared" si="1"/>
        <v>1.4616473835769604E-2</v>
      </c>
      <c r="L14" s="16">
        <v>1.46E-2</v>
      </c>
      <c r="M14" s="9" t="str">
        <f t="shared" si="2"/>
        <v>Sim</v>
      </c>
      <c r="N14" s="16">
        <v>1.9300000000000001E-2</v>
      </c>
      <c r="O14" s="16">
        <v>1.83E-2</v>
      </c>
      <c r="P14" s="16">
        <v>1.7399999999999999E-2</v>
      </c>
      <c r="Q14" s="15">
        <v>1256309921.21</v>
      </c>
      <c r="R14" s="15">
        <v>1193494425.1500001</v>
      </c>
      <c r="S14" s="15">
        <v>1130678929.0899999</v>
      </c>
      <c r="T14" s="9" t="str">
        <f t="shared" si="3"/>
        <v>Abaixo do limite de alerta</v>
      </c>
      <c r="U14" s="9" t="s">
        <v>51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61</v>
      </c>
      <c r="E15" s="9" t="s">
        <v>54</v>
      </c>
      <c r="F15" s="9">
        <v>3</v>
      </c>
      <c r="G15" s="9" t="s">
        <v>10</v>
      </c>
      <c r="H15" s="9" t="s">
        <v>57</v>
      </c>
      <c r="I15" s="15">
        <v>988322594.52999997</v>
      </c>
      <c r="J15" s="15">
        <v>68809425557.860001</v>
      </c>
      <c r="K15" s="10">
        <f t="shared" si="1"/>
        <v>1.436318624254385E-2</v>
      </c>
      <c r="L15" s="16">
        <v>1.44E-2</v>
      </c>
      <c r="M15" s="9" t="str">
        <f t="shared" si="2"/>
        <v>Sim</v>
      </c>
      <c r="N15" s="16">
        <v>1.9300000000000001E-2</v>
      </c>
      <c r="O15" s="16">
        <v>1.83E-2</v>
      </c>
      <c r="P15" s="16">
        <v>1.7399999999999999E-2</v>
      </c>
      <c r="Q15" s="15">
        <v>1328021913.27</v>
      </c>
      <c r="R15" s="15">
        <v>1261620817.6099999</v>
      </c>
      <c r="S15" s="15">
        <v>1195219721.9400001</v>
      </c>
      <c r="T15" s="9" t="str">
        <f t="shared" si="3"/>
        <v>Abaixo do limite de alerta</v>
      </c>
      <c r="U15" s="9" t="s">
        <v>51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61</v>
      </c>
      <c r="E16" s="9" t="s">
        <v>58</v>
      </c>
      <c r="F16" s="9">
        <v>1</v>
      </c>
      <c r="G16" s="9" t="s">
        <v>11</v>
      </c>
      <c r="H16" s="9" t="s">
        <v>59</v>
      </c>
      <c r="I16" s="15">
        <v>1019557990.7</v>
      </c>
      <c r="J16" s="15">
        <v>70819470550.899994</v>
      </c>
      <c r="K16" s="10">
        <f t="shared" si="1"/>
        <v>1.4396577420996311E-2</v>
      </c>
      <c r="L16" s="16">
        <v>1.44E-2</v>
      </c>
      <c r="M16" s="9" t="str">
        <f t="shared" si="2"/>
        <v>Sim</v>
      </c>
      <c r="N16" s="16">
        <v>1.9300000000000001E-2</v>
      </c>
      <c r="O16" s="16">
        <v>1.83E-2</v>
      </c>
      <c r="P16" s="16">
        <v>1.7399999999999999E-2</v>
      </c>
      <c r="Q16" s="15">
        <v>1366815781.6300001</v>
      </c>
      <c r="R16" s="15">
        <v>1298474992.55</v>
      </c>
      <c r="S16" s="15">
        <v>1230134203.47</v>
      </c>
      <c r="T16" s="9" t="str">
        <f t="shared" si="3"/>
        <v>Abaixo do limite de alerta</v>
      </c>
      <c r="U16" s="9" t="s">
        <v>51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61</v>
      </c>
      <c r="E17" s="9" t="s">
        <v>58</v>
      </c>
      <c r="F17" s="9">
        <v>2</v>
      </c>
      <c r="G17" s="9" t="s">
        <v>12</v>
      </c>
      <c r="H17" s="9" t="s">
        <v>60</v>
      </c>
      <c r="I17" s="15">
        <v>1070238876.09</v>
      </c>
      <c r="J17" s="15">
        <v>72046894213.330002</v>
      </c>
      <c r="K17" s="10">
        <f t="shared" si="1"/>
        <v>1.4854753806889099E-2</v>
      </c>
      <c r="L17" s="16">
        <v>1.49E-2</v>
      </c>
      <c r="M17" s="9" t="str">
        <f t="shared" si="2"/>
        <v>Sim</v>
      </c>
      <c r="N17" s="16">
        <v>1.9300000000000001E-2</v>
      </c>
      <c r="O17" s="16">
        <v>1.83E-2</v>
      </c>
      <c r="P17" s="16">
        <v>1.7399999999999999E-2</v>
      </c>
      <c r="Q17" s="15">
        <v>1390505058.3199999</v>
      </c>
      <c r="R17" s="15">
        <v>1320979805.4000001</v>
      </c>
      <c r="S17" s="15">
        <v>1251454552.49</v>
      </c>
      <c r="T17" s="9" t="str">
        <f t="shared" si="3"/>
        <v>Abaixo do limite de alerta</v>
      </c>
      <c r="U17" s="9" t="s">
        <v>51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62</v>
      </c>
      <c r="E18" s="9" t="s">
        <v>49</v>
      </c>
      <c r="F18" s="9">
        <v>1</v>
      </c>
      <c r="G18" s="9" t="s">
        <v>5</v>
      </c>
      <c r="H18" s="9" t="s">
        <v>50</v>
      </c>
      <c r="I18" s="15">
        <v>2888071612.9099998</v>
      </c>
      <c r="J18" s="15">
        <v>63057592321.290001</v>
      </c>
      <c r="K18" s="10">
        <f t="shared" si="1"/>
        <v>4.580053735947838E-2</v>
      </c>
      <c r="L18" s="16">
        <v>4.58E-2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3783455539.2800002</v>
      </c>
      <c r="R18" s="15">
        <v>3594282762.3200002</v>
      </c>
      <c r="S18" s="15">
        <v>3405109985.3499999</v>
      </c>
      <c r="T18" s="9" t="str">
        <f t="shared" si="3"/>
        <v>Abaixo do limite de alerta</v>
      </c>
      <c r="U18" s="9" t="s">
        <v>51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62</v>
      </c>
      <c r="E19" s="9" t="s">
        <v>49</v>
      </c>
      <c r="F19" s="9">
        <v>2</v>
      </c>
      <c r="G19" s="9" t="s">
        <v>6</v>
      </c>
      <c r="H19" s="9" t="s">
        <v>52</v>
      </c>
      <c r="I19" s="15">
        <v>2939972083.3699999</v>
      </c>
      <c r="J19" s="15">
        <v>62984452917.169998</v>
      </c>
      <c r="K19" s="10">
        <f t="shared" si="1"/>
        <v>4.6677742636525195E-2</v>
      </c>
      <c r="L19" s="16">
        <v>4.6699999999999998E-2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3779067175.0300002</v>
      </c>
      <c r="R19" s="15">
        <v>3590113816.2800002</v>
      </c>
      <c r="S19" s="15">
        <v>3401160457.5300002</v>
      </c>
      <c r="T19" s="9" t="str">
        <f t="shared" si="3"/>
        <v>Abaixo do limite de alerta</v>
      </c>
      <c r="U19" s="9" t="s">
        <v>51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62</v>
      </c>
      <c r="E20" s="9" t="s">
        <v>49</v>
      </c>
      <c r="F20" s="9">
        <v>3</v>
      </c>
      <c r="G20" s="9" t="s">
        <v>7</v>
      </c>
      <c r="H20" s="9" t="s">
        <v>53</v>
      </c>
      <c r="I20" s="15">
        <v>3085109480.25</v>
      </c>
      <c r="J20" s="15">
        <v>64853815964.769997</v>
      </c>
      <c r="K20" s="10">
        <f t="shared" si="1"/>
        <v>4.7570207463596262E-2</v>
      </c>
      <c r="L20" s="16">
        <v>4.7600000000000003E-2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3891228957.8899999</v>
      </c>
      <c r="R20" s="15">
        <v>3696667510</v>
      </c>
      <c r="S20" s="15">
        <v>3502106062.0999999</v>
      </c>
      <c r="T20" s="9" t="str">
        <f t="shared" si="3"/>
        <v>Abaixo do limite de alerta</v>
      </c>
      <c r="U20" s="9" t="s">
        <v>51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62</v>
      </c>
      <c r="E21" s="9" t="s">
        <v>54</v>
      </c>
      <c r="F21" s="9">
        <v>1</v>
      </c>
      <c r="G21" s="9" t="s">
        <v>8</v>
      </c>
      <c r="H21" s="9" t="s">
        <v>55</v>
      </c>
      <c r="I21" s="15">
        <v>3227123088.4899998</v>
      </c>
      <c r="J21" s="15">
        <v>63814115800.75</v>
      </c>
      <c r="K21" s="10">
        <f t="shared" si="1"/>
        <v>5.0570677788065066E-2</v>
      </c>
      <c r="L21" s="16">
        <v>5.0599999999999999E-2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3828846948.0500002</v>
      </c>
      <c r="R21" s="15">
        <v>3637404600.6500001</v>
      </c>
      <c r="S21" s="15">
        <v>3445962253.25</v>
      </c>
      <c r="T21" s="9" t="str">
        <f t="shared" si="3"/>
        <v>Abaixo do limite de alerta</v>
      </c>
      <c r="U21" s="9" t="s">
        <v>51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62</v>
      </c>
      <c r="E22" s="9" t="s">
        <v>54</v>
      </c>
      <c r="F22" s="9">
        <v>2</v>
      </c>
      <c r="G22" s="9" t="s">
        <v>9</v>
      </c>
      <c r="H22" s="9" t="s">
        <v>56</v>
      </c>
      <c r="I22" s="15">
        <v>3312946632.6900001</v>
      </c>
      <c r="J22" s="15">
        <v>65093778301.139999</v>
      </c>
      <c r="K22" s="10">
        <f t="shared" si="1"/>
        <v>5.0894981350805682E-2</v>
      </c>
      <c r="L22" s="16">
        <v>5.0900000000000001E-2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3905626698.0700002</v>
      </c>
      <c r="R22" s="15">
        <v>3710345363.1700001</v>
      </c>
      <c r="S22" s="15">
        <v>3515064028.2600002</v>
      </c>
      <c r="T22" s="9" t="str">
        <f t="shared" si="3"/>
        <v>Abaixo do limite de alerta</v>
      </c>
      <c r="U22" s="9" t="s">
        <v>51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62</v>
      </c>
      <c r="E23" s="9" t="s">
        <v>54</v>
      </c>
      <c r="F23" s="9">
        <v>3</v>
      </c>
      <c r="G23" s="9" t="s">
        <v>10</v>
      </c>
      <c r="H23" s="9" t="s">
        <v>57</v>
      </c>
      <c r="I23" s="15">
        <v>3409893929.1799998</v>
      </c>
      <c r="J23" s="15">
        <v>68809425557.860001</v>
      </c>
      <c r="K23" s="10">
        <f t="shared" si="1"/>
        <v>4.9555622671384046E-2</v>
      </c>
      <c r="L23" s="16">
        <v>4.9599999999999998E-2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4128565533.4699998</v>
      </c>
      <c r="R23" s="15">
        <v>3922137256.8000002</v>
      </c>
      <c r="S23" s="15">
        <v>3715708980.1199999</v>
      </c>
      <c r="T23" s="9" t="str">
        <f t="shared" si="3"/>
        <v>Abaixo do limite de alerta</v>
      </c>
      <c r="U23" s="9" t="s">
        <v>51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62</v>
      </c>
      <c r="E24" s="9" t="s">
        <v>58</v>
      </c>
      <c r="F24" s="9">
        <v>1</v>
      </c>
      <c r="G24" s="9" t="s">
        <v>11</v>
      </c>
      <c r="H24" s="9" t="s">
        <v>59</v>
      </c>
      <c r="I24" s="15">
        <v>3490039808.0799999</v>
      </c>
      <c r="J24" s="15">
        <v>70819470550.899994</v>
      </c>
      <c r="K24" s="10">
        <f t="shared" si="1"/>
        <v>4.9280794969677272E-2</v>
      </c>
      <c r="L24" s="16">
        <v>4.9299999999999997E-2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4249168233.0500002</v>
      </c>
      <c r="R24" s="15">
        <v>4036709821.4000001</v>
      </c>
      <c r="S24" s="15">
        <v>3824251409.75</v>
      </c>
      <c r="T24" s="9" t="str">
        <f t="shared" si="3"/>
        <v>Abaixo do limite de alerta</v>
      </c>
      <c r="U24" s="9" t="s">
        <v>51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62</v>
      </c>
      <c r="E25" s="9" t="s">
        <v>58</v>
      </c>
      <c r="F25" s="9">
        <v>2</v>
      </c>
      <c r="G25" s="9" t="s">
        <v>12</v>
      </c>
      <c r="H25" s="9" t="s">
        <v>60</v>
      </c>
      <c r="I25" s="15">
        <v>3600162353.2800002</v>
      </c>
      <c r="J25" s="15">
        <v>72046894213.330002</v>
      </c>
      <c r="K25" s="10">
        <f t="shared" si="1"/>
        <v>4.9969709209393011E-2</v>
      </c>
      <c r="L25" s="16">
        <v>0.05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4322813652.8000002</v>
      </c>
      <c r="R25" s="15">
        <v>4106672970.1599998</v>
      </c>
      <c r="S25" s="15">
        <v>3890532287.52</v>
      </c>
      <c r="T25" s="9" t="str">
        <f t="shared" si="3"/>
        <v>Abaixo do limite de alerta</v>
      </c>
      <c r="U25" s="9" t="s">
        <v>51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63</v>
      </c>
      <c r="E26" s="9" t="s">
        <v>49</v>
      </c>
      <c r="F26" s="9">
        <v>1</v>
      </c>
      <c r="G26" s="9" t="s">
        <v>5</v>
      </c>
      <c r="H26" s="9" t="s">
        <v>50</v>
      </c>
      <c r="I26" s="15">
        <v>293295585.04000002</v>
      </c>
      <c r="J26" s="15">
        <v>63057592321.290001</v>
      </c>
      <c r="K26" s="10">
        <f t="shared" si="1"/>
        <v>4.6512334874063256E-3</v>
      </c>
      <c r="L26" s="16">
        <v>4.6999999999999993E-3</v>
      </c>
      <c r="M26" s="9" t="str">
        <f t="shared" si="2"/>
        <v>Sim</v>
      </c>
      <c r="N26" s="16">
        <v>9.0000000000000011E-3</v>
      </c>
      <c r="O26" s="16">
        <v>8.6E-3</v>
      </c>
      <c r="P26" s="16">
        <v>8.1000000000000013E-3</v>
      </c>
      <c r="Q26" s="15">
        <v>567518330.88999999</v>
      </c>
      <c r="R26" s="15">
        <v>539142414.35000002</v>
      </c>
      <c r="S26" s="15">
        <v>510766497.80000001</v>
      </c>
      <c r="T26" s="9" t="str">
        <f t="shared" si="3"/>
        <v>Abaixo do limite de alerta</v>
      </c>
      <c r="U26" s="9" t="s">
        <v>51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63</v>
      </c>
      <c r="E27" s="9" t="s">
        <v>49</v>
      </c>
      <c r="F27" s="9">
        <v>2</v>
      </c>
      <c r="G27" s="9" t="s">
        <v>6</v>
      </c>
      <c r="H27" s="9" t="s">
        <v>52</v>
      </c>
      <c r="I27" s="15">
        <v>299804473.94999999</v>
      </c>
      <c r="J27" s="15">
        <v>62984452917.169998</v>
      </c>
      <c r="K27" s="10">
        <f t="shared" si="1"/>
        <v>4.7599758363269231E-3</v>
      </c>
      <c r="L27" s="16">
        <v>4.7999999999999996E-3</v>
      </c>
      <c r="M27" s="9" t="str">
        <f t="shared" si="2"/>
        <v>Sim</v>
      </c>
      <c r="N27" s="16">
        <v>9.0000000000000011E-3</v>
      </c>
      <c r="O27" s="16">
        <v>8.6E-3</v>
      </c>
      <c r="P27" s="16">
        <v>8.1000000000000013E-3</v>
      </c>
      <c r="Q27" s="15">
        <v>566860076.25999999</v>
      </c>
      <c r="R27" s="15">
        <v>538517072.45000005</v>
      </c>
      <c r="S27" s="15">
        <v>510174068.63</v>
      </c>
      <c r="T27" s="9" t="str">
        <f t="shared" si="3"/>
        <v>Abaixo do limite de alerta</v>
      </c>
      <c r="U27" s="9" t="s">
        <v>51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63</v>
      </c>
      <c r="E28" s="9" t="s">
        <v>49</v>
      </c>
      <c r="F28" s="9">
        <v>3</v>
      </c>
      <c r="G28" s="9" t="s">
        <v>7</v>
      </c>
      <c r="H28" s="9" t="s">
        <v>53</v>
      </c>
      <c r="I28" s="15">
        <v>313244523.00999999</v>
      </c>
      <c r="J28" s="15">
        <v>64853815964.769997</v>
      </c>
      <c r="K28" s="10">
        <f t="shared" si="1"/>
        <v>4.8300091266820942E-3</v>
      </c>
      <c r="L28" s="16">
        <v>4.7999999999999996E-3</v>
      </c>
      <c r="M28" s="9" t="str">
        <f t="shared" si="2"/>
        <v>Sim</v>
      </c>
      <c r="N28" s="16">
        <v>9.0000000000000011E-3</v>
      </c>
      <c r="O28" s="16">
        <v>8.6E-3</v>
      </c>
      <c r="P28" s="16">
        <v>8.1000000000000013E-3</v>
      </c>
      <c r="Q28" s="15">
        <v>583684343.67999995</v>
      </c>
      <c r="R28" s="15">
        <v>554500126.5</v>
      </c>
      <c r="S28" s="15">
        <v>525315909.31</v>
      </c>
      <c r="T28" s="9" t="str">
        <f t="shared" si="3"/>
        <v>Abaixo do limite de alerta</v>
      </c>
      <c r="U28" s="9" t="s">
        <v>51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63</v>
      </c>
      <c r="E29" s="9" t="s">
        <v>54</v>
      </c>
      <c r="F29" s="9">
        <v>1</v>
      </c>
      <c r="G29" s="9" t="s">
        <v>8</v>
      </c>
      <c r="H29" s="9" t="s">
        <v>55</v>
      </c>
      <c r="I29" s="15">
        <v>323903298.77999997</v>
      </c>
      <c r="J29" s="15">
        <v>63814115800.75</v>
      </c>
      <c r="K29" s="10">
        <f t="shared" si="1"/>
        <v>5.0757312032864233E-3</v>
      </c>
      <c r="L29" s="16">
        <v>5.1000000000000004E-3</v>
      </c>
      <c r="M29" s="9" t="str">
        <f t="shared" si="2"/>
        <v>Sim</v>
      </c>
      <c r="N29" s="16">
        <v>9.0000000000000011E-3</v>
      </c>
      <c r="O29" s="16">
        <v>8.6E-3</v>
      </c>
      <c r="P29" s="16">
        <v>8.1000000000000013E-3</v>
      </c>
      <c r="Q29" s="15">
        <v>574327042.21000004</v>
      </c>
      <c r="R29" s="15">
        <v>545610690.10000002</v>
      </c>
      <c r="S29" s="15">
        <v>516894337.99000001</v>
      </c>
      <c r="T29" s="9" t="str">
        <f t="shared" si="3"/>
        <v>Abaixo do limite de alerta</v>
      </c>
      <c r="U29" s="9" t="s">
        <v>51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63</v>
      </c>
      <c r="E30" s="9" t="s">
        <v>54</v>
      </c>
      <c r="F30" s="9">
        <v>2</v>
      </c>
      <c r="G30" s="9" t="s">
        <v>9</v>
      </c>
      <c r="H30" s="9" t="s">
        <v>56</v>
      </c>
      <c r="I30" s="15">
        <v>329894193.88</v>
      </c>
      <c r="J30" s="15">
        <v>65093778301.139999</v>
      </c>
      <c r="K30" s="10">
        <f t="shared" si="1"/>
        <v>5.0679834922752135E-3</v>
      </c>
      <c r="L30" s="16">
        <v>5.1000000000000004E-3</v>
      </c>
      <c r="M30" s="9" t="str">
        <f t="shared" si="2"/>
        <v>Sim</v>
      </c>
      <c r="N30" s="16">
        <v>9.0000000000000011E-3</v>
      </c>
      <c r="O30" s="16">
        <v>8.6E-3</v>
      </c>
      <c r="P30" s="16">
        <v>8.1000000000000013E-3</v>
      </c>
      <c r="Q30" s="15">
        <v>585844004.71000004</v>
      </c>
      <c r="R30" s="15">
        <v>556551804.47000003</v>
      </c>
      <c r="S30" s="15">
        <v>527259604.24000001</v>
      </c>
      <c r="T30" s="9" t="str">
        <f t="shared" si="3"/>
        <v>Abaixo do limite de alerta</v>
      </c>
      <c r="U30" s="9" t="s">
        <v>51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63</v>
      </c>
      <c r="E31" s="9" t="s">
        <v>54</v>
      </c>
      <c r="F31" s="9">
        <v>3</v>
      </c>
      <c r="G31" s="9" t="s">
        <v>10</v>
      </c>
      <c r="H31" s="9" t="s">
        <v>57</v>
      </c>
      <c r="I31" s="15">
        <v>323641482.19999999</v>
      </c>
      <c r="J31" s="15">
        <v>68809425557.860001</v>
      </c>
      <c r="K31" s="10">
        <f t="shared" si="1"/>
        <v>4.7034469416963607E-3</v>
      </c>
      <c r="L31" s="16">
        <v>4.6999999999999993E-3</v>
      </c>
      <c r="M31" s="9" t="str">
        <f t="shared" si="2"/>
        <v>Sim</v>
      </c>
      <c r="N31" s="16">
        <v>9.0000000000000011E-3</v>
      </c>
      <c r="O31" s="16">
        <v>8.6E-3</v>
      </c>
      <c r="P31" s="16">
        <v>8.1000000000000013E-3</v>
      </c>
      <c r="Q31" s="15">
        <v>619284830.01999998</v>
      </c>
      <c r="R31" s="15">
        <v>588320588.51999998</v>
      </c>
      <c r="S31" s="15">
        <v>557356347.01999998</v>
      </c>
      <c r="T31" s="9" t="str">
        <f t="shared" si="3"/>
        <v>Abaixo do limite de alerta</v>
      </c>
      <c r="U31" s="9" t="s">
        <v>51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63</v>
      </c>
      <c r="E32" s="9" t="s">
        <v>58</v>
      </c>
      <c r="F32" s="9">
        <v>1</v>
      </c>
      <c r="G32" s="9" t="s">
        <v>11</v>
      </c>
      <c r="H32" s="9" t="s">
        <v>59</v>
      </c>
      <c r="I32" s="15">
        <v>340485866.89999998</v>
      </c>
      <c r="J32" s="15">
        <v>70819470550.899994</v>
      </c>
      <c r="K32" s="10">
        <f t="shared" si="1"/>
        <v>4.8078002313683352E-3</v>
      </c>
      <c r="L32" s="16">
        <v>4.7999999999999996E-3</v>
      </c>
      <c r="M32" s="9" t="str">
        <f t="shared" si="2"/>
        <v>Sim</v>
      </c>
      <c r="N32" s="16">
        <v>9.0000000000000011E-3</v>
      </c>
      <c r="O32" s="16">
        <v>8.6E-3</v>
      </c>
      <c r="P32" s="16">
        <v>8.1000000000000013E-3</v>
      </c>
      <c r="Q32" s="15">
        <v>637375234.96000004</v>
      </c>
      <c r="R32" s="15">
        <v>605506473.21000004</v>
      </c>
      <c r="S32" s="15">
        <v>573637711.46000004</v>
      </c>
      <c r="T32" s="9" t="str">
        <f t="shared" si="3"/>
        <v>Abaixo do limite de alerta</v>
      </c>
      <c r="U32" s="9" t="s">
        <v>51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63</v>
      </c>
      <c r="E33" s="9" t="s">
        <v>58</v>
      </c>
      <c r="F33" s="9">
        <v>2</v>
      </c>
      <c r="G33" s="9" t="s">
        <v>12</v>
      </c>
      <c r="H33" s="9" t="s">
        <v>60</v>
      </c>
      <c r="I33" s="15">
        <v>351194133.33999997</v>
      </c>
      <c r="J33" s="15">
        <v>72046894213.330002</v>
      </c>
      <c r="K33" s="10">
        <f t="shared" si="1"/>
        <v>4.8745214790261232E-3</v>
      </c>
      <c r="L33" s="16">
        <v>4.8999999999999998E-3</v>
      </c>
      <c r="M33" s="9" t="str">
        <f t="shared" si="2"/>
        <v>Sim</v>
      </c>
      <c r="N33" s="16">
        <v>9.0000000000000011E-3</v>
      </c>
      <c r="O33" s="16">
        <v>8.6E-3</v>
      </c>
      <c r="P33" s="16">
        <v>8.1000000000000013E-3</v>
      </c>
      <c r="Q33" s="15">
        <v>648422047.91999996</v>
      </c>
      <c r="R33" s="15">
        <v>616000945.51999998</v>
      </c>
      <c r="S33" s="15">
        <v>583579843.13</v>
      </c>
      <c r="T33" s="9" t="str">
        <f t="shared" si="3"/>
        <v>Abaixo do limite de alerta</v>
      </c>
      <c r="U33" s="9" t="s">
        <v>51</v>
      </c>
    </row>
    <row r="34" spans="1:21" x14ac:dyDescent="0.25">
      <c r="A34" s="9" t="str">
        <f t="shared" ref="A34:A65" si="4">B34&amp;"|"&amp;G34</f>
        <v>Tribunal de Contas dos Municípios|1º quad. 2024</v>
      </c>
      <c r="B34" s="9" t="s">
        <v>22</v>
      </c>
      <c r="C34" s="9" t="s">
        <v>21</v>
      </c>
      <c r="D34" s="9" t="s">
        <v>64</v>
      </c>
      <c r="E34" s="9" t="s">
        <v>49</v>
      </c>
      <c r="F34" s="9">
        <v>1</v>
      </c>
      <c r="G34" s="9" t="s">
        <v>5</v>
      </c>
      <c r="H34" s="9" t="s">
        <v>50</v>
      </c>
      <c r="I34" s="15">
        <v>200389666.63999999</v>
      </c>
      <c r="J34" s="15">
        <v>63057592321.290001</v>
      </c>
      <c r="K34" s="10">
        <f t="shared" ref="K34:K65" si="5">IF(OR(I34="",J34="",J34=0),"",I34/J34)</f>
        <v>3.1778832534388227E-3</v>
      </c>
      <c r="L34" s="16">
        <v>3.2000000000000002E-3</v>
      </c>
      <c r="M34" s="9" t="str">
        <f t="shared" ref="M34:M65" si="6">IF(L34="","Não declarado",IF(K34="","Sem dado",IF(ABS(K34-L34)&lt;=0.00005,"Sim","Não")))</f>
        <v>Sim</v>
      </c>
      <c r="N34" s="16">
        <v>5.6999999999999993E-3</v>
      </c>
      <c r="O34" s="16">
        <v>5.4000000000000003E-3</v>
      </c>
      <c r="P34" s="16">
        <v>5.1000000000000004E-3</v>
      </c>
      <c r="Q34" s="15">
        <v>359428276.23000002</v>
      </c>
      <c r="R34" s="15">
        <v>341456862.42000002</v>
      </c>
      <c r="S34" s="15">
        <v>323485448.61000001</v>
      </c>
      <c r="T34" s="9" t="str">
        <f t="shared" ref="T34:T65" si="7">IF(K34="","Sem dado",IF(N34="","Sem limite próprio na LRF",IF(AND(Q34&lt;&gt;"",R34&lt;&gt;"",S34&lt;&gt;""),IF(I34&gt;Q34,"Acima do limite máximo",IF(I34&gt;R34,"Acima do limite prudencial",IF(I34&gt;S34,"Acima do limite de alerta","Abaixo do limite de alerta"))),IF(K34&gt;N34,"Acima do limite máximo",IF(K34&gt;O34,"Acima do limite prudencial",IF(K34&gt;P34,"Acima do limite de alerta","Abaixo do limite de alerta"))))))</f>
        <v>Abaixo do limite de alerta</v>
      </c>
      <c r="U34" s="9" t="s">
        <v>51</v>
      </c>
    </row>
    <row r="35" spans="1:21" x14ac:dyDescent="0.25">
      <c r="A35" s="9" t="str">
        <f t="shared" si="4"/>
        <v>Tribunal de Contas dos Municípios|2º quad. 2024</v>
      </c>
      <c r="B35" s="9" t="s">
        <v>22</v>
      </c>
      <c r="C35" s="9" t="s">
        <v>21</v>
      </c>
      <c r="D35" s="9" t="s">
        <v>64</v>
      </c>
      <c r="E35" s="9" t="s">
        <v>49</v>
      </c>
      <c r="F35" s="9">
        <v>2</v>
      </c>
      <c r="G35" s="9" t="s">
        <v>6</v>
      </c>
      <c r="H35" s="9" t="s">
        <v>52</v>
      </c>
      <c r="I35" s="15">
        <v>204859916.83000001</v>
      </c>
      <c r="J35" s="15">
        <v>62984452917.169998</v>
      </c>
      <c r="K35" s="10">
        <f t="shared" si="5"/>
        <v>3.2525473722762746E-3</v>
      </c>
      <c r="L35" s="16">
        <v>3.3E-3</v>
      </c>
      <c r="M35" s="9" t="str">
        <f t="shared" si="6"/>
        <v>Sim</v>
      </c>
      <c r="N35" s="16">
        <v>5.6999999999999993E-3</v>
      </c>
      <c r="O35" s="16">
        <v>5.4000000000000003E-3</v>
      </c>
      <c r="P35" s="16">
        <v>5.1000000000000004E-3</v>
      </c>
      <c r="Q35" s="15">
        <v>359011381.63</v>
      </c>
      <c r="R35" s="15">
        <v>341060812.55000001</v>
      </c>
      <c r="S35" s="15">
        <v>323110243.47000003</v>
      </c>
      <c r="T35" s="9" t="str">
        <f t="shared" si="7"/>
        <v>Abaixo do limite de alerta</v>
      </c>
      <c r="U35" s="9" t="s">
        <v>51</v>
      </c>
    </row>
    <row r="36" spans="1:21" x14ac:dyDescent="0.25">
      <c r="A36" s="9" t="str">
        <f t="shared" si="4"/>
        <v>Tribunal de Contas dos Municípios|3º quad. 2024</v>
      </c>
      <c r="B36" s="9" t="s">
        <v>22</v>
      </c>
      <c r="C36" s="9" t="s">
        <v>21</v>
      </c>
      <c r="D36" s="9" t="s">
        <v>64</v>
      </c>
      <c r="E36" s="9" t="s">
        <v>49</v>
      </c>
      <c r="F36" s="9">
        <v>3</v>
      </c>
      <c r="G36" s="9" t="s">
        <v>7</v>
      </c>
      <c r="H36" s="9" t="s">
        <v>53</v>
      </c>
      <c r="I36" s="15">
        <v>210414420.02000001</v>
      </c>
      <c r="J36" s="15">
        <v>64853815964.769997</v>
      </c>
      <c r="K36" s="10">
        <f t="shared" si="5"/>
        <v>3.2444416244419867E-3</v>
      </c>
      <c r="L36" s="16">
        <v>3.2000000000000002E-3</v>
      </c>
      <c r="M36" s="9" t="str">
        <f t="shared" si="6"/>
        <v>Sim</v>
      </c>
      <c r="N36" s="16">
        <v>5.6999999999999993E-3</v>
      </c>
      <c r="O36" s="16">
        <v>5.4000000000000003E-3</v>
      </c>
      <c r="P36" s="16">
        <v>5.1000000000000004E-3</v>
      </c>
      <c r="Q36" s="15">
        <v>369666751</v>
      </c>
      <c r="R36" s="15">
        <v>351183413.44999999</v>
      </c>
      <c r="S36" s="15">
        <v>332700075.89999998</v>
      </c>
      <c r="T36" s="9" t="str">
        <f t="shared" si="7"/>
        <v>Abaixo do limite de alerta</v>
      </c>
      <c r="U36" s="9" t="s">
        <v>51</v>
      </c>
    </row>
    <row r="37" spans="1:21" x14ac:dyDescent="0.25">
      <c r="A37" s="9" t="str">
        <f t="shared" si="4"/>
        <v>Tribunal de Contas dos Municípios|1º quad. 2025</v>
      </c>
      <c r="B37" s="9" t="s">
        <v>22</v>
      </c>
      <c r="C37" s="9" t="s">
        <v>21</v>
      </c>
      <c r="D37" s="9" t="s">
        <v>64</v>
      </c>
      <c r="E37" s="9" t="s">
        <v>54</v>
      </c>
      <c r="F37" s="9">
        <v>1</v>
      </c>
      <c r="G37" s="9" t="s">
        <v>8</v>
      </c>
      <c r="H37" s="9" t="s">
        <v>55</v>
      </c>
      <c r="I37" s="15">
        <v>216992488.78999999</v>
      </c>
      <c r="J37" s="15">
        <v>63814115800.75</v>
      </c>
      <c r="K37" s="10">
        <f t="shared" si="5"/>
        <v>3.4003838502993048E-3</v>
      </c>
      <c r="L37" s="16">
        <v>3.3999999999999998E-3</v>
      </c>
      <c r="M37" s="9" t="str">
        <f t="shared" si="6"/>
        <v>Sim</v>
      </c>
      <c r="N37" s="16">
        <v>5.6999999999999993E-3</v>
      </c>
      <c r="O37" s="16">
        <v>5.4000000000000003E-3</v>
      </c>
      <c r="P37" s="16">
        <v>5.1000000000000004E-3</v>
      </c>
      <c r="Q37" s="15">
        <v>363740460.06</v>
      </c>
      <c r="R37" s="15">
        <v>345553437.06</v>
      </c>
      <c r="S37" s="15">
        <v>327366414.05000001</v>
      </c>
      <c r="T37" s="9" t="str">
        <f t="shared" si="7"/>
        <v>Abaixo do limite de alerta</v>
      </c>
      <c r="U37" s="9" t="s">
        <v>51</v>
      </c>
    </row>
    <row r="38" spans="1:21" x14ac:dyDescent="0.25">
      <c r="A38" s="9" t="str">
        <f t="shared" si="4"/>
        <v>Tribunal de Contas dos Municípios|2º quad. 2025</v>
      </c>
      <c r="B38" s="9" t="s">
        <v>22</v>
      </c>
      <c r="C38" s="9" t="s">
        <v>21</v>
      </c>
      <c r="D38" s="9" t="s">
        <v>64</v>
      </c>
      <c r="E38" s="9" t="s">
        <v>54</v>
      </c>
      <c r="F38" s="9">
        <v>2</v>
      </c>
      <c r="G38" s="9" t="s">
        <v>9</v>
      </c>
      <c r="H38" s="9" t="s">
        <v>56</v>
      </c>
      <c r="I38" s="15">
        <v>221109888.06999999</v>
      </c>
      <c r="J38" s="15">
        <v>65093778301.139999</v>
      </c>
      <c r="K38" s="10">
        <f t="shared" si="5"/>
        <v>3.3967898905344022E-3</v>
      </c>
      <c r="L38" s="16">
        <v>3.3999999999999998E-3</v>
      </c>
      <c r="M38" s="9" t="str">
        <f t="shared" si="6"/>
        <v>Sim</v>
      </c>
      <c r="N38" s="16">
        <v>5.6999999999999993E-3</v>
      </c>
      <c r="O38" s="16">
        <v>5.4000000000000003E-3</v>
      </c>
      <c r="P38" s="16">
        <v>5.1000000000000004E-3</v>
      </c>
      <c r="Q38" s="15">
        <v>371034536.31999999</v>
      </c>
      <c r="R38" s="15">
        <v>352482809.5</v>
      </c>
      <c r="S38" s="15">
        <v>333931082.69</v>
      </c>
      <c r="T38" s="9" t="str">
        <f t="shared" si="7"/>
        <v>Abaixo do limite de alerta</v>
      </c>
      <c r="U38" s="9" t="s">
        <v>51</v>
      </c>
    </row>
    <row r="39" spans="1:21" x14ac:dyDescent="0.25">
      <c r="A39" s="9" t="str">
        <f t="shared" si="4"/>
        <v>Tribunal de Contas dos Municípios|3º quad. 2025</v>
      </c>
      <c r="B39" s="9" t="s">
        <v>22</v>
      </c>
      <c r="C39" s="9" t="s">
        <v>21</v>
      </c>
      <c r="D39" s="9" t="s">
        <v>64</v>
      </c>
      <c r="E39" s="9" t="s">
        <v>54</v>
      </c>
      <c r="F39" s="9">
        <v>3</v>
      </c>
      <c r="G39" s="9" t="s">
        <v>10</v>
      </c>
      <c r="H39" s="9" t="s">
        <v>57</v>
      </c>
      <c r="I39" s="15">
        <v>223057813.34</v>
      </c>
      <c r="J39" s="15">
        <v>68809425557.860001</v>
      </c>
      <c r="K39" s="10">
        <f t="shared" si="5"/>
        <v>3.2416752724150656E-3</v>
      </c>
      <c r="L39" s="16">
        <v>3.2000000000000002E-3</v>
      </c>
      <c r="M39" s="9" t="str">
        <f t="shared" si="6"/>
        <v>Sim</v>
      </c>
      <c r="N39" s="16">
        <v>5.6999999999999993E-3</v>
      </c>
      <c r="O39" s="16">
        <v>5.4000000000000003E-3</v>
      </c>
      <c r="P39" s="16">
        <v>5.1000000000000004E-3</v>
      </c>
      <c r="Q39" s="15">
        <v>392213725.68000001</v>
      </c>
      <c r="R39" s="15">
        <v>372603039.39999998</v>
      </c>
      <c r="S39" s="15">
        <v>352992353.11000001</v>
      </c>
      <c r="T39" s="9" t="str">
        <f t="shared" si="7"/>
        <v>Abaixo do limite de alerta</v>
      </c>
      <c r="U39" s="9" t="s">
        <v>51</v>
      </c>
    </row>
    <row r="40" spans="1:21" x14ac:dyDescent="0.25">
      <c r="A40" s="9" t="str">
        <f t="shared" si="4"/>
        <v>Tribunal de Contas dos Municípios|1º quad. 2026</v>
      </c>
      <c r="B40" s="9" t="s">
        <v>22</v>
      </c>
      <c r="C40" s="9" t="s">
        <v>21</v>
      </c>
      <c r="D40" s="9" t="s">
        <v>64</v>
      </c>
      <c r="E40" s="9" t="s">
        <v>58</v>
      </c>
      <c r="F40" s="9">
        <v>1</v>
      </c>
      <c r="G40" s="9" t="s">
        <v>11</v>
      </c>
      <c r="H40" s="9" t="s">
        <v>59</v>
      </c>
      <c r="I40" s="15">
        <v>224175818.52000001</v>
      </c>
      <c r="J40" s="15">
        <v>70819470550.899994</v>
      </c>
      <c r="K40" s="10">
        <f t="shared" si="5"/>
        <v>3.1654545956945326E-3</v>
      </c>
      <c r="L40" s="16">
        <v>3.2000000000000002E-3</v>
      </c>
      <c r="M40" s="9" t="str">
        <f t="shared" si="6"/>
        <v>Sim</v>
      </c>
      <c r="N40" s="16">
        <v>5.6999999999999993E-3</v>
      </c>
      <c r="O40" s="16">
        <v>5.4000000000000003E-3</v>
      </c>
      <c r="P40" s="16">
        <v>5.1000000000000004E-3</v>
      </c>
      <c r="Q40" s="15">
        <v>403670982.13999999</v>
      </c>
      <c r="R40" s="15">
        <v>383487433.02999997</v>
      </c>
      <c r="S40" s="15">
        <v>363303883.93000001</v>
      </c>
      <c r="T40" s="9" t="str">
        <f t="shared" si="7"/>
        <v>Abaixo do limite de alerta</v>
      </c>
      <c r="U40" s="9" t="s">
        <v>51</v>
      </c>
    </row>
    <row r="41" spans="1:21" x14ac:dyDescent="0.25">
      <c r="A41" s="9" t="str">
        <f t="shared" si="4"/>
        <v>Tribunal de Contas dos Municípios|2º quad. 2026</v>
      </c>
      <c r="B41" s="9" t="s">
        <v>22</v>
      </c>
      <c r="C41" s="9" t="s">
        <v>21</v>
      </c>
      <c r="D41" s="9" t="s">
        <v>64</v>
      </c>
      <c r="E41" s="9" t="s">
        <v>58</v>
      </c>
      <c r="F41" s="9">
        <v>2</v>
      </c>
      <c r="G41" s="9" t="s">
        <v>12</v>
      </c>
      <c r="H41" s="9" t="s">
        <v>60</v>
      </c>
      <c r="I41" s="15">
        <v>228927883.28999999</v>
      </c>
      <c r="J41" s="15">
        <v>72046894213.330002</v>
      </c>
      <c r="K41" s="10">
        <f t="shared" si="5"/>
        <v>3.1774844119185379E-3</v>
      </c>
      <c r="L41" s="16">
        <v>3.2000000000000002E-3</v>
      </c>
      <c r="M41" s="9" t="str">
        <f t="shared" si="6"/>
        <v>Sim</v>
      </c>
      <c r="N41" s="16">
        <v>5.6999999999999993E-3</v>
      </c>
      <c r="O41" s="16">
        <v>5.4000000000000003E-3</v>
      </c>
      <c r="P41" s="16">
        <v>5.1000000000000004E-3</v>
      </c>
      <c r="Q41" s="15">
        <v>410667297.01999998</v>
      </c>
      <c r="R41" s="15">
        <v>390133932.17000002</v>
      </c>
      <c r="S41" s="15">
        <v>369600567.31999999</v>
      </c>
      <c r="T41" s="9" t="str">
        <f t="shared" si="7"/>
        <v>Abaixo do limite de alerta</v>
      </c>
      <c r="U41" s="9" t="s">
        <v>51</v>
      </c>
    </row>
    <row r="42" spans="1:21" x14ac:dyDescent="0.25">
      <c r="A42" s="9" t="str">
        <f t="shared" si="4"/>
        <v>Defensoria Pública|1º quad. 2024</v>
      </c>
      <c r="B42" s="9" t="s">
        <v>23</v>
      </c>
      <c r="C42" s="9" t="s">
        <v>23</v>
      </c>
      <c r="D42" s="9" t="s">
        <v>65</v>
      </c>
      <c r="E42" s="9" t="s">
        <v>49</v>
      </c>
      <c r="F42" s="9">
        <v>1</v>
      </c>
      <c r="G42" s="9" t="s">
        <v>5</v>
      </c>
      <c r="H42" s="9" t="s">
        <v>50</v>
      </c>
      <c r="I42" s="15">
        <v>260049828.15000001</v>
      </c>
      <c r="J42" s="15">
        <v>63057592321.290001</v>
      </c>
      <c r="K42" s="10">
        <f t="shared" si="5"/>
        <v>4.1240050337633958E-3</v>
      </c>
      <c r="L42" s="10"/>
      <c r="M42" s="9" t="str">
        <f t="shared" si="6"/>
        <v>Não declarado</v>
      </c>
      <c r="N42" s="10"/>
      <c r="O42" s="10"/>
      <c r="P42" s="10"/>
      <c r="Q42" s="17"/>
      <c r="R42" s="17"/>
      <c r="S42" s="17"/>
      <c r="T42" s="9" t="str">
        <f t="shared" si="7"/>
        <v>Sem limite próprio na LRF</v>
      </c>
      <c r="U42" s="9" t="s">
        <v>66</v>
      </c>
    </row>
    <row r="43" spans="1:21" x14ac:dyDescent="0.25">
      <c r="A43" s="9" t="str">
        <f t="shared" si="4"/>
        <v>Defensoria Pública|2º quad. 2024</v>
      </c>
      <c r="B43" s="9" t="s">
        <v>23</v>
      </c>
      <c r="C43" s="9" t="s">
        <v>23</v>
      </c>
      <c r="D43" s="9" t="s">
        <v>65</v>
      </c>
      <c r="E43" s="9" t="s">
        <v>49</v>
      </c>
      <c r="F43" s="9">
        <v>2</v>
      </c>
      <c r="G43" s="9" t="s">
        <v>6</v>
      </c>
      <c r="H43" s="9" t="s">
        <v>52</v>
      </c>
      <c r="I43" s="15">
        <v>260874061.59</v>
      </c>
      <c r="J43" s="15">
        <v>62984452917.169998</v>
      </c>
      <c r="K43" s="10">
        <f t="shared" si="5"/>
        <v>4.1418802499256753E-3</v>
      </c>
      <c r="L43" s="10"/>
      <c r="M43" s="9" t="str">
        <f t="shared" si="6"/>
        <v>Não declarado</v>
      </c>
      <c r="N43" s="10"/>
      <c r="O43" s="10"/>
      <c r="P43" s="10"/>
      <c r="Q43" s="17"/>
      <c r="R43" s="17"/>
      <c r="S43" s="17"/>
      <c r="T43" s="9" t="str">
        <f t="shared" si="7"/>
        <v>Sem limite próprio na LRF</v>
      </c>
      <c r="U43" s="9" t="s">
        <v>66</v>
      </c>
    </row>
    <row r="44" spans="1:21" x14ac:dyDescent="0.25">
      <c r="A44" s="9" t="str">
        <f t="shared" si="4"/>
        <v>Defensoria Pública|3º quad. 2024</v>
      </c>
      <c r="B44" s="9" t="s">
        <v>23</v>
      </c>
      <c r="C44" s="9" t="s">
        <v>23</v>
      </c>
      <c r="D44" s="9" t="s">
        <v>65</v>
      </c>
      <c r="E44" s="9" t="s">
        <v>49</v>
      </c>
      <c r="F44" s="9">
        <v>3</v>
      </c>
      <c r="G44" s="9" t="s">
        <v>7</v>
      </c>
      <c r="H44" s="9" t="s">
        <v>53</v>
      </c>
      <c r="I44" s="15">
        <v>273325071.61000001</v>
      </c>
      <c r="J44" s="15">
        <v>64853815964.769997</v>
      </c>
      <c r="K44" s="10">
        <f t="shared" si="5"/>
        <v>4.2144794033164698E-3</v>
      </c>
      <c r="L44" s="10"/>
      <c r="M44" s="9" t="str">
        <f t="shared" si="6"/>
        <v>Não declarado</v>
      </c>
      <c r="N44" s="10"/>
      <c r="O44" s="10"/>
      <c r="P44" s="10"/>
      <c r="Q44" s="17"/>
      <c r="R44" s="17"/>
      <c r="S44" s="17"/>
      <c r="T44" s="9" t="str">
        <f t="shared" si="7"/>
        <v>Sem limite próprio na LRF</v>
      </c>
      <c r="U44" s="9" t="s">
        <v>66</v>
      </c>
    </row>
    <row r="45" spans="1:21" x14ac:dyDescent="0.25">
      <c r="A45" s="9" t="str">
        <f t="shared" si="4"/>
        <v>Defensoria Pública|1º quad. 2025</v>
      </c>
      <c r="B45" s="9" t="s">
        <v>23</v>
      </c>
      <c r="C45" s="9" t="s">
        <v>23</v>
      </c>
      <c r="D45" s="9" t="s">
        <v>65</v>
      </c>
      <c r="E45" s="9" t="s">
        <v>54</v>
      </c>
      <c r="F45" s="9">
        <v>1</v>
      </c>
      <c r="G45" s="9" t="s">
        <v>8</v>
      </c>
      <c r="H45" s="9" t="s">
        <v>55</v>
      </c>
      <c r="I45" s="15">
        <v>293781270.64999998</v>
      </c>
      <c r="J45" s="15">
        <v>63814115800.75</v>
      </c>
      <c r="K45" s="10">
        <f t="shared" si="5"/>
        <v>4.6037035374318731E-3</v>
      </c>
      <c r="L45" s="10"/>
      <c r="M45" s="9" t="str">
        <f t="shared" si="6"/>
        <v>Não declarado</v>
      </c>
      <c r="N45" s="10"/>
      <c r="O45" s="10"/>
      <c r="P45" s="10"/>
      <c r="Q45" s="17"/>
      <c r="R45" s="17"/>
      <c r="S45" s="17"/>
      <c r="T45" s="9" t="str">
        <f t="shared" si="7"/>
        <v>Sem limite próprio na LRF</v>
      </c>
      <c r="U45" s="9" t="s">
        <v>66</v>
      </c>
    </row>
    <row r="46" spans="1:21" x14ac:dyDescent="0.25">
      <c r="A46" s="9" t="str">
        <f t="shared" si="4"/>
        <v>Defensoria Pública|2º quad. 2025</v>
      </c>
      <c r="B46" s="9" t="s">
        <v>23</v>
      </c>
      <c r="C46" s="9" t="s">
        <v>23</v>
      </c>
      <c r="D46" s="9" t="s">
        <v>65</v>
      </c>
      <c r="E46" s="9" t="s">
        <v>54</v>
      </c>
      <c r="F46" s="9">
        <v>2</v>
      </c>
      <c r="G46" s="9" t="s">
        <v>9</v>
      </c>
      <c r="H46" s="9" t="s">
        <v>56</v>
      </c>
      <c r="I46" s="15">
        <v>319024423.94999999</v>
      </c>
      <c r="J46" s="15">
        <v>65093778301.139999</v>
      </c>
      <c r="K46" s="10">
        <f t="shared" si="5"/>
        <v>4.9009971809304675E-3</v>
      </c>
      <c r="L46" s="10"/>
      <c r="M46" s="9" t="str">
        <f t="shared" si="6"/>
        <v>Não declarado</v>
      </c>
      <c r="N46" s="10"/>
      <c r="O46" s="10"/>
      <c r="P46" s="10"/>
      <c r="Q46" s="17"/>
      <c r="R46" s="17"/>
      <c r="S46" s="17"/>
      <c r="T46" s="9" t="str">
        <f t="shared" si="7"/>
        <v>Sem limite próprio na LRF</v>
      </c>
      <c r="U46" s="9" t="s">
        <v>66</v>
      </c>
    </row>
    <row r="47" spans="1:21" x14ac:dyDescent="0.25">
      <c r="A47" s="9" t="str">
        <f t="shared" si="4"/>
        <v>Defensoria Pública|3º quad. 2025</v>
      </c>
      <c r="B47" s="9" t="s">
        <v>23</v>
      </c>
      <c r="C47" s="9" t="s">
        <v>23</v>
      </c>
      <c r="D47" s="9" t="s">
        <v>65</v>
      </c>
      <c r="E47" s="9" t="s">
        <v>54</v>
      </c>
      <c r="F47" s="9">
        <v>3</v>
      </c>
      <c r="G47" s="9" t="s">
        <v>10</v>
      </c>
      <c r="H47" s="9" t="s">
        <v>57</v>
      </c>
      <c r="I47" s="15">
        <v>348539877.26999998</v>
      </c>
      <c r="J47" s="15">
        <v>68809425557.860001</v>
      </c>
      <c r="K47" s="10">
        <f t="shared" si="5"/>
        <v>5.0652926462367012E-3</v>
      </c>
      <c r="L47" s="10"/>
      <c r="M47" s="9" t="str">
        <f t="shared" si="6"/>
        <v>Não declarado</v>
      </c>
      <c r="N47" s="10"/>
      <c r="O47" s="10"/>
      <c r="P47" s="10"/>
      <c r="Q47" s="17"/>
      <c r="R47" s="17"/>
      <c r="S47" s="17"/>
      <c r="T47" s="9" t="str">
        <f t="shared" si="7"/>
        <v>Sem limite próprio na LRF</v>
      </c>
      <c r="U47" s="9" t="s">
        <v>66</v>
      </c>
    </row>
    <row r="48" spans="1:21" x14ac:dyDescent="0.25">
      <c r="A48" s="9" t="str">
        <f t="shared" si="4"/>
        <v>Defensoria Pública|1º quad. 2026</v>
      </c>
      <c r="B48" s="9" t="s">
        <v>23</v>
      </c>
      <c r="C48" s="9" t="s">
        <v>23</v>
      </c>
      <c r="D48" s="9" t="s">
        <v>65</v>
      </c>
      <c r="E48" s="9" t="s">
        <v>58</v>
      </c>
      <c r="F48" s="9">
        <v>1</v>
      </c>
      <c r="G48" s="9" t="s">
        <v>11</v>
      </c>
      <c r="H48" s="9" t="s">
        <v>59</v>
      </c>
      <c r="I48" s="15">
        <v>365147178.25</v>
      </c>
      <c r="J48" s="15">
        <v>70819470550.899994</v>
      </c>
      <c r="K48" s="10">
        <f t="shared" si="5"/>
        <v>5.156028072640817E-3</v>
      </c>
      <c r="L48" s="10"/>
      <c r="M48" s="9" t="str">
        <f t="shared" si="6"/>
        <v>Não declarado</v>
      </c>
      <c r="N48" s="10"/>
      <c r="O48" s="10"/>
      <c r="P48" s="10"/>
      <c r="Q48" s="17"/>
      <c r="R48" s="17"/>
      <c r="S48" s="17"/>
      <c r="T48" s="9" t="str">
        <f t="shared" si="7"/>
        <v>Sem limite próprio na LRF</v>
      </c>
      <c r="U48" s="9" t="s">
        <v>66</v>
      </c>
    </row>
    <row r="49" spans="1:21" x14ac:dyDescent="0.25">
      <c r="A49" s="9" t="str">
        <f t="shared" si="4"/>
        <v>Defensoria Pública|2º quad. 2026</v>
      </c>
      <c r="B49" s="9" t="s">
        <v>23</v>
      </c>
      <c r="C49" s="9" t="s">
        <v>23</v>
      </c>
      <c r="D49" s="9" t="s">
        <v>65</v>
      </c>
      <c r="E49" s="9" t="s">
        <v>58</v>
      </c>
      <c r="F49" s="9">
        <v>2</v>
      </c>
      <c r="G49" s="9" t="s">
        <v>12</v>
      </c>
      <c r="H49" s="9" t="s">
        <v>60</v>
      </c>
      <c r="I49" s="15">
        <v>393798849</v>
      </c>
      <c r="J49" s="15">
        <v>72046894213.330002</v>
      </c>
      <c r="K49" s="10">
        <f t="shared" si="5"/>
        <v>5.4658684916238896E-3</v>
      </c>
      <c r="L49" s="10"/>
      <c r="M49" s="9" t="str">
        <f t="shared" si="6"/>
        <v>Não declarado</v>
      </c>
      <c r="N49" s="10"/>
      <c r="O49" s="10"/>
      <c r="P49" s="10"/>
      <c r="Q49" s="17"/>
      <c r="R49" s="17"/>
      <c r="S49" s="17"/>
      <c r="T49" s="9" t="str">
        <f t="shared" si="7"/>
        <v>Sem limite próprio na LRF</v>
      </c>
      <c r="U49" s="9" t="s">
        <v>66</v>
      </c>
    </row>
    <row r="50" spans="1:21" x14ac:dyDescent="0.25">
      <c r="A50" s="9" t="str">
        <f t="shared" si="4"/>
        <v>Ministério Público|1º quad. 2024</v>
      </c>
      <c r="B50" s="9" t="s">
        <v>24</v>
      </c>
      <c r="C50" s="9" t="s">
        <v>24</v>
      </c>
      <c r="D50" s="9" t="s">
        <v>67</v>
      </c>
      <c r="E50" s="9" t="s">
        <v>49</v>
      </c>
      <c r="F50" s="9">
        <v>1</v>
      </c>
      <c r="G50" s="9" t="s">
        <v>5</v>
      </c>
      <c r="H50" s="9" t="s">
        <v>50</v>
      </c>
      <c r="I50" s="15">
        <v>809800708.35000002</v>
      </c>
      <c r="J50" s="15">
        <v>63057592321.290001</v>
      </c>
      <c r="K50" s="10">
        <f t="shared" si="5"/>
        <v>1.28422395866927E-2</v>
      </c>
      <c r="L50" s="16">
        <v>1.2800000000000001E-2</v>
      </c>
      <c r="M50" s="9" t="str">
        <f t="shared" si="6"/>
        <v>Sim</v>
      </c>
      <c r="N50" s="16">
        <v>0.02</v>
      </c>
      <c r="O50" s="16">
        <v>1.9E-2</v>
      </c>
      <c r="P50" s="16">
        <v>1.7999999999999999E-2</v>
      </c>
      <c r="Q50" s="15">
        <v>1261151846.4300001</v>
      </c>
      <c r="R50" s="15">
        <v>1198094254.1099999</v>
      </c>
      <c r="S50" s="15">
        <v>1135036661.79</v>
      </c>
      <c r="T50" s="9" t="str">
        <f t="shared" si="7"/>
        <v>Abaixo do limite de alerta</v>
      </c>
      <c r="U50" s="9" t="s">
        <v>51</v>
      </c>
    </row>
    <row r="51" spans="1:21" x14ac:dyDescent="0.25">
      <c r="A51" s="9" t="str">
        <f t="shared" si="4"/>
        <v>Ministério Público|2º quad. 2024</v>
      </c>
      <c r="B51" s="9" t="s">
        <v>24</v>
      </c>
      <c r="C51" s="9" t="s">
        <v>24</v>
      </c>
      <c r="D51" s="9" t="s">
        <v>67</v>
      </c>
      <c r="E51" s="9" t="s">
        <v>49</v>
      </c>
      <c r="F51" s="9">
        <v>2</v>
      </c>
      <c r="G51" s="9" t="s">
        <v>6</v>
      </c>
      <c r="H51" s="9" t="s">
        <v>52</v>
      </c>
      <c r="I51" s="15">
        <v>833018837.13</v>
      </c>
      <c r="J51" s="15">
        <v>62984452917.169998</v>
      </c>
      <c r="K51" s="10">
        <f t="shared" si="5"/>
        <v>1.3225785071523791E-2</v>
      </c>
      <c r="L51" s="16">
        <v>1.32E-2</v>
      </c>
      <c r="M51" s="9" t="str">
        <f t="shared" si="6"/>
        <v>Sim</v>
      </c>
      <c r="N51" s="16">
        <v>0.02</v>
      </c>
      <c r="O51" s="16">
        <v>1.9E-2</v>
      </c>
      <c r="P51" s="16">
        <v>1.7999999999999999E-2</v>
      </c>
      <c r="Q51" s="15">
        <v>1259689058.3399999</v>
      </c>
      <c r="R51" s="15">
        <v>1196704605.4200001</v>
      </c>
      <c r="S51" s="15">
        <v>1133720152.51</v>
      </c>
      <c r="T51" s="9" t="str">
        <f t="shared" si="7"/>
        <v>Abaixo do limite de alerta</v>
      </c>
      <c r="U51" s="9" t="s">
        <v>51</v>
      </c>
    </row>
    <row r="52" spans="1:21" x14ac:dyDescent="0.25">
      <c r="A52" s="9" t="str">
        <f t="shared" si="4"/>
        <v>Ministério Público|3º quad. 2024</v>
      </c>
      <c r="B52" s="9" t="s">
        <v>24</v>
      </c>
      <c r="C52" s="9" t="s">
        <v>24</v>
      </c>
      <c r="D52" s="9" t="s">
        <v>67</v>
      </c>
      <c r="E52" s="9" t="s">
        <v>49</v>
      </c>
      <c r="F52" s="9">
        <v>3</v>
      </c>
      <c r="G52" s="9" t="s">
        <v>7</v>
      </c>
      <c r="H52" s="9" t="s">
        <v>53</v>
      </c>
      <c r="I52" s="15">
        <v>876344444.74000001</v>
      </c>
      <c r="J52" s="15">
        <v>64853815964.769997</v>
      </c>
      <c r="K52" s="10">
        <f t="shared" si="5"/>
        <v>1.3512611890348124E-2</v>
      </c>
      <c r="L52" s="16">
        <v>1.35E-2</v>
      </c>
      <c r="M52" s="9" t="str">
        <f t="shared" si="6"/>
        <v>Sim</v>
      </c>
      <c r="N52" s="16">
        <v>0.02</v>
      </c>
      <c r="O52" s="16">
        <v>1.9E-2</v>
      </c>
      <c r="P52" s="16">
        <v>1.7999999999999999E-2</v>
      </c>
      <c r="Q52" s="15">
        <v>1297076319.3</v>
      </c>
      <c r="R52" s="15">
        <v>1232222503.3399999</v>
      </c>
      <c r="S52" s="15">
        <v>1167368687.3699999</v>
      </c>
      <c r="T52" s="9" t="str">
        <f t="shared" si="7"/>
        <v>Abaixo do limite de alerta</v>
      </c>
      <c r="U52" s="9" t="s">
        <v>51</v>
      </c>
    </row>
    <row r="53" spans="1:21" x14ac:dyDescent="0.25">
      <c r="A53" s="9" t="str">
        <f t="shared" si="4"/>
        <v>Ministério Público|1º quad. 2025</v>
      </c>
      <c r="B53" s="9" t="s">
        <v>24</v>
      </c>
      <c r="C53" s="9" t="s">
        <v>24</v>
      </c>
      <c r="D53" s="9" t="s">
        <v>67</v>
      </c>
      <c r="E53" s="9" t="s">
        <v>54</v>
      </c>
      <c r="F53" s="9">
        <v>1</v>
      </c>
      <c r="G53" s="9" t="s">
        <v>8</v>
      </c>
      <c r="H53" s="9" t="s">
        <v>55</v>
      </c>
      <c r="I53" s="15">
        <v>917829269.80999994</v>
      </c>
      <c r="J53" s="15">
        <v>63814115800.75</v>
      </c>
      <c r="K53" s="10">
        <f t="shared" si="5"/>
        <v>1.438285649331543E-2</v>
      </c>
      <c r="L53" s="16">
        <v>1.44E-2</v>
      </c>
      <c r="M53" s="9" t="str">
        <f t="shared" si="6"/>
        <v>Sim</v>
      </c>
      <c r="N53" s="16">
        <v>0.02</v>
      </c>
      <c r="O53" s="16">
        <v>1.9E-2</v>
      </c>
      <c r="P53" s="16">
        <v>1.7999999999999999E-2</v>
      </c>
      <c r="Q53" s="15">
        <v>1276282316.02</v>
      </c>
      <c r="R53" s="15">
        <v>1212468200.22</v>
      </c>
      <c r="S53" s="15">
        <v>1148654084.4200001</v>
      </c>
      <c r="T53" s="9" t="str">
        <f t="shared" si="7"/>
        <v>Abaixo do limite de alerta</v>
      </c>
      <c r="U53" s="9" t="s">
        <v>51</v>
      </c>
    </row>
    <row r="54" spans="1:21" x14ac:dyDescent="0.25">
      <c r="A54" s="9" t="str">
        <f t="shared" si="4"/>
        <v>Ministério Público|2º quad. 2025</v>
      </c>
      <c r="B54" s="9" t="s">
        <v>24</v>
      </c>
      <c r="C54" s="9" t="s">
        <v>24</v>
      </c>
      <c r="D54" s="9" t="s">
        <v>67</v>
      </c>
      <c r="E54" s="9" t="s">
        <v>54</v>
      </c>
      <c r="F54" s="9">
        <v>2</v>
      </c>
      <c r="G54" s="9" t="s">
        <v>9</v>
      </c>
      <c r="H54" s="9" t="s">
        <v>56</v>
      </c>
      <c r="I54" s="15">
        <v>935978494.75999999</v>
      </c>
      <c r="J54" s="15">
        <v>65093778301.139999</v>
      </c>
      <c r="K54" s="10">
        <f t="shared" si="5"/>
        <v>1.4378924056765162E-2</v>
      </c>
      <c r="L54" s="16">
        <v>1.44E-2</v>
      </c>
      <c r="M54" s="9" t="str">
        <f t="shared" si="6"/>
        <v>Sim</v>
      </c>
      <c r="N54" s="16">
        <v>0.02</v>
      </c>
      <c r="O54" s="16">
        <v>1.9E-2</v>
      </c>
      <c r="P54" s="16">
        <v>1.7999999999999999E-2</v>
      </c>
      <c r="Q54" s="15">
        <v>1301875566.02</v>
      </c>
      <c r="R54" s="15">
        <v>1236781787.72</v>
      </c>
      <c r="S54" s="15">
        <v>1171688009.4200001</v>
      </c>
      <c r="T54" s="9" t="str">
        <f t="shared" si="7"/>
        <v>Abaixo do limite de alerta</v>
      </c>
      <c r="U54" s="9" t="s">
        <v>51</v>
      </c>
    </row>
    <row r="55" spans="1:21" x14ac:dyDescent="0.25">
      <c r="A55" s="9" t="str">
        <f t="shared" si="4"/>
        <v>Ministério Público|3º quad. 2025</v>
      </c>
      <c r="B55" s="9" t="s">
        <v>24</v>
      </c>
      <c r="C55" s="9" t="s">
        <v>24</v>
      </c>
      <c r="D55" s="9" t="s">
        <v>67</v>
      </c>
      <c r="E55" s="9" t="s">
        <v>54</v>
      </c>
      <c r="F55" s="9">
        <v>3</v>
      </c>
      <c r="G55" s="9" t="s">
        <v>10</v>
      </c>
      <c r="H55" s="9" t="s">
        <v>57</v>
      </c>
      <c r="I55" s="15">
        <v>1067498373.77</v>
      </c>
      <c r="J55" s="15">
        <v>68809425557.860001</v>
      </c>
      <c r="K55" s="10">
        <f t="shared" si="5"/>
        <v>1.5513839348540545E-2</v>
      </c>
      <c r="L55" s="16">
        <v>1.55E-2</v>
      </c>
      <c r="M55" s="9" t="str">
        <f t="shared" si="6"/>
        <v>Sim</v>
      </c>
      <c r="N55" s="16">
        <v>0.02</v>
      </c>
      <c r="O55" s="16">
        <v>1.9E-2</v>
      </c>
      <c r="P55" s="16">
        <v>1.7999999999999999E-2</v>
      </c>
      <c r="Q55" s="15">
        <v>1376188511.1600001</v>
      </c>
      <c r="R55" s="15">
        <v>1307379085.5999999</v>
      </c>
      <c r="S55" s="15">
        <v>1238569660.04</v>
      </c>
      <c r="T55" s="9" t="str">
        <f t="shared" si="7"/>
        <v>Abaixo do limite de alerta</v>
      </c>
      <c r="U55" s="9" t="s">
        <v>51</v>
      </c>
    </row>
    <row r="56" spans="1:21" x14ac:dyDescent="0.25">
      <c r="A56" s="9" t="str">
        <f t="shared" si="4"/>
        <v>Ministério Público|1º quad. 2026</v>
      </c>
      <c r="B56" s="9" t="s">
        <v>24</v>
      </c>
      <c r="C56" s="9" t="s">
        <v>24</v>
      </c>
      <c r="D56" s="9" t="s">
        <v>67</v>
      </c>
      <c r="E56" s="9" t="s">
        <v>58</v>
      </c>
      <c r="F56" s="9">
        <v>1</v>
      </c>
      <c r="G56" s="9" t="s">
        <v>11</v>
      </c>
      <c r="H56" s="9" t="s">
        <v>59</v>
      </c>
      <c r="I56" s="15">
        <v>1148523318.76</v>
      </c>
      <c r="J56" s="15">
        <v>70819470550.899994</v>
      </c>
      <c r="K56" s="10">
        <f t="shared" si="5"/>
        <v>1.621762080153541E-2</v>
      </c>
      <c r="L56" s="16">
        <v>1.6199999999999999E-2</v>
      </c>
      <c r="M56" s="9" t="str">
        <f t="shared" si="6"/>
        <v>Sim</v>
      </c>
      <c r="N56" s="16">
        <v>0.02</v>
      </c>
      <c r="O56" s="16">
        <v>1.9E-2</v>
      </c>
      <c r="P56" s="16">
        <v>1.7999999999999999E-2</v>
      </c>
      <c r="Q56" s="15">
        <v>1416389411.02</v>
      </c>
      <c r="R56" s="15">
        <v>1345569940.47</v>
      </c>
      <c r="S56" s="15">
        <v>1274750469.9200001</v>
      </c>
      <c r="T56" s="9" t="str">
        <f t="shared" si="7"/>
        <v>Abaixo do limite de alerta</v>
      </c>
      <c r="U56" s="9" t="s">
        <v>51</v>
      </c>
    </row>
    <row r="57" spans="1:21" x14ac:dyDescent="0.25">
      <c r="A57" s="9" t="str">
        <f t="shared" si="4"/>
        <v>Ministério Público|2º quad. 2026</v>
      </c>
      <c r="B57" s="9" t="s">
        <v>24</v>
      </c>
      <c r="C57" s="9" t="s">
        <v>24</v>
      </c>
      <c r="D57" s="9" t="s">
        <v>67</v>
      </c>
      <c r="E57" s="9" t="s">
        <v>58</v>
      </c>
      <c r="F57" s="9">
        <v>2</v>
      </c>
      <c r="G57" s="9" t="s">
        <v>12</v>
      </c>
      <c r="H57" s="9" t="s">
        <v>60</v>
      </c>
      <c r="I57" s="15">
        <v>1211341116.21</v>
      </c>
      <c r="J57" s="15">
        <v>72046894213.330002</v>
      </c>
      <c r="K57" s="10">
        <f t="shared" si="5"/>
        <v>1.6813231568639633E-2</v>
      </c>
      <c r="L57" s="16">
        <v>1.6799999999999999E-2</v>
      </c>
      <c r="M57" s="9" t="str">
        <f t="shared" si="6"/>
        <v>Sim</v>
      </c>
      <c r="N57" s="16">
        <v>0.02</v>
      </c>
      <c r="O57" s="16">
        <v>1.9E-2</v>
      </c>
      <c r="P57" s="16">
        <v>1.7999999999999999E-2</v>
      </c>
      <c r="Q57" s="15">
        <v>1440937884.27</v>
      </c>
      <c r="R57" s="15">
        <v>1368890990.0599999</v>
      </c>
      <c r="S57" s="15">
        <v>1296844095.8399999</v>
      </c>
      <c r="T57" s="9" t="str">
        <f t="shared" si="7"/>
        <v>Abaixo do limite de alerta</v>
      </c>
      <c r="U57" s="9" t="s">
        <v>51</v>
      </c>
    </row>
  </sheetData>
  <autoFilter ref="A1:U57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68</v>
      </c>
    </row>
    <row r="3" spans="1:2" ht="30" customHeight="1" x14ac:dyDescent="0.25">
      <c r="A3" s="18" t="s">
        <v>69</v>
      </c>
      <c r="B3" s="19" t="s">
        <v>70</v>
      </c>
    </row>
    <row r="4" spans="1:2" ht="15" customHeight="1" x14ac:dyDescent="0.25">
      <c r="A4" s="18" t="s">
        <v>71</v>
      </c>
      <c r="B4" s="19" t="s">
        <v>72</v>
      </c>
    </row>
    <row r="5" spans="1:2" ht="30" customHeight="1" x14ac:dyDescent="0.25">
      <c r="A5" s="18" t="s">
        <v>73</v>
      </c>
      <c r="B5" s="19" t="s">
        <v>74</v>
      </c>
    </row>
    <row r="6" spans="1:2" ht="30" customHeight="1" x14ac:dyDescent="0.25">
      <c r="A6" s="18" t="s">
        <v>75</v>
      </c>
      <c r="B6" s="19" t="s">
        <v>76</v>
      </c>
    </row>
    <row r="7" spans="1:2" ht="30" customHeight="1" x14ac:dyDescent="0.25">
      <c r="A7" s="18" t="s">
        <v>77</v>
      </c>
      <c r="B7" s="19" t="s">
        <v>78</v>
      </c>
    </row>
    <row r="8" spans="1:2" ht="60" customHeight="1" x14ac:dyDescent="0.25">
      <c r="A8" s="18" t="s">
        <v>79</v>
      </c>
      <c r="B8" s="19" t="s">
        <v>80</v>
      </c>
    </row>
    <row r="9" spans="1:2" ht="45" customHeight="1" x14ac:dyDescent="0.25">
      <c r="A9" s="18" t="s">
        <v>81</v>
      </c>
      <c r="B9" s="19" t="s">
        <v>82</v>
      </c>
    </row>
    <row r="10" spans="1:2" ht="15" customHeight="1" x14ac:dyDescent="0.25">
      <c r="A10" s="18" t="s">
        <v>83</v>
      </c>
      <c r="B10" s="19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2026-10-15T10:08:05Z</dcterms:created>
  <dcterms:modified xsi:type="dcterms:W3CDTF">2026-10-15T10:08:27Z</dcterms:modified>
</cp:coreProperties>
</file>