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F890FF3FE2C77CCFA5F72473A4C8551FB78550EB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I19" i="1"/>
  <c r="H16" i="1"/>
  <c r="G16" i="1"/>
  <c r="F16" i="1"/>
  <c r="E16" i="1"/>
  <c r="D16" i="1"/>
  <c r="C16" i="1"/>
  <c r="H12" i="1"/>
  <c r="G12" i="1"/>
  <c r="F12" i="1"/>
  <c r="E12" i="1"/>
  <c r="D12" i="1"/>
  <c r="C12" i="1"/>
  <c r="J7" i="1"/>
  <c r="H6" i="1"/>
  <c r="G6" i="1"/>
  <c r="F6" i="1"/>
  <c r="E6" i="1"/>
  <c r="D6" i="1"/>
  <c r="C6" i="1"/>
  <c r="D11" i="1" l="1"/>
  <c r="M43" i="2"/>
  <c r="T43" i="2"/>
  <c r="M30" i="2"/>
  <c r="T30" i="2"/>
  <c r="M24" i="2"/>
  <c r="T24" i="2"/>
  <c r="T11" i="2"/>
  <c r="M11" i="2"/>
  <c r="J19" i="1"/>
  <c r="D19" i="1"/>
  <c r="I18" i="1"/>
  <c r="G18" i="1"/>
  <c r="E18" i="1"/>
  <c r="C18" i="1"/>
  <c r="H17" i="1"/>
  <c r="F17" i="1"/>
  <c r="C17" i="1"/>
  <c r="I16" i="1"/>
  <c r="D10" i="1"/>
  <c r="K8" i="1"/>
  <c r="H8" i="1"/>
  <c r="F8" i="1"/>
  <c r="K7" i="1"/>
  <c r="H7" i="1"/>
  <c r="F7" i="1"/>
  <c r="D7" i="1"/>
  <c r="K6" i="1"/>
  <c r="I6" i="1"/>
  <c r="I10" i="1"/>
  <c r="G10" i="1"/>
  <c r="J9" i="1"/>
  <c r="G9" i="1"/>
  <c r="D9" i="1"/>
  <c r="I8" i="1"/>
  <c r="D8" i="1"/>
  <c r="I17" i="1"/>
  <c r="G7" i="1"/>
  <c r="C20" i="1"/>
  <c r="H19" i="1"/>
  <c r="G19" i="1"/>
  <c r="F19" i="1"/>
  <c r="E19" i="1"/>
  <c r="C19" i="1"/>
  <c r="H18" i="1"/>
  <c r="F18" i="1"/>
  <c r="D18" i="1"/>
  <c r="I9" i="1"/>
  <c r="G17" i="1"/>
  <c r="D17" i="1"/>
  <c r="J16" i="1"/>
  <c r="K11" i="1"/>
  <c r="I11" i="1"/>
  <c r="G11" i="1"/>
  <c r="E11" i="1"/>
  <c r="H10" i="1"/>
  <c r="E10" i="1"/>
  <c r="K9" i="1"/>
  <c r="H9" i="1"/>
  <c r="F9" i="1"/>
  <c r="E9" i="1"/>
  <c r="C9" i="1"/>
  <c r="J8" i="1"/>
  <c r="G8" i="1"/>
  <c r="E8" i="1"/>
  <c r="C8" i="1"/>
  <c r="I7" i="1"/>
  <c r="E7" i="1"/>
  <c r="C7" i="1"/>
  <c r="J6" i="1"/>
  <c r="J18" i="1"/>
  <c r="E17" i="1"/>
  <c r="J12" i="1"/>
  <c r="I12" i="1"/>
  <c r="H11" i="1"/>
  <c r="F11" i="1"/>
  <c r="J10" i="1"/>
  <c r="F10" i="1"/>
  <c r="C10" i="1"/>
  <c r="J17" i="1"/>
  <c r="J11" i="1"/>
  <c r="E21" i="1"/>
  <c r="C21" i="1"/>
  <c r="I20" i="1"/>
  <c r="H20" i="1"/>
  <c r="G20" i="1"/>
  <c r="F20" i="1"/>
  <c r="D20" i="1"/>
  <c r="D21" i="1"/>
  <c r="J20" i="1"/>
  <c r="E20" i="1"/>
  <c r="J21" i="1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T33" i="2"/>
  <c r="L9" i="1" s="1"/>
  <c r="M33" i="2"/>
  <c r="T32" i="2"/>
  <c r="M32" i="2"/>
  <c r="T31" i="2"/>
  <c r="M31" i="2"/>
  <c r="T29" i="2"/>
  <c r="M29" i="2"/>
  <c r="T28" i="2"/>
  <c r="M28" i="2"/>
  <c r="T27" i="2"/>
  <c r="M27" i="2"/>
  <c r="T26" i="2"/>
  <c r="M26" i="2"/>
  <c r="T25" i="2"/>
  <c r="L8" i="1" s="1"/>
  <c r="M25" i="2"/>
  <c r="G21" i="1"/>
  <c r="K10" i="1"/>
  <c r="H21" i="1"/>
  <c r="C11" i="1"/>
  <c r="L10" i="1"/>
  <c r="F21" i="1"/>
  <c r="I21" i="1"/>
  <c r="T23" i="2"/>
  <c r="M23" i="2"/>
  <c r="T22" i="2"/>
  <c r="M22" i="2"/>
  <c r="T21" i="2"/>
  <c r="M21" i="2"/>
  <c r="T20" i="2"/>
  <c r="M20" i="2"/>
  <c r="T19" i="2"/>
  <c r="M19" i="2"/>
  <c r="T18" i="2"/>
  <c r="M18" i="2"/>
  <c r="T17" i="2"/>
  <c r="L7" i="1" s="1"/>
  <c r="M17" i="2"/>
  <c r="T16" i="2"/>
  <c r="M16" i="2"/>
  <c r="T15" i="2"/>
  <c r="M15" i="2"/>
  <c r="M14" i="2"/>
  <c r="T14" i="2"/>
  <c r="M13" i="2"/>
  <c r="T13" i="2"/>
  <c r="T12" i="2"/>
  <c r="M12" i="2"/>
  <c r="T10" i="2"/>
  <c r="M10" i="2"/>
  <c r="T9" i="2"/>
  <c r="L6" i="1" s="1"/>
  <c r="M9" i="2"/>
  <c r="T8" i="2"/>
  <c r="M8" i="2"/>
  <c r="T7" i="2"/>
  <c r="M7" i="2"/>
  <c r="T6" i="2"/>
  <c r="M6" i="2"/>
  <c r="M5" i="2"/>
  <c r="T5" i="2"/>
  <c r="M4" i="2"/>
  <c r="T4" i="2"/>
  <c r="T3" i="2"/>
  <c r="M3" i="2"/>
  <c r="M2" i="2"/>
  <c r="T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<sst xmlns="http://schemas.openxmlformats.org/spreadsheetml/2006/main" count="427" uniqueCount="83">
  <si>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Tocantins (TO)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</si>
  <si>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</si>
  <si>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</si>
  <si>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</si>
  <si>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</si>
  <si>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</si>
  <si>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</si>
  <si>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</si>
  <si>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</si>
  <si>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</si>
  <si>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</si>
  <si>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</si>
  <si>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</si>
  <si>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</si>
  <si>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</si>
  <si>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</si>
  <si>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</si>
  <si>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</si>
  <si>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</si>
  <si>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</si>
  <si>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</si>
  <si>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</si>
  <si>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</si>
  <si>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</si>
  <si>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</si>
  <si>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</si>
  <si>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</si>
  <si>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</si>
  <si>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</si>
  <si>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</si>
  <si>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</si>
  <si>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</si>
  <si>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</si>
  <si>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</si>
  <si>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</si>
  <si>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</si>
  <si>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</si>
  <si>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</si>
  <si>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</si>
  <si>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</si>
  <si>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</si>
  <si>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</si>
  <si>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</si>
  <si>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</si>
  <si>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</si>
  <si>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</si>
  <si>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</si>
  <si>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do Tocantins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</si>
  <si>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</si>
  <si>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</si>
  <si>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</si>
  <si>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</si>
  <si>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</si>
  <si>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</si>
  <si>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</si>
  <si>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</si>
  <si>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</si>
  <si>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</si>
  <si>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</si>
  <si>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</si>
  <si>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do Tocantins</t>
  </si>
  <si>
    <t>Tribunal de Justiça do Estado do Tocantins</t>
  </si>
  <si>
    <t>Tribunal de Contas do Estado do Tocantins</t>
  </si>
  <si>
    <t>Defensoria Pública do Estado do Tocantins</t>
  </si>
  <si>
    <t>Calculado (despesa líquida / RCL Ajustada do Executivo)</t>
  </si>
  <si>
    <t>Ministério Público do Estado do Tocantins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</si>
  <si>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</si>
  <si>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</si>
  <si>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</si>
  <si>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</si>
  <si>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Tocantins (TO).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</si>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</sst>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0.458900633553809</v>
      </c>
      <c r="D6" s="7">
        <f>IFERROR(IF(INDEX(Dados!$K$2:$K$49,MATCH($A6&amp;"|"&amp;D$5,Dados!$A$2:$A$49,0))="","",INDEX(Dados!$K$2:$K$49,MATCH($A6&amp;"|"&amp;D$5,Dados!$A$2:$A$49,0))),"")</f>
        <v>0.4671120473599511</v>
      </c>
      <c r="E6" s="7">
        <f>IFERROR(IF(INDEX(Dados!$K$2:$K$49,MATCH($A6&amp;"|"&amp;E$5,Dados!$A$2:$A$49,0))="","",INDEX(Dados!$K$2:$K$49,MATCH($A6&amp;"|"&amp;E$5,Dados!$A$2:$A$49,0))),"")</f>
        <v>0.46316531175517889</v>
      </c>
      <c r="F6" s="7">
        <f>IFERROR(IF(INDEX(Dados!$K$2:$K$49,MATCH($A6&amp;"|"&amp;F$5,Dados!$A$2:$A$49,0))="","",INDEX(Dados!$K$2:$K$49,MATCH($A6&amp;"|"&amp;F$5,Dados!$A$2:$A$49,0))),"")</f>
        <v>0.46637345990275264</v>
      </c>
      <c r="G6" s="7">
        <f>IFERROR(IF(INDEX(Dados!$K$2:$K$49,MATCH($A6&amp;"|"&amp;G$5,Dados!$A$2:$A$49,0))="","",INDEX(Dados!$K$2:$K$49,MATCH($A6&amp;"|"&amp;G$5,Dados!$A$2:$A$49,0))),"")</f>
        <v>0.45694950731715395</v>
      </c>
      <c r="H6" s="7">
        <f>IFERROR(IF(INDEX(Dados!$K$2:$K$49,MATCH($A6&amp;"|"&amp;H$5,Dados!$A$2:$A$49,0))="","",INDEX(Dados!$K$2:$K$49,MATCH($A6&amp;"|"&amp;H$5,Dados!$A$2:$A$49,0))),"")</f>
        <v>0.44311918632020553</v>
      </c>
      <c r="I6" s="7">
        <f>IFERROR(IF(INDEX(Dados!$K$2:$K$49,MATCH($A6&amp;"|"&amp;I$5,Dados!$A$2:$A$49,0))="","",INDEX(Dados!$K$2:$K$49,MATCH($A6&amp;"|"&amp;I$5,Dados!$A$2:$A$49,0))),"")</f>
        <v>0.44684371409886736</v>
      </c>
      <c r="J6" s="7">
        <f>IFERROR(IF(INDEX(Dados!$K$2:$K$49,MATCH($A6&amp;"|"&amp;J$5,Dados!$A$2:$A$49,0))="","",INDEX(Dados!$K$2:$K$49,MATCH($A6&amp;"|"&amp;J$5,Dados!$A$2:$A$49,0))),"")</f>
        <v>0.45625875654749432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Acima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1.5707910529808997E-2</v>
      </c>
      <c r="D7" s="10">
        <f>IFERROR(IF(INDEX(Dados!$K$2:$K$49,MATCH($A7&amp;"|"&amp;D$5,Dados!$A$2:$A$49,0))="","",INDEX(Dados!$K$2:$K$49,MATCH($A7&amp;"|"&amp;D$5,Dados!$A$2:$A$49,0))),"")</f>
        <v>1.5100742224422715E-2</v>
      </c>
      <c r="E7" s="10">
        <f>IFERROR(IF(INDEX(Dados!$K$2:$K$49,MATCH($A7&amp;"|"&amp;E$5,Dados!$A$2:$A$49,0))="","",INDEX(Dados!$K$2:$K$49,MATCH($A7&amp;"|"&amp;E$5,Dados!$A$2:$A$49,0))),"")</f>
        <v>1.4688280016731862E-2</v>
      </c>
      <c r="F7" s="10">
        <f>IFERROR(IF(INDEX(Dados!$K$2:$K$49,MATCH($A7&amp;"|"&amp;F$5,Dados!$A$2:$A$49,0))="","",INDEX(Dados!$K$2:$K$49,MATCH($A7&amp;"|"&amp;F$5,Dados!$A$2:$A$49,0))),"")</f>
        <v>1.4394713702122443E-2</v>
      </c>
      <c r="G7" s="10">
        <f>IFERROR(IF(INDEX(Dados!$K$2:$K$49,MATCH($A7&amp;"|"&amp;G$5,Dados!$A$2:$A$49,0))="","",INDEX(Dados!$K$2:$K$49,MATCH($A7&amp;"|"&amp;G$5,Dados!$A$2:$A$49,0))),"")</f>
        <v>1.4466552692698103E-2</v>
      </c>
      <c r="H7" s="10">
        <f>IFERROR(IF(INDEX(Dados!$K$2:$K$49,MATCH($A7&amp;"|"&amp;H$5,Dados!$A$2:$A$49,0))="","",INDEX(Dados!$K$2:$K$49,MATCH($A7&amp;"|"&amp;H$5,Dados!$A$2:$A$49,0))),"")</f>
        <v>1.4531918658286579E-2</v>
      </c>
      <c r="I7" s="10">
        <f>IFERROR(IF(INDEX(Dados!$K$2:$K$49,MATCH($A7&amp;"|"&amp;I$5,Dados!$A$2:$A$49,0))="","",INDEX(Dados!$K$2:$K$49,MATCH($A7&amp;"|"&amp;I$5,Dados!$A$2:$A$49,0))),"")</f>
        <v>1.4716221114808626E-2</v>
      </c>
      <c r="J7" s="10">
        <f>IFERROR(IF(INDEX(Dados!$K$2:$K$49,MATCH($A7&amp;"|"&amp;J$5,Dados!$A$2:$A$49,0))="","",INDEX(Dados!$K$2:$K$49,MATCH($A7&amp;"|"&amp;J$5,Dados!$A$2:$A$49,0))),"")</f>
        <v>1.4687666174336336E-2</v>
      </c>
      <c r="K7" s="10">
        <f>IFERROR(IF(INDEX(Dados!$N$2:$N$49,MATCH($A7&amp;"|"&amp;J$5,Dados!$A$2:$A$49,0))=0,"—",INDEX(Dados!$N$2:$N$49,MATCH($A7&amp;"|"&amp;J$5,Dados!$A$2:$A$49,0))),"—")</f>
        <v>1.77E-2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3.9833074745218029E-2</v>
      </c>
      <c r="D8" s="10">
        <f>IFERROR(IF(INDEX(Dados!$K$2:$K$49,MATCH($A8&amp;"|"&amp;D$5,Dados!$A$2:$A$49,0))="","",INDEX(Dados!$K$2:$K$49,MATCH($A8&amp;"|"&amp;D$5,Dados!$A$2:$A$49,0))),"")</f>
        <v>3.9073634721458965E-2</v>
      </c>
      <c r="E8" s="10">
        <f>IFERROR(IF(INDEX(Dados!$K$2:$K$49,MATCH($A8&amp;"|"&amp;E$5,Dados!$A$2:$A$49,0))="","",INDEX(Dados!$K$2:$K$49,MATCH($A8&amp;"|"&amp;E$5,Dados!$A$2:$A$49,0))),"")</f>
        <v>3.9416134742891913E-2</v>
      </c>
      <c r="F8" s="10">
        <f>IFERROR(IF(INDEX(Dados!$K$2:$K$49,MATCH($A8&amp;"|"&amp;F$5,Dados!$A$2:$A$49,0))="","",INDEX(Dados!$K$2:$K$49,MATCH($A8&amp;"|"&amp;F$5,Dados!$A$2:$A$49,0))),"")</f>
        <v>4.0180086611021452E-2</v>
      </c>
      <c r="G8" s="10">
        <f>IFERROR(IF(INDEX(Dados!$K$2:$K$49,MATCH($A8&amp;"|"&amp;G$5,Dados!$A$2:$A$49,0))="","",INDEX(Dados!$K$2:$K$49,MATCH($A8&amp;"|"&amp;G$5,Dados!$A$2:$A$49,0))),"")</f>
        <v>4.2014346088522295E-2</v>
      </c>
      <c r="H8" s="10">
        <f>IFERROR(IF(INDEX(Dados!$K$2:$K$49,MATCH($A8&amp;"|"&amp;H$5,Dados!$A$2:$A$49,0))="","",INDEX(Dados!$K$2:$K$49,MATCH($A8&amp;"|"&amp;H$5,Dados!$A$2:$A$49,0))),"")</f>
        <v>4.382826913946232E-2</v>
      </c>
      <c r="I8" s="10">
        <f>IFERROR(IF(INDEX(Dados!$K$2:$K$49,MATCH($A8&amp;"|"&amp;I$5,Dados!$A$2:$A$49,0))="","",INDEX(Dados!$K$2:$K$49,MATCH($A8&amp;"|"&amp;I$5,Dados!$A$2:$A$49,0))),"")</f>
        <v>4.6018645499896239E-2</v>
      </c>
      <c r="J8" s="10">
        <f>IFERROR(IF(INDEX(Dados!$K$2:$K$49,MATCH($A8&amp;"|"&amp;J$5,Dados!$A$2:$A$49,0))="","",INDEX(Dados!$K$2:$K$49,MATCH($A8&amp;"|"&amp;J$5,Dados!$A$2:$A$49,0))),"")</f>
        <v>4.6267133778523831E-2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1.1222023709234592E-2</v>
      </c>
      <c r="D9" s="10">
        <f>IFERROR(IF(INDEX(Dados!$K$2:$K$49,MATCH($A9&amp;"|"&amp;D$5,Dados!$A$2:$A$49,0))="","",INDEX(Dados!$K$2:$K$49,MATCH($A9&amp;"|"&amp;D$5,Dados!$A$2:$A$49,0))),"")</f>
        <v>1.0631092465646254E-2</v>
      </c>
      <c r="E9" s="10">
        <f>IFERROR(IF(INDEX(Dados!$K$2:$K$49,MATCH($A9&amp;"|"&amp;E$5,Dados!$A$2:$A$49,0))="","",INDEX(Dados!$K$2:$K$49,MATCH($A9&amp;"|"&amp;E$5,Dados!$A$2:$A$49,0))),"")</f>
        <v>1.0453282595786883E-2</v>
      </c>
      <c r="F9" s="10">
        <f>IFERROR(IF(INDEX(Dados!$K$2:$K$49,MATCH($A9&amp;"|"&amp;F$5,Dados!$A$2:$A$49,0))="","",INDEX(Dados!$K$2:$K$49,MATCH($A9&amp;"|"&amp;F$5,Dados!$A$2:$A$49,0))),"")</f>
        <v>1.0478803554936508E-2</v>
      </c>
      <c r="G9" s="10">
        <f>IFERROR(IF(INDEX(Dados!$K$2:$K$49,MATCH($A9&amp;"|"&amp;G$5,Dados!$A$2:$A$49,0))="","",INDEX(Dados!$K$2:$K$49,MATCH($A9&amp;"|"&amp;G$5,Dados!$A$2:$A$49,0))),"")</f>
        <v>1.0423468946274037E-2</v>
      </c>
      <c r="H9" s="10">
        <f>IFERROR(IF(INDEX(Dados!$K$2:$K$49,MATCH($A9&amp;"|"&amp;H$5,Dados!$A$2:$A$49,0))="","",INDEX(Dados!$K$2:$K$49,MATCH($A9&amp;"|"&amp;H$5,Dados!$A$2:$A$49,0))),"")</f>
        <v>1.0192476973215519E-2</v>
      </c>
      <c r="I9" s="10">
        <f>IFERROR(IF(INDEX(Dados!$K$2:$K$49,MATCH($A9&amp;"|"&amp;I$5,Dados!$A$2:$A$49,0))="","",INDEX(Dados!$K$2:$K$49,MATCH($A9&amp;"|"&amp;I$5,Dados!$A$2:$A$49,0))),"")</f>
        <v>1.014711143841724E-2</v>
      </c>
      <c r="J9" s="10">
        <f>IFERROR(IF(INDEX(Dados!$K$2:$K$49,MATCH($A9&amp;"|"&amp;J$5,Dados!$A$2:$A$49,0))="","",INDEX(Dados!$K$2:$K$49,MATCH($A9&amp;"|"&amp;J$5,Dados!$A$2:$A$49,0))),"")</f>
        <v>9.9797099042636065E-3</v>
      </c>
      <c r="K9" s="10">
        <f>IFERROR(IF(INDEX(Dados!$N$2:$N$49,MATCH($A9&amp;"|"&amp;J$5,Dados!$A$2:$A$49,0))=0,"—",INDEX(Dados!$N$2:$N$49,MATCH($A9&amp;"|"&amp;J$5,Dados!$A$2:$A$49,0))),"—")</f>
        <v>1.23E-2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1.1829351172463646E-2</v>
      </c>
      <c r="D10" s="10">
        <f>IFERROR(IF(INDEX(Dados!$K$2:$K$49,MATCH($A10&amp;"|"&amp;D$5,Dados!$A$2:$A$49,0))="","",INDEX(Dados!$K$2:$K$49,MATCH($A10&amp;"|"&amp;D$5,Dados!$A$2:$A$49,0))),"")</f>
        <v>1.1452854444805542E-2</v>
      </c>
      <c r="E10" s="10">
        <f>IFERROR(IF(INDEX(Dados!$K$2:$K$49,MATCH($A10&amp;"|"&amp;E$5,Dados!$A$2:$A$49,0))="","",INDEX(Dados!$K$2:$K$49,MATCH($A10&amp;"|"&amp;E$5,Dados!$A$2:$A$49,0))),"")</f>
        <v>1.1667054973916518E-2</v>
      </c>
      <c r="F10" s="10">
        <f>IFERROR(IF(INDEX(Dados!$K$2:$K$49,MATCH($A10&amp;"|"&amp;F$5,Dados!$A$2:$A$49,0))="","",INDEX(Dados!$K$2:$K$49,MATCH($A10&amp;"|"&amp;F$5,Dados!$A$2:$A$49,0))),"")</f>
        <v>1.2204316909665591E-2</v>
      </c>
      <c r="G10" s="10">
        <f>IFERROR(IF(INDEX(Dados!$K$2:$K$49,MATCH($A10&amp;"|"&amp;G$5,Dados!$A$2:$A$49,0))="","",INDEX(Dados!$K$2:$K$49,MATCH($A10&amp;"|"&amp;G$5,Dados!$A$2:$A$49,0))),"")</f>
        <v>1.2609295909669846E-2</v>
      </c>
      <c r="H10" s="10">
        <f>IFERROR(IF(INDEX(Dados!$K$2:$K$49,MATCH($A10&amp;"|"&amp;H$5,Dados!$A$2:$A$49,0))="","",INDEX(Dados!$K$2:$K$49,MATCH($A10&amp;"|"&amp;H$5,Dados!$A$2:$A$49,0))),"")</f>
        <v>1.1765426831724232E-2</v>
      </c>
      <c r="I10" s="10">
        <f>IFERROR(IF(INDEX(Dados!$K$2:$K$49,MATCH($A10&amp;"|"&amp;I$5,Dados!$A$2:$A$49,0))="","",INDEX(Dados!$K$2:$K$49,MATCH($A10&amp;"|"&amp;I$5,Dados!$A$2:$A$49,0))),"")</f>
        <v>1.2662426454455802E-2</v>
      </c>
      <c r="J10" s="10">
        <f>IFERROR(IF(INDEX(Dados!$K$2:$K$49,MATCH($A10&amp;"|"&amp;J$5,Dados!$A$2:$A$49,0))="","",INDEX(Dados!$K$2:$K$49,MATCH($A10&amp;"|"&amp;J$5,Dados!$A$2:$A$49,0))),"")</f>
        <v>1.3215725426398766E-2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1.2871640598138499E-2</v>
      </c>
      <c r="D11" s="10">
        <f>IFERROR(IF(INDEX(Dados!$K$2:$K$49,MATCH($A11&amp;"|"&amp;D$5,Dados!$A$2:$A$49,0))="","",INDEX(Dados!$K$2:$K$49,MATCH($A11&amp;"|"&amp;D$5,Dados!$A$2:$A$49,0))),"")</f>
        <v>1.2504709878879935E-2</v>
      </c>
      <c r="E11" s="10">
        <f>IFERROR(IF(INDEX(Dados!$K$2:$K$49,MATCH($A11&amp;"|"&amp;E$5,Dados!$A$2:$A$49,0))="","",INDEX(Dados!$K$2:$K$49,MATCH($A11&amp;"|"&amp;E$5,Dados!$A$2:$A$49,0))),"")</f>
        <v>1.2883564910880319E-2</v>
      </c>
      <c r="F11" s="10">
        <f>IFERROR(IF(INDEX(Dados!$K$2:$K$49,MATCH($A11&amp;"|"&amp;F$5,Dados!$A$2:$A$49,0))="","",INDEX(Dados!$K$2:$K$49,MATCH($A11&amp;"|"&amp;F$5,Dados!$A$2:$A$49,0))),"")</f>
        <v>1.3261406196748621E-2</v>
      </c>
      <c r="G11" s="10">
        <f>IFERROR(IF(INDEX(Dados!$K$2:$K$49,MATCH($A11&amp;"|"&amp;G$5,Dados!$A$2:$A$49,0))="","",INDEX(Dados!$K$2:$K$49,MATCH($A11&amp;"|"&amp;G$5,Dados!$A$2:$A$49,0))),"")</f>
        <v>1.361890773511849E-2</v>
      </c>
      <c r="H11" s="10">
        <f>IFERROR(IF(INDEX(Dados!$K$2:$K$49,MATCH($A11&amp;"|"&amp;H$5,Dados!$A$2:$A$49,0))="","",INDEX(Dados!$K$2:$K$49,MATCH($A11&amp;"|"&amp;H$5,Dados!$A$2:$A$49,0))),"")</f>
        <v>1.3674782483147605E-2</v>
      </c>
      <c r="I11" s="10">
        <f>IFERROR(IF(INDEX(Dados!$K$2:$K$49,MATCH($A11&amp;"|"&amp;I$5,Dados!$A$2:$A$49,0))="","",INDEX(Dados!$K$2:$K$49,MATCH($A11&amp;"|"&amp;I$5,Dados!$A$2:$A$49,0))),"")</f>
        <v>1.3852474486373643E-2</v>
      </c>
      <c r="J11" s="10">
        <f>IFERROR(IF(INDEX(Dados!$K$2:$K$49,MATCH($A11&amp;"|"&amp;J$5,Dados!$A$2:$A$49,0))="","",INDEX(Dados!$K$2:$K$49,MATCH($A11&amp;"|"&amp;J$5,Dados!$A$2:$A$49,0))),"")</f>
        <v>1.4007935763937121E-2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13498.267979540002</v>
      </c>
      <c r="D12" s="12">
        <f>IFERROR(INDEX(Dados!$J$2:$J$49,MATCH("Governo|"&amp;D$5,Dados!$A$2:$A$49,0))/1000000,"")</f>
        <v>14173.626238969999</v>
      </c>
      <c r="E12" s="12">
        <f>IFERROR(INDEX(Dados!$J$2:$J$49,MATCH("Governo|"&amp;E$5,Dados!$A$2:$A$49,0))/1000000,"")</f>
        <v>14600.906289620001</v>
      </c>
      <c r="F12" s="12">
        <f>IFERROR(INDEX(Dados!$J$2:$J$49,MATCH("Governo|"&amp;F$5,Dados!$A$2:$A$49,0))/1000000,"")</f>
        <v>14940.92128545</v>
      </c>
      <c r="G12" s="12">
        <f>IFERROR(INDEX(Dados!$J$2:$J$49,MATCH("Governo|"&amp;G$5,Dados!$A$2:$A$49,0))/1000000,"")</f>
        <v>15292.96813965</v>
      </c>
      <c r="H12" s="12">
        <f>IFERROR(INDEX(Dados!$J$2:$J$49,MATCH("Governo|"&amp;H$5,Dados!$A$2:$A$49,0))/1000000,"")</f>
        <v>15523.452300729999</v>
      </c>
      <c r="I12" s="12">
        <f>IFERROR(INDEX(Dados!$J$2:$J$49,MATCH("Governo|"&amp;I$5,Dados!$A$2:$A$49,0))/1000000,"")</f>
        <v>15781.22914899</v>
      </c>
      <c r="J12" s="12">
        <f>IFERROR(INDEX(Dados!$J$2:$J$49,MATCH("Governo|"&amp;J$5,Dados!$A$2:$A$49,0))/1000000,"")</f>
        <v>16233.833150879998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6194.3637276899999</v>
      </c>
      <c r="D16" s="13">
        <f>IFERROR(IF(INDEX(Dados!$I$2:$I$49,MATCH($A16&amp;"|"&amp;D$15,Dados!$A$2:$A$49,0))="","",INDEX(Dados!$I$2:$I$49,MATCH($A16&amp;"|"&amp;D$15,Dados!$A$2:$A$49,0))/1000000),"")</f>
        <v>6620.6715709999999</v>
      </c>
      <c r="E16" s="13">
        <f>IFERROR(IF(INDEX(Dados!$I$2:$I$49,MATCH($A16&amp;"|"&amp;E$15,Dados!$A$2:$A$49,0))="","",INDEX(Dados!$I$2:$I$49,MATCH($A16&amp;"|"&amp;E$15,Dados!$A$2:$A$49,0))/1000000),"")</f>
        <v>6762.63331354</v>
      </c>
      <c r="F16" s="13">
        <f>IFERROR(IF(INDEX(Dados!$I$2:$I$49,MATCH($A16&amp;"|"&amp;F$15,Dados!$A$2:$A$49,0))="","",INDEX(Dados!$I$2:$I$49,MATCH($A16&amp;"|"&amp;F$15,Dados!$A$2:$A$49,0))/1000000),"")</f>
        <v>6968.04915403</v>
      </c>
      <c r="G16" s="13">
        <f>IFERROR(IF(INDEX(Dados!$I$2:$I$49,MATCH($A16&amp;"|"&amp;G$15,Dados!$A$2:$A$49,0))="","",INDEX(Dados!$I$2:$I$49,MATCH($A16&amp;"|"&amp;G$15,Dados!$A$2:$A$49,0))/1000000),"")</f>
        <v>6988.1142568300002</v>
      </c>
      <c r="H16" s="13">
        <f>IFERROR(IF(INDEX(Dados!$I$2:$I$49,MATCH($A16&amp;"|"&amp;H$15,Dados!$A$2:$A$49,0))="","",INDEX(Dados!$I$2:$I$49,MATCH($A16&amp;"|"&amp;H$15,Dados!$A$2:$A$49,0))/1000000),"")</f>
        <v>6878.7395523800005</v>
      </c>
      <c r="I16" s="13">
        <f>IFERROR(IF(INDEX(Dados!$I$2:$I$49,MATCH($A16&amp;"|"&amp;I$15,Dados!$A$2:$A$49,0))="","",INDEX(Dados!$I$2:$I$49,MATCH($A16&amp;"|"&amp;I$15,Dados!$A$2:$A$49,0))/1000000),"")</f>
        <v>7051.7430459799998</v>
      </c>
      <c r="J16" s="13">
        <f>IFERROR(IF(INDEX(Dados!$I$2:$I$49,MATCH($A16&amp;"|"&amp;J$15,Dados!$A$2:$A$49,0))="","",INDEX(Dados!$I$2:$I$49,MATCH($A16&amp;"|"&amp;J$15,Dados!$A$2:$A$49,0))/1000000),"")</f>
        <v>7406.8285274199998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212.02958572999998</v>
      </c>
      <c r="D17" s="14">
        <f>IFERROR(IF(INDEX(Dados!$I$2:$I$49,MATCH($A17&amp;"|"&amp;D$15,Dados!$A$2:$A$49,0))="","",INDEX(Dados!$I$2:$I$49,MATCH($A17&amp;"|"&amp;D$15,Dados!$A$2:$A$49,0))/1000000),"")</f>
        <v>214.03227622</v>
      </c>
      <c r="E17" s="14">
        <f>IFERROR(IF(INDEX(Dados!$I$2:$I$49,MATCH($A17&amp;"|"&amp;E$15,Dados!$A$2:$A$49,0))="","",INDEX(Dados!$I$2:$I$49,MATCH($A17&amp;"|"&amp;E$15,Dados!$A$2:$A$49,0))/1000000),"")</f>
        <v>214.46220008</v>
      </c>
      <c r="F17" s="14">
        <f>IFERROR(IF(INDEX(Dados!$I$2:$I$49,MATCH($A17&amp;"|"&amp;F$15,Dados!$A$2:$A$49,0))="","",INDEX(Dados!$I$2:$I$49,MATCH($A17&amp;"|"&amp;F$15,Dados!$A$2:$A$49,0))/1000000),"")</f>
        <v>215.07028434999998</v>
      </c>
      <c r="G17" s="14">
        <f>IFERROR(IF(INDEX(Dados!$I$2:$I$49,MATCH($A17&amp;"|"&amp;G$15,Dados!$A$2:$A$49,0))="","",INDEX(Dados!$I$2:$I$49,MATCH($A17&amp;"|"&amp;G$15,Dados!$A$2:$A$49,0))/1000000),"")</f>
        <v>221.23652941999998</v>
      </c>
      <c r="H17" s="14">
        <f>IFERROR(IF(INDEX(Dados!$I$2:$I$49,MATCH($A17&amp;"|"&amp;H$15,Dados!$A$2:$A$49,0))="","",INDEX(Dados!$I$2:$I$49,MATCH($A17&amp;"|"&amp;H$15,Dados!$A$2:$A$49,0))/1000000),"")</f>
        <v>225.58554612999998</v>
      </c>
      <c r="I17" s="14">
        <f>IFERROR(IF(INDEX(Dados!$I$2:$I$49,MATCH($A17&amp;"|"&amp;I$15,Dados!$A$2:$A$49,0))="","",INDEX(Dados!$I$2:$I$49,MATCH($A17&amp;"|"&amp;I$15,Dados!$A$2:$A$49,0))/1000000),"")</f>
        <v>232.24005762000002</v>
      </c>
      <c r="J17" s="14">
        <f>IFERROR(IF(INDEX(Dados!$I$2:$I$49,MATCH($A17&amp;"|"&amp;J$15,Dados!$A$2:$A$49,0))="","",INDEX(Dados!$I$2:$I$49,MATCH($A17&amp;"|"&amp;J$15,Dados!$A$2:$A$49,0))/1000000),"")</f>
        <v>238.43712205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537.67751736000002</v>
      </c>
      <c r="D18" s="14">
        <f>IFERROR(IF(INDEX(Dados!$I$2:$I$49,MATCH($A18&amp;"|"&amp;D$15,Dados!$A$2:$A$49,0))="","",INDEX(Dados!$I$2:$I$49,MATCH($A18&amp;"|"&amp;D$15,Dados!$A$2:$A$49,0))/1000000),"")</f>
        <v>553.81509434000009</v>
      </c>
      <c r="E18" s="14">
        <f>IFERROR(IF(INDEX(Dados!$I$2:$I$49,MATCH($A18&amp;"|"&amp;E$15,Dados!$A$2:$A$49,0))="","",INDEX(Dados!$I$2:$I$49,MATCH($A18&amp;"|"&amp;E$15,Dados!$A$2:$A$49,0))/1000000),"")</f>
        <v>575.51128967999989</v>
      </c>
      <c r="F18" s="14">
        <f>IFERROR(IF(INDEX(Dados!$I$2:$I$49,MATCH($A18&amp;"|"&amp;F$15,Dados!$A$2:$A$49,0))="","",INDEX(Dados!$I$2:$I$49,MATCH($A18&amp;"|"&amp;F$15,Dados!$A$2:$A$49,0))/1000000),"")</f>
        <v>600.30752252000002</v>
      </c>
      <c r="G18" s="14">
        <f>IFERROR(IF(INDEX(Dados!$I$2:$I$49,MATCH($A18&amp;"|"&amp;G$15,Dados!$A$2:$A$49,0))="","",INDEX(Dados!$I$2:$I$49,MATCH($A18&amp;"|"&amp;G$15,Dados!$A$2:$A$49,0))/1000000),"")</f>
        <v>642.52405613999997</v>
      </c>
      <c r="H18" s="14">
        <f>IFERROR(IF(INDEX(Dados!$I$2:$I$49,MATCH($A18&amp;"|"&amp;H$15,Dados!$A$2:$A$49,0))="","",INDEX(Dados!$I$2:$I$49,MATCH($A18&amp;"|"&amp;H$15,Dados!$A$2:$A$49,0))/1000000),"")</f>
        <v>680.36604540999997</v>
      </c>
      <c r="I18" s="14">
        <f>IFERROR(IF(INDEX(Dados!$I$2:$I$49,MATCH($A18&amp;"|"&amp;I$15,Dados!$A$2:$A$49,0))="","",INDEX(Dados!$I$2:$I$49,MATCH($A18&amp;"|"&amp;I$15,Dados!$A$2:$A$49,0))/1000000),"")</f>
        <v>726.23078975999999</v>
      </c>
      <c r="J18" s="14">
        <f>IFERROR(IF(INDEX(Dados!$I$2:$I$49,MATCH($A18&amp;"|"&amp;J$15,Dados!$A$2:$A$49,0))="","",INDEX(Dados!$I$2:$I$49,MATCH($A18&amp;"|"&amp;J$15,Dados!$A$2:$A$49,0))/1000000),"")</f>
        <v>751.09293013000001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151.4778833</v>
      </c>
      <c r="D19" s="14">
        <f>IFERROR(IF(INDEX(Dados!$I$2:$I$49,MATCH($A19&amp;"|"&amp;D$15,Dados!$A$2:$A$49,0))="","",INDEX(Dados!$I$2:$I$49,MATCH($A19&amp;"|"&amp;D$15,Dados!$A$2:$A$49,0))/1000000),"")</f>
        <v>150.68113112</v>
      </c>
      <c r="E19" s="14">
        <f>IFERROR(IF(INDEX(Dados!$I$2:$I$49,MATCH($A19&amp;"|"&amp;E$15,Dados!$A$2:$A$49,0))="","",INDEX(Dados!$I$2:$I$49,MATCH($A19&amp;"|"&amp;E$15,Dados!$A$2:$A$49,0))/1000000),"")</f>
        <v>152.62739959999999</v>
      </c>
      <c r="F19" s="14">
        <f>IFERROR(IF(INDEX(Dados!$I$2:$I$49,MATCH($A19&amp;"|"&amp;F$15,Dados!$A$2:$A$49,0))="","",INDEX(Dados!$I$2:$I$49,MATCH($A19&amp;"|"&amp;F$15,Dados!$A$2:$A$49,0))/1000000),"")</f>
        <v>156.56297908000002</v>
      </c>
      <c r="G19" s="14">
        <f>IFERROR(IF(INDEX(Dados!$I$2:$I$49,MATCH($A19&amp;"|"&amp;G$15,Dados!$A$2:$A$49,0))="","",INDEX(Dados!$I$2:$I$49,MATCH($A19&amp;"|"&amp;G$15,Dados!$A$2:$A$49,0))/1000000),"")</f>
        <v>159.4057785</v>
      </c>
      <c r="H19" s="14">
        <f>IFERROR(IF(INDEX(Dados!$I$2:$I$49,MATCH($A19&amp;"|"&amp;H$15,Dados!$A$2:$A$49,0))="","",INDEX(Dados!$I$2:$I$49,MATCH($A19&amp;"|"&amp;H$15,Dados!$A$2:$A$49,0))/1000000),"")</f>
        <v>158.22243012000001</v>
      </c>
      <c r="I19" s="14">
        <f>IFERROR(IF(INDEX(Dados!$I$2:$I$49,MATCH($A19&amp;"|"&amp;I$15,Dados!$A$2:$A$49,0))="","",INDEX(Dados!$I$2:$I$49,MATCH($A19&amp;"|"&amp;I$15,Dados!$A$2:$A$49,0))/1000000),"")</f>
        <v>160.13389081</v>
      </c>
      <c r="J19" s="14">
        <f>IFERROR(IF(INDEX(Dados!$I$2:$I$49,MATCH($A19&amp;"|"&amp;J$15,Dados!$A$2:$A$49,0))="","",INDEX(Dados!$I$2:$I$49,MATCH($A19&amp;"|"&amp;J$15,Dados!$A$2:$A$49,0))/1000000),"")</f>
        <v>162.00894547999999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159.67575214999999</v>
      </c>
      <c r="D20" s="14">
        <f>IFERROR(IF(INDEX(Dados!$I$2:$I$49,MATCH($A20&amp;"|"&amp;D$15,Dados!$A$2:$A$49,0))="","",INDEX(Dados!$I$2:$I$49,MATCH($A20&amp;"|"&amp;D$15,Dados!$A$2:$A$49,0))/1000000),"")</f>
        <v>162.32847827000001</v>
      </c>
      <c r="E20" s="14">
        <f>IFERROR(IF(INDEX(Dados!$I$2:$I$49,MATCH($A20&amp;"|"&amp;E$15,Dados!$A$2:$A$49,0))="","",INDEX(Dados!$I$2:$I$49,MATCH($A20&amp;"|"&amp;E$15,Dados!$A$2:$A$49,0))/1000000),"")</f>
        <v>170.34957635000001</v>
      </c>
      <c r="F20" s="14">
        <f>IFERROR(IF(INDEX(Dados!$I$2:$I$49,MATCH($A20&amp;"|"&amp;F$15,Dados!$A$2:$A$49,0))="","",INDEX(Dados!$I$2:$I$49,MATCH($A20&amp;"|"&amp;F$15,Dados!$A$2:$A$49,0))/1000000),"")</f>
        <v>182.34373829</v>
      </c>
      <c r="G20" s="14">
        <f>IFERROR(IF(INDEX(Dados!$I$2:$I$49,MATCH($A20&amp;"|"&amp;G$15,Dados!$A$2:$A$49,0))="","",INDEX(Dados!$I$2:$I$49,MATCH($A20&amp;"|"&amp;G$15,Dados!$A$2:$A$49,0))/1000000),"")</f>
        <v>192.83356061000001</v>
      </c>
      <c r="H20" s="14">
        <f>IFERROR(IF(INDEX(Dados!$I$2:$I$49,MATCH($A20&amp;"|"&amp;H$15,Dados!$A$2:$A$49,0))="","",INDEX(Dados!$I$2:$I$49,MATCH($A20&amp;"|"&amp;H$15,Dados!$A$2:$A$49,0))/1000000),"")</f>
        <v>182.64004222</v>
      </c>
      <c r="I20" s="14">
        <f>IFERROR(IF(INDEX(Dados!$I$2:$I$49,MATCH($A20&amp;"|"&amp;I$15,Dados!$A$2:$A$49,0))="","",INDEX(Dados!$I$2:$I$49,MATCH($A20&amp;"|"&amp;I$15,Dados!$A$2:$A$49,0))/1000000),"")</f>
        <v>199.82865346</v>
      </c>
      <c r="J20" s="14">
        <f>IFERROR(IF(INDEX(Dados!$I$2:$I$49,MATCH($A20&amp;"|"&amp;J$15,Dados!$A$2:$A$49,0))="","",INDEX(Dados!$I$2:$I$49,MATCH($A20&amp;"|"&amp;J$15,Dados!$A$2:$A$49,0))/1000000),"")</f>
        <v>214.54188153999999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173.74485412999999</v>
      </c>
      <c r="D21" s="14">
        <f>IFERROR(IF(INDEX(Dados!$I$2:$I$49,MATCH($A21&amp;"|"&amp;D$15,Dados!$A$2:$A$49,0))="","",INDEX(Dados!$I$2:$I$49,MATCH($A21&amp;"|"&amp;D$15,Dados!$A$2:$A$49,0))/1000000),"")</f>
        <v>177.23708405000002</v>
      </c>
      <c r="E21" s="14">
        <f>IFERROR(IF(INDEX(Dados!$I$2:$I$49,MATCH($A21&amp;"|"&amp;E$15,Dados!$A$2:$A$49,0))="","",INDEX(Dados!$I$2:$I$49,MATCH($A21&amp;"|"&amp;E$15,Dados!$A$2:$A$49,0))/1000000),"")</f>
        <v>188.11172393999999</v>
      </c>
      <c r="F21" s="14">
        <f>IFERROR(IF(INDEX(Dados!$I$2:$I$49,MATCH($A21&amp;"|"&amp;F$15,Dados!$A$2:$A$49,0))="","",INDEX(Dados!$I$2:$I$49,MATCH($A21&amp;"|"&amp;F$15,Dados!$A$2:$A$49,0))/1000000),"")</f>
        <v>198.13762611999999</v>
      </c>
      <c r="G21" s="14">
        <f>IFERROR(IF(INDEX(Dados!$I$2:$I$49,MATCH($A21&amp;"|"&amp;G$15,Dados!$A$2:$A$49,0))="","",INDEX(Dados!$I$2:$I$49,MATCH($A21&amp;"|"&amp;G$15,Dados!$A$2:$A$49,0))/1000000),"")</f>
        <v>208.27352209</v>
      </c>
      <c r="H21" s="14">
        <f>IFERROR(IF(INDEX(Dados!$I$2:$I$49,MATCH($A21&amp;"|"&amp;H$15,Dados!$A$2:$A$49,0))="","",INDEX(Dados!$I$2:$I$49,MATCH($A21&amp;"|"&amp;H$15,Dados!$A$2:$A$49,0))/1000000),"")</f>
        <v>212.27983359999999</v>
      </c>
      <c r="I21" s="14">
        <f>IFERROR(IF(INDEX(Dados!$I$2:$I$49,MATCH($A21&amp;"|"&amp;I$15,Dados!$A$2:$A$49,0))="","",INDEX(Dados!$I$2:$I$49,MATCH($A21&amp;"|"&amp;I$15,Dados!$A$2:$A$49,0))/1000000),"")</f>
        <v>218.60907415</v>
      </c>
      <c r="J21" s="14">
        <f>IFERROR(IF(INDEX(Dados!$I$2:$I$49,MATCH($A21&amp;"|"&amp;J$15,Dados!$A$2:$A$49,0))="","",INDEX(Dados!$I$2:$I$49,MATCH($A21&amp;"|"&amp;J$15,Dados!$A$2:$A$49,0))/1000000),"")</f>
        <v>227.40249197999998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6194363727.6899996</v>
      </c>
      <c r="J2" s="15">
        <v>13498267979.540001</v>
      </c>
      <c r="K2" s="10">
        <f t="shared" ref="K2:K49" si="1">IF(OR(I2="",J2="",J2=0),"",I2/J2)</f>
        <v>0.458900633553809</v>
      </c>
      <c r="L2" s="16">
        <v>0.45889999999999997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6614151309.9700003</v>
      </c>
      <c r="R2" s="15">
        <v>6283443744.4700003</v>
      </c>
      <c r="S2" s="15">
        <v>5952736178.9700003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Acima do limite de alerta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6620671571</v>
      </c>
      <c r="J3" s="15">
        <v>14173626238.969999</v>
      </c>
      <c r="K3" s="10">
        <f t="shared" si="1"/>
        <v>0.4671120473599511</v>
      </c>
      <c r="L3" s="16">
        <v>0.46710000000000002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6945076857.1000004</v>
      </c>
      <c r="R3" s="15">
        <v>6597823014.25</v>
      </c>
      <c r="S3" s="15">
        <v>6250569171.3900003</v>
      </c>
      <c r="T3" s="9" t="str">
        <f t="shared" si="3"/>
        <v>Acima do limite prudencial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6762633313.54</v>
      </c>
      <c r="J4" s="15">
        <v>14600906289.620001</v>
      </c>
      <c r="K4" s="10">
        <f t="shared" si="1"/>
        <v>0.46316531175517889</v>
      </c>
      <c r="L4" s="16">
        <v>0.4632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7154444081.9099998</v>
      </c>
      <c r="R4" s="15">
        <v>6796721877.8100004</v>
      </c>
      <c r="S4" s="15">
        <v>6438999673.7200003</v>
      </c>
      <c r="T4" s="9" t="str">
        <f t="shared" si="3"/>
        <v>Acima do limite de alerta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6968049154.0299997</v>
      </c>
      <c r="J5" s="15">
        <v>14940921285.450001</v>
      </c>
      <c r="K5" s="10">
        <f t="shared" si="1"/>
        <v>0.46637345990275264</v>
      </c>
      <c r="L5" s="16">
        <v>0.46639999999999998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7321051429.8699999</v>
      </c>
      <c r="R5" s="15">
        <v>6954998858.3800001</v>
      </c>
      <c r="S5" s="15">
        <v>6588946286.8800001</v>
      </c>
      <c r="T5" s="9" t="str">
        <f t="shared" si="3"/>
        <v>Acima do limite prudencial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6988114256.8299999</v>
      </c>
      <c r="J6" s="15">
        <v>15292968139.65</v>
      </c>
      <c r="K6" s="10">
        <f t="shared" si="1"/>
        <v>0.45694950731715395</v>
      </c>
      <c r="L6" s="16">
        <v>0.45689999999999997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7493554388.4300003</v>
      </c>
      <c r="R6" s="15">
        <v>7118876669.0100002</v>
      </c>
      <c r="S6" s="15">
        <v>6744198949.5900002</v>
      </c>
      <c r="T6" s="9" t="str">
        <f t="shared" si="3"/>
        <v>Acima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6878739552.3800001</v>
      </c>
      <c r="J7" s="15">
        <v>15523452300.73</v>
      </c>
      <c r="K7" s="10">
        <f t="shared" si="1"/>
        <v>0.44311918632020553</v>
      </c>
      <c r="L7" s="16">
        <v>0.44309999999999999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7606491627.3599997</v>
      </c>
      <c r="R7" s="15">
        <v>7226167045.9899998</v>
      </c>
      <c r="S7" s="15">
        <v>6845842464.6199999</v>
      </c>
      <c r="T7" s="9" t="str">
        <f t="shared" si="3"/>
        <v>Acima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7051743045.9799995</v>
      </c>
      <c r="J8" s="15">
        <v>15781229148.99</v>
      </c>
      <c r="K8" s="10">
        <f t="shared" si="1"/>
        <v>0.44684371409886736</v>
      </c>
      <c r="L8" s="16">
        <v>0.44679999999999997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7732802283.0100002</v>
      </c>
      <c r="R8" s="15">
        <v>7346162168.8599997</v>
      </c>
      <c r="S8" s="15">
        <v>6959522054.71</v>
      </c>
      <c r="T8" s="9" t="str">
        <f t="shared" si="3"/>
        <v>Acima do limite de alerta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7406828527.4200001</v>
      </c>
      <c r="J9" s="15">
        <v>16233833150.879999</v>
      </c>
      <c r="K9" s="10">
        <f t="shared" si="1"/>
        <v>0.45625875654749432</v>
      </c>
      <c r="L9" s="16">
        <v>0.45629999999999998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7954578243.9300003</v>
      </c>
      <c r="R9" s="15">
        <v>7556849331.7299995</v>
      </c>
      <c r="S9" s="15">
        <v>7159120419.54</v>
      </c>
      <c r="T9" s="9" t="str">
        <f t="shared" si="3"/>
        <v>Acima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212029585.72999999</v>
      </c>
      <c r="J10" s="15">
        <v>13498267979.540001</v>
      </c>
      <c r="K10" s="10">
        <f t="shared" si="1"/>
        <v>1.5707910529808997E-2</v>
      </c>
      <c r="L10" s="16">
        <v>1.5699999999999999E-2</v>
      </c>
      <c r="M10" s="9" t="str">
        <f t="shared" si="2"/>
        <v>Sim</v>
      </c>
      <c r="N10" s="16">
        <v>1.77E-2</v>
      </c>
      <c r="O10" s="16">
        <v>1.6799999999999999E-2</v>
      </c>
      <c r="P10" s="16">
        <v>1.5900000000000001E-2</v>
      </c>
      <c r="Q10" s="15">
        <v>238919343.24000001</v>
      </c>
      <c r="R10" s="15">
        <v>226973376.08000001</v>
      </c>
      <c r="S10" s="15">
        <v>215027408.91999999</v>
      </c>
      <c r="T10" s="9" t="str">
        <f t="shared" si="3"/>
        <v>Abaixo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214032276.22</v>
      </c>
      <c r="J11" s="15">
        <v>14173626238.969999</v>
      </c>
      <c r="K11" s="10">
        <f t="shared" si="1"/>
        <v>1.5100742224422715E-2</v>
      </c>
      <c r="L11" s="16">
        <v>1.5100000000000001E-2</v>
      </c>
      <c r="M11" s="9" t="str">
        <f t="shared" si="2"/>
        <v>Sim</v>
      </c>
      <c r="N11" s="16">
        <v>1.77E-2</v>
      </c>
      <c r="O11" s="16">
        <v>1.6799999999999999E-2</v>
      </c>
      <c r="P11" s="16">
        <v>1.5900000000000001E-2</v>
      </c>
      <c r="Q11" s="15">
        <v>250873184.43000001</v>
      </c>
      <c r="R11" s="15">
        <v>238329525.21000001</v>
      </c>
      <c r="S11" s="15">
        <v>225785865.99000001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214462200.08000001</v>
      </c>
      <c r="J12" s="15">
        <v>14600906289.620001</v>
      </c>
      <c r="K12" s="10">
        <f t="shared" si="1"/>
        <v>1.4688280016731862E-2</v>
      </c>
      <c r="L12" s="16">
        <v>1.47E-2</v>
      </c>
      <c r="M12" s="9" t="str">
        <f t="shared" si="2"/>
        <v>Sim</v>
      </c>
      <c r="N12" s="16">
        <v>1.77E-2</v>
      </c>
      <c r="O12" s="16">
        <v>1.6799999999999999E-2</v>
      </c>
      <c r="P12" s="16">
        <v>1.5900000000000001E-2</v>
      </c>
      <c r="Q12" s="15">
        <v>258436041.33000001</v>
      </c>
      <c r="R12" s="15">
        <v>245514239.25999999</v>
      </c>
      <c r="S12" s="15">
        <v>232592437.19999999</v>
      </c>
      <c r="T12" s="9" t="str">
        <f t="shared" si="3"/>
        <v>Abaixo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215070284.34999999</v>
      </c>
      <c r="J13" s="15">
        <v>14940921285.450001</v>
      </c>
      <c r="K13" s="10">
        <f t="shared" si="1"/>
        <v>1.4394713702122443E-2</v>
      </c>
      <c r="L13" s="16">
        <v>1.44E-2</v>
      </c>
      <c r="M13" s="9" t="str">
        <f t="shared" si="2"/>
        <v>Sim</v>
      </c>
      <c r="N13" s="16">
        <v>1.77E-2</v>
      </c>
      <c r="O13" s="16">
        <v>1.6799999999999999E-2</v>
      </c>
      <c r="P13" s="16">
        <v>1.5900000000000001E-2</v>
      </c>
      <c r="Q13" s="15">
        <v>264454306.75</v>
      </c>
      <c r="R13" s="15">
        <v>251231591.41</v>
      </c>
      <c r="S13" s="15">
        <v>238008876.08000001</v>
      </c>
      <c r="T13" s="9" t="str">
        <f t="shared" si="3"/>
        <v>Abaixo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221236529.41999999</v>
      </c>
      <c r="J14" s="15">
        <v>15292968139.65</v>
      </c>
      <c r="K14" s="10">
        <f t="shared" si="1"/>
        <v>1.4466552692698103E-2</v>
      </c>
      <c r="L14" s="16">
        <v>1.4500000000000001E-2</v>
      </c>
      <c r="M14" s="9" t="str">
        <f t="shared" si="2"/>
        <v>Sim</v>
      </c>
      <c r="N14" s="16">
        <v>1.77E-2</v>
      </c>
      <c r="O14" s="16">
        <v>1.6799999999999999E-2</v>
      </c>
      <c r="P14" s="16">
        <v>1.5900000000000001E-2</v>
      </c>
      <c r="Q14" s="15">
        <v>270685536.06999999</v>
      </c>
      <c r="R14" s="15">
        <v>257151259.27000001</v>
      </c>
      <c r="S14" s="15">
        <v>243616982.46000001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225585546.13</v>
      </c>
      <c r="J15" s="15">
        <v>15523452300.73</v>
      </c>
      <c r="K15" s="10">
        <f t="shared" si="1"/>
        <v>1.4531918658286579E-2</v>
      </c>
      <c r="L15" s="16">
        <v>1.4500000000000001E-2</v>
      </c>
      <c r="M15" s="9" t="str">
        <f t="shared" si="2"/>
        <v>Sim</v>
      </c>
      <c r="N15" s="16">
        <v>1.77E-2</v>
      </c>
      <c r="O15" s="16">
        <v>1.6799999999999999E-2</v>
      </c>
      <c r="P15" s="16">
        <v>1.5900000000000001E-2</v>
      </c>
      <c r="Q15" s="15">
        <v>274765105.72000003</v>
      </c>
      <c r="R15" s="15">
        <v>261026850.43000001</v>
      </c>
      <c r="S15" s="15">
        <v>247288595.15000001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232240057.62</v>
      </c>
      <c r="J16" s="15">
        <v>15781229148.99</v>
      </c>
      <c r="K16" s="10">
        <f t="shared" si="1"/>
        <v>1.4716221114808626E-2</v>
      </c>
      <c r="L16" s="16">
        <v>1.47E-2</v>
      </c>
      <c r="M16" s="9" t="str">
        <f t="shared" si="2"/>
        <v>Sim</v>
      </c>
      <c r="N16" s="16">
        <v>1.77E-2</v>
      </c>
      <c r="O16" s="16">
        <v>1.6799999999999999E-2</v>
      </c>
      <c r="P16" s="16">
        <v>1.5900000000000001E-2</v>
      </c>
      <c r="Q16" s="15">
        <v>279327755.94</v>
      </c>
      <c r="R16" s="15">
        <v>265361368.13999999</v>
      </c>
      <c r="S16" s="15">
        <v>251394980.34999999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238437122.05000001</v>
      </c>
      <c r="J17" s="15">
        <v>16233833150.879999</v>
      </c>
      <c r="K17" s="10">
        <f t="shared" si="1"/>
        <v>1.4687666174336336E-2</v>
      </c>
      <c r="L17" s="16">
        <v>1.47E-2</v>
      </c>
      <c r="M17" s="9" t="str">
        <f t="shared" si="2"/>
        <v>Sim</v>
      </c>
      <c r="N17" s="16">
        <v>1.77E-2</v>
      </c>
      <c r="O17" s="16">
        <v>1.6799999999999999E-2</v>
      </c>
      <c r="P17" s="16">
        <v>1.5900000000000001E-2</v>
      </c>
      <c r="Q17" s="15">
        <v>287338846.76999998</v>
      </c>
      <c r="R17" s="15">
        <v>272971904.43000001</v>
      </c>
      <c r="S17" s="15">
        <v>258604962.09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537677517.36000001</v>
      </c>
      <c r="J18" s="15">
        <v>13498267979.540001</v>
      </c>
      <c r="K18" s="10">
        <f t="shared" si="1"/>
        <v>3.9833074745218029E-2</v>
      </c>
      <c r="L18" s="16">
        <v>3.9800000000000002E-2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809896078.76999998</v>
      </c>
      <c r="R18" s="15">
        <v>769401274.83000004</v>
      </c>
      <c r="S18" s="15">
        <v>728906470.88999999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553815094.34000003</v>
      </c>
      <c r="J19" s="15">
        <v>14173626238.969999</v>
      </c>
      <c r="K19" s="10">
        <f t="shared" si="1"/>
        <v>3.9073634721458965E-2</v>
      </c>
      <c r="L19" s="16">
        <v>3.9100000000000003E-2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850417574.34000003</v>
      </c>
      <c r="R19" s="15">
        <v>807896695.62</v>
      </c>
      <c r="S19" s="15">
        <v>765375816.90999997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575511289.67999995</v>
      </c>
      <c r="J20" s="15">
        <v>14600906289.620001</v>
      </c>
      <c r="K20" s="10">
        <f t="shared" si="1"/>
        <v>3.9416134742891913E-2</v>
      </c>
      <c r="L20" s="16">
        <v>3.9399999999999998E-2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876054377.38</v>
      </c>
      <c r="R20" s="15">
        <v>832251658.50999999</v>
      </c>
      <c r="S20" s="15">
        <v>788448939.63999999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600307522.51999998</v>
      </c>
      <c r="J21" s="15">
        <v>14940423805.74</v>
      </c>
      <c r="K21" s="10">
        <f t="shared" si="1"/>
        <v>4.0180086611021452E-2</v>
      </c>
      <c r="L21" s="16">
        <v>4.0199999999999993E-2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896425428.34000003</v>
      </c>
      <c r="R21" s="15">
        <v>851604156.91999996</v>
      </c>
      <c r="S21" s="15">
        <v>806782885.50999999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642524056.13999999</v>
      </c>
      <c r="J22" s="15">
        <v>15292968139.65</v>
      </c>
      <c r="K22" s="10">
        <f t="shared" si="1"/>
        <v>4.2014346088522295E-2</v>
      </c>
      <c r="L22" s="16">
        <v>4.2000000000000003E-2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917578088.38</v>
      </c>
      <c r="R22" s="15">
        <v>871699183.96000004</v>
      </c>
      <c r="S22" s="15">
        <v>825820279.53999996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680366045.40999997</v>
      </c>
      <c r="J23" s="15">
        <v>15523452300.73</v>
      </c>
      <c r="K23" s="10">
        <f t="shared" si="1"/>
        <v>4.382826913946232E-2</v>
      </c>
      <c r="L23" s="16">
        <v>4.3799999999999999E-2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931407138.03999996</v>
      </c>
      <c r="R23" s="15">
        <v>884836781.13999999</v>
      </c>
      <c r="S23" s="15">
        <v>838266424.24000001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726230789.75999999</v>
      </c>
      <c r="J24" s="15">
        <v>15781229148.99</v>
      </c>
      <c r="K24" s="10">
        <f t="shared" si="1"/>
        <v>4.6018645499896239E-2</v>
      </c>
      <c r="L24" s="16">
        <v>4.5999999999999999E-2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946873748.94000006</v>
      </c>
      <c r="R24" s="15">
        <v>899530061.49000001</v>
      </c>
      <c r="S24" s="15">
        <v>852186374.04999995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751092930.13</v>
      </c>
      <c r="J25" s="15">
        <v>16233833150.879999</v>
      </c>
      <c r="K25" s="10">
        <f t="shared" si="1"/>
        <v>4.6267133778523831E-2</v>
      </c>
      <c r="L25" s="16">
        <v>4.6300000000000001E-2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974029989.04999995</v>
      </c>
      <c r="R25" s="15">
        <v>925328489.60000002</v>
      </c>
      <c r="S25" s="15">
        <v>876626990.14999998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151477883.30000001</v>
      </c>
      <c r="J26" s="15">
        <v>13498267979.540001</v>
      </c>
      <c r="K26" s="10">
        <f t="shared" si="1"/>
        <v>1.1222023709234592E-2</v>
      </c>
      <c r="L26" s="16">
        <v>1.12E-2</v>
      </c>
      <c r="M26" s="9" t="str">
        <f t="shared" si="2"/>
        <v>Sim</v>
      </c>
      <c r="N26" s="16">
        <v>1.23E-2</v>
      </c>
      <c r="O26" s="16">
        <v>1.17E-2</v>
      </c>
      <c r="P26" s="16">
        <v>1.11E-2</v>
      </c>
      <c r="Q26" s="15">
        <v>166028696.15000001</v>
      </c>
      <c r="R26" s="15">
        <v>157727261.34</v>
      </c>
      <c r="S26" s="15">
        <v>149425826.53999999</v>
      </c>
      <c r="T26" s="9" t="str">
        <f t="shared" si="3"/>
        <v>Acima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150681131.12</v>
      </c>
      <c r="J27" s="15">
        <v>14173626238.969999</v>
      </c>
      <c r="K27" s="10">
        <f t="shared" si="1"/>
        <v>1.0631092465646254E-2</v>
      </c>
      <c r="L27" s="16">
        <v>1.06E-2</v>
      </c>
      <c r="M27" s="9" t="str">
        <f t="shared" si="2"/>
        <v>Sim</v>
      </c>
      <c r="N27" s="16">
        <v>1.23E-2</v>
      </c>
      <c r="O27" s="16">
        <v>1.17E-2</v>
      </c>
      <c r="P27" s="16">
        <v>1.11E-2</v>
      </c>
      <c r="Q27" s="15">
        <v>174335602.74000001</v>
      </c>
      <c r="R27" s="15">
        <v>165618822.59999999</v>
      </c>
      <c r="S27" s="15">
        <v>156902042.47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152627399.59999999</v>
      </c>
      <c r="J28" s="15">
        <v>14600906289.620001</v>
      </c>
      <c r="K28" s="10">
        <f t="shared" si="1"/>
        <v>1.0453282595786883E-2</v>
      </c>
      <c r="L28" s="16">
        <v>1.0500000000000001E-2</v>
      </c>
      <c r="M28" s="9" t="str">
        <f t="shared" si="2"/>
        <v>Sim</v>
      </c>
      <c r="N28" s="16">
        <v>1.23E-2</v>
      </c>
      <c r="O28" s="16">
        <v>1.17E-2</v>
      </c>
      <c r="P28" s="16">
        <v>1.11E-2</v>
      </c>
      <c r="Q28" s="15">
        <v>179591147.36000001</v>
      </c>
      <c r="R28" s="15">
        <v>170611589.99000001</v>
      </c>
      <c r="S28" s="15">
        <v>161632032.62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156562979.08000001</v>
      </c>
      <c r="J29" s="15">
        <v>14940921285.450001</v>
      </c>
      <c r="K29" s="10">
        <f t="shared" si="1"/>
        <v>1.0478803554936508E-2</v>
      </c>
      <c r="L29" s="16">
        <v>1.0500000000000001E-2</v>
      </c>
      <c r="M29" s="9" t="str">
        <f t="shared" si="2"/>
        <v>Sim</v>
      </c>
      <c r="N29" s="16">
        <v>1.23E-2</v>
      </c>
      <c r="O29" s="16">
        <v>1.17E-2</v>
      </c>
      <c r="P29" s="16">
        <v>1.11E-2</v>
      </c>
      <c r="Q29" s="15">
        <v>183773331.81</v>
      </c>
      <c r="R29" s="15">
        <v>174584665.22</v>
      </c>
      <c r="S29" s="15">
        <v>165395998.63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159405778.5</v>
      </c>
      <c r="J30" s="15">
        <v>15292968139.65</v>
      </c>
      <c r="K30" s="10">
        <f t="shared" si="1"/>
        <v>1.0423468946274037E-2</v>
      </c>
      <c r="L30" s="16">
        <v>1.04E-2</v>
      </c>
      <c r="M30" s="9" t="str">
        <f t="shared" si="2"/>
        <v>Sim</v>
      </c>
      <c r="N30" s="16">
        <v>1.23E-2</v>
      </c>
      <c r="O30" s="16">
        <v>1.17E-2</v>
      </c>
      <c r="P30" s="16">
        <v>1.11E-2</v>
      </c>
      <c r="Q30" s="15">
        <v>188103508.12</v>
      </c>
      <c r="R30" s="15">
        <v>178698332.71000001</v>
      </c>
      <c r="S30" s="15">
        <v>169293157.31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158222430.12</v>
      </c>
      <c r="J31" s="15">
        <v>15523452300.73</v>
      </c>
      <c r="K31" s="10">
        <f t="shared" si="1"/>
        <v>1.0192476973215519E-2</v>
      </c>
      <c r="L31" s="16">
        <v>1.0200000000000001E-2</v>
      </c>
      <c r="M31" s="9" t="str">
        <f t="shared" si="2"/>
        <v>Sim</v>
      </c>
      <c r="N31" s="16">
        <v>1.23E-2</v>
      </c>
      <c r="O31" s="16">
        <v>1.17E-2</v>
      </c>
      <c r="P31" s="16">
        <v>1.11E-2</v>
      </c>
      <c r="Q31" s="15">
        <v>190938463.30000001</v>
      </c>
      <c r="R31" s="15">
        <v>181391540.13999999</v>
      </c>
      <c r="S31" s="15">
        <v>171844616.97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160133890.81</v>
      </c>
      <c r="J32" s="15">
        <v>15781229148.99</v>
      </c>
      <c r="K32" s="10">
        <f t="shared" si="1"/>
        <v>1.014711143841724E-2</v>
      </c>
      <c r="L32" s="16">
        <v>1.01E-2</v>
      </c>
      <c r="M32" s="9" t="str">
        <f t="shared" si="2"/>
        <v>Sim</v>
      </c>
      <c r="N32" s="16">
        <v>1.23E-2</v>
      </c>
      <c r="O32" s="16">
        <v>1.17E-2</v>
      </c>
      <c r="P32" s="16">
        <v>1.11E-2</v>
      </c>
      <c r="Q32" s="15">
        <v>194109118.53</v>
      </c>
      <c r="R32" s="15">
        <v>184403662.59999999</v>
      </c>
      <c r="S32" s="15">
        <v>174698206.68000001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162008945.47999999</v>
      </c>
      <c r="J33" s="15">
        <v>16233833150.879999</v>
      </c>
      <c r="K33" s="10">
        <f t="shared" si="1"/>
        <v>9.9797099042636065E-3</v>
      </c>
      <c r="L33" s="16">
        <v>0.01</v>
      </c>
      <c r="M33" s="9" t="str">
        <f t="shared" si="2"/>
        <v>Sim</v>
      </c>
      <c r="N33" s="16">
        <v>1.23E-2</v>
      </c>
      <c r="O33" s="16">
        <v>1.17E-2</v>
      </c>
      <c r="P33" s="16">
        <v>1.11E-2</v>
      </c>
      <c r="Q33" s="15">
        <v>199676147.75999999</v>
      </c>
      <c r="R33" s="15">
        <v>189692340.37</v>
      </c>
      <c r="S33" s="15">
        <v>179708532.97999999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159675752.15000001</v>
      </c>
      <c r="J34" s="15">
        <v>13498267979.540001</v>
      </c>
      <c r="K34" s="10">
        <f t="shared" si="1"/>
        <v>1.1829351172463646E-2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162328478.27000001</v>
      </c>
      <c r="J35" s="15">
        <v>14173626238.969999</v>
      </c>
      <c r="K35" s="10">
        <f t="shared" si="1"/>
        <v>1.1452854444805542E-2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170349576.34999999</v>
      </c>
      <c r="J36" s="15">
        <v>14600906289.620001</v>
      </c>
      <c r="K36" s="10">
        <f t="shared" si="1"/>
        <v>1.1667054973916518E-2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182343738.28999999</v>
      </c>
      <c r="J37" s="15">
        <v>14940921285.450001</v>
      </c>
      <c r="K37" s="10">
        <f t="shared" si="1"/>
        <v>1.2204316909665591E-2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192833560.61000001</v>
      </c>
      <c r="J38" s="15">
        <v>15292968139.65</v>
      </c>
      <c r="K38" s="10">
        <f t="shared" si="1"/>
        <v>1.2609295909669846E-2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182640042.22</v>
      </c>
      <c r="J39" s="15">
        <v>15523452300.73</v>
      </c>
      <c r="K39" s="10">
        <f t="shared" si="1"/>
        <v>1.1765426831724232E-2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199828653.46000001</v>
      </c>
      <c r="J40" s="15">
        <v>15781229148.99</v>
      </c>
      <c r="K40" s="10">
        <f t="shared" si="1"/>
        <v>1.2662426454455802E-2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214541881.53999999</v>
      </c>
      <c r="J41" s="15">
        <v>16233833150.879999</v>
      </c>
      <c r="K41" s="10">
        <f t="shared" si="1"/>
        <v>1.3215725426398766E-2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173744854.13</v>
      </c>
      <c r="J42" s="15">
        <v>13498267979.540001</v>
      </c>
      <c r="K42" s="10">
        <f t="shared" si="1"/>
        <v>1.2871640598138499E-2</v>
      </c>
      <c r="L42" s="16">
        <v>1.29E-2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269965359.58999997</v>
      </c>
      <c r="R42" s="15">
        <v>256467091.61000001</v>
      </c>
      <c r="S42" s="15">
        <v>242968823.63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177237084.05000001</v>
      </c>
      <c r="J43" s="15">
        <v>14173626238.969999</v>
      </c>
      <c r="K43" s="10">
        <f t="shared" si="1"/>
        <v>1.2504709878879935E-2</v>
      </c>
      <c r="L43" s="16">
        <v>1.2500000000000001E-2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283472524.77999997</v>
      </c>
      <c r="R43" s="15">
        <v>269298898.54000002</v>
      </c>
      <c r="S43" s="15">
        <v>255125272.30000001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188111723.94</v>
      </c>
      <c r="J44" s="15">
        <v>14600906289.620001</v>
      </c>
      <c r="K44" s="10">
        <f t="shared" si="1"/>
        <v>1.2883564910880319E-2</v>
      </c>
      <c r="L44" s="16">
        <v>1.29E-2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292018125.79000002</v>
      </c>
      <c r="R44" s="15">
        <v>277417219.5</v>
      </c>
      <c r="S44" s="15">
        <v>262816313.21000001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198137626.12</v>
      </c>
      <c r="J45" s="15">
        <v>14940921285.450001</v>
      </c>
      <c r="K45" s="10">
        <f t="shared" si="1"/>
        <v>1.3261406196748621E-2</v>
      </c>
      <c r="L45" s="16">
        <v>1.3299999999999999E-2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298818425.70999998</v>
      </c>
      <c r="R45" s="15">
        <v>283877504.42000002</v>
      </c>
      <c r="S45" s="15">
        <v>268936583.13999999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208273522.09</v>
      </c>
      <c r="J46" s="15">
        <v>15292968139.65</v>
      </c>
      <c r="K46" s="10">
        <f t="shared" si="1"/>
        <v>1.361890773511849E-2</v>
      </c>
      <c r="L46" s="16">
        <v>1.3599999999999999E-2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305859362.79000002</v>
      </c>
      <c r="R46" s="15">
        <v>290566394.64999998</v>
      </c>
      <c r="S46" s="15">
        <v>275273426.50999999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212279833.59999999</v>
      </c>
      <c r="J47" s="15">
        <v>15523452300.73</v>
      </c>
      <c r="K47" s="10">
        <f t="shared" si="1"/>
        <v>1.3674782483147605E-2</v>
      </c>
      <c r="L47" s="16">
        <v>1.37E-2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310469046.00999999</v>
      </c>
      <c r="R47" s="15">
        <v>294945593.70999998</v>
      </c>
      <c r="S47" s="15">
        <v>279422141.41000003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218609074.15000001</v>
      </c>
      <c r="J48" s="15">
        <v>15781229148.99</v>
      </c>
      <c r="K48" s="10">
        <f t="shared" si="1"/>
        <v>1.3852474486373643E-2</v>
      </c>
      <c r="L48" s="16">
        <v>1.3899999999999999E-2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315624582.98000002</v>
      </c>
      <c r="R48" s="15">
        <v>299843353.82999998</v>
      </c>
      <c r="S48" s="15">
        <v>284062124.68000001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227402491.97999999</v>
      </c>
      <c r="J49" s="15">
        <v>16233833150.879999</v>
      </c>
      <c r="K49" s="10">
        <f t="shared" si="1"/>
        <v>1.4007935763937121E-2</v>
      </c>
      <c r="L49" s="16">
        <v>1.4E-2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324676663.01999998</v>
      </c>
      <c r="R49" s="15">
        <v>308442829.87</v>
      </c>
      <c r="S49" s="15">
        <v>292208996.72000003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15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2026-10-15T10:08:09Z</dcterms:created>
  <dcterms:modified xsi:type="dcterms:W3CDTF">2026-10-15T10:08:43Z</dcterms:modified>
</cp:coreProperties>
</file>