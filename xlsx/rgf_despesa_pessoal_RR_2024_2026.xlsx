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5A149C9FF88BB93563F2C872A4C8551FA7092E89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I20" i="1"/>
  <c r="H20" i="1"/>
  <c r="G20" i="1"/>
  <c r="F20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F17" i="1"/>
  <c r="E17" i="1"/>
  <c r="D17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22" i="2"/>
  <c r="M22" i="2"/>
  <c r="F21" i="1"/>
  <c r="C21" i="1"/>
  <c r="G21" i="1"/>
  <c r="E21" i="1"/>
  <c r="D21" i="1"/>
  <c r="J20" i="1"/>
  <c r="J19" i="1"/>
  <c r="I19" i="1"/>
  <c r="T5" i="2"/>
  <c r="M5" i="2"/>
  <c r="J21" i="1"/>
  <c r="I21" i="1"/>
  <c r="H21" i="1"/>
  <c r="E20" i="1"/>
  <c r="D20" i="1"/>
  <c r="C20" i="1"/>
  <c r="I17" i="1"/>
  <c r="H17" i="1"/>
  <c r="G17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M42" i="2"/>
  <c r="T42" i="2"/>
  <c r="T33" i="2"/>
  <c r="L9" i="1" s="1"/>
  <c r="M33" i="2"/>
  <c r="T32" i="2"/>
  <c r="M32" i="2"/>
  <c r="T31" i="2"/>
  <c r="M31" i="2"/>
  <c r="T29" i="2"/>
  <c r="M29" i="2"/>
  <c r="T28" i="2"/>
  <c r="M28" i="2"/>
  <c r="M27" i="2"/>
  <c r="T27" i="2"/>
  <c r="T26" i="2"/>
  <c r="M26" i="2"/>
  <c r="M25" i="2"/>
  <c r="T25" i="2"/>
  <c r="L8" i="1" s="1"/>
  <c r="T24" i="2"/>
  <c r="M24" i="2"/>
  <c r="M23" i="2"/>
  <c r="T23" i="2"/>
  <c r="T21" i="2"/>
  <c r="M21" i="2"/>
  <c r="M20" i="2"/>
  <c r="T20" i="2"/>
  <c r="T19" i="2"/>
  <c r="M19" i="2"/>
  <c r="T18" i="2"/>
  <c r="M18" i="2"/>
  <c r="T17" i="2"/>
  <c r="L7" i="1" s="1"/>
  <c r="M17" i="2"/>
  <c r="M16" i="2"/>
  <c r="T16" i="2"/>
  <c r="M15" i="2"/>
  <c r="T15" i="2"/>
  <c r="M14" i="2"/>
  <c r="T14" i="2"/>
  <c r="T13" i="2"/>
  <c r="M13" i="2"/>
  <c r="T12" i="2"/>
  <c r="M12" i="2"/>
  <c r="T11" i="2"/>
  <c r="M11" i="2"/>
  <c r="T10" i="2"/>
  <c r="M10" i="2"/>
  <c r="T9" i="2"/>
  <c r="L6" i="1" s="1"/>
  <c r="M9" i="2"/>
  <c r="T8" i="2"/>
  <c r="M8" i="2"/>
  <c r="T7" i="2"/>
  <c r="M7" i="2"/>
  <c r="T6" i="2"/>
  <c r="M6" i="2"/>
  <c r="T4" i="2"/>
  <c r="M4" i="2"/>
  <c r="T3" i="2"/>
  <c r="M3" i="2"/>
  <c r="M2" i="2"/>
  <c r="T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<sst xmlns="http://schemas.openxmlformats.org/spreadsheetml/2006/main" count="427" uniqueCount="83">
  <si>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Roraima (RR)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</si>
  <si>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</si>
  <si>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</si>
  <si>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</si>
  <si>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</si>
  <si>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</si>
  <si>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</si>
  <si>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</si>
  <si>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</si>
  <si>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</si>
  <si>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</si>
  <si>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</si>
  <si>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</si>
  <si>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</si>
  <si>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</si>
  <si>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</si>
  <si>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</si>
  <si>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</si>
  <si>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</si>
  <si>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</si>
  <si>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</si>
  <si>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</si>
  <si>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</si>
  <si>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</si>
  <si>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</si>
  <si>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</si>
  <si>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</si>
  <si>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</si>
  <si>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</si>
  <si>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</si>
  <si>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</si>
  <si>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</si>
  <si>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</si>
  <si>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</si>
  <si>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</si>
  <si>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</si>
  <si>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</si>
  <si>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</si>
  <si>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</si>
  <si>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</si>
  <si>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</si>
  <si>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</si>
  <si>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</si>
  <si>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</si>
  <si>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</si>
  <si>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</si>
  <si>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</si>
  <si>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Roraima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</si>
  <si>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</si>
  <si>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</si>
  <si>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</si>
  <si>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</si>
  <si>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</si>
  <si>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</si>
  <si>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</si>
  <si>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</si>
  <si>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</si>
  <si>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</si>
  <si>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</si>
  <si>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</si>
  <si>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Roraima</t>
  </si>
  <si>
    <t>Tribunal de Justiça do Estado de Roraima</t>
  </si>
  <si>
    <t>Tribunal de Contas do Estado de Roraima</t>
  </si>
  <si>
    <t>Defensoria Pública do Estado de Roraima</t>
  </si>
  <si>
    <t>Calculado (despesa líquida / RCL Ajustada do Executivo)</t>
  </si>
  <si>
    <t>Ministério Público do Estado de Roraima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</si>
  <si>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</si>
  <si>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</si>
  <si>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</si>
  <si>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</si>
  <si>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Roraima (RR).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</si>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</sst>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0.48718122533378594</v>
      </c>
      <c r="D6" s="7">
        <f>IFERROR(IF(INDEX(Dados!$K$2:$K$49,MATCH($A6&amp;"|"&amp;D$5,Dados!$A$2:$A$49,0))="","",INDEX(Dados!$K$2:$K$49,MATCH($A6&amp;"|"&amp;D$5,Dados!$A$2:$A$49,0))),"")</f>
        <v>0.46795678552153508</v>
      </c>
      <c r="E6" s="7">
        <f>IFERROR(IF(INDEX(Dados!$K$2:$K$49,MATCH($A6&amp;"|"&amp;E$5,Dados!$A$2:$A$49,0))="","",INDEX(Dados!$K$2:$K$49,MATCH($A6&amp;"|"&amp;E$5,Dados!$A$2:$A$49,0))),"")</f>
        <v>0.47274912341091196</v>
      </c>
      <c r="F6" s="7">
        <f>IFERROR(IF(INDEX(Dados!$K$2:$K$49,MATCH($A6&amp;"|"&amp;F$5,Dados!$A$2:$A$49,0))="","",INDEX(Dados!$K$2:$K$49,MATCH($A6&amp;"|"&amp;F$5,Dados!$A$2:$A$49,0))),"")</f>
        <v>0.46806030184842939</v>
      </c>
      <c r="G6" s="7">
        <f>IFERROR(IF(INDEX(Dados!$K$2:$K$49,MATCH($A6&amp;"|"&amp;G$5,Dados!$A$2:$A$49,0))="","",INDEX(Dados!$K$2:$K$49,MATCH($A6&amp;"|"&amp;G$5,Dados!$A$2:$A$49,0))),"")</f>
        <v>0.45489943356728729</v>
      </c>
      <c r="H6" s="7">
        <f>IFERROR(IF(INDEX(Dados!$K$2:$K$49,MATCH($A6&amp;"|"&amp;H$5,Dados!$A$2:$A$49,0))="","",INDEX(Dados!$K$2:$K$49,MATCH($A6&amp;"|"&amp;H$5,Dados!$A$2:$A$49,0))),"")</f>
        <v>0.44795343815356742</v>
      </c>
      <c r="I6" s="7">
        <f>IFERROR(IF(INDEX(Dados!$K$2:$K$49,MATCH($A6&amp;"|"&amp;I$5,Dados!$A$2:$A$49,0))="","",INDEX(Dados!$K$2:$K$49,MATCH($A6&amp;"|"&amp;I$5,Dados!$A$2:$A$49,0))),"")</f>
        <v>0.4489054483906873</v>
      </c>
      <c r="J6" s="7">
        <f>IFERROR(IF(INDEX(Dados!$K$2:$K$49,MATCH($A6&amp;"|"&amp;J$5,Dados!$A$2:$A$49,0))="","",INDEX(Dados!$K$2:$K$49,MATCH($A6&amp;"|"&amp;J$5,Dados!$A$2:$A$49,0))),"")</f>
        <v>0.45739606438890651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Acima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2.09177165098446E-2</v>
      </c>
      <c r="D7" s="10">
        <f>IFERROR(IF(INDEX(Dados!$K$2:$K$49,MATCH($A7&amp;"|"&amp;D$5,Dados!$A$2:$A$49,0))="","",INDEX(Dados!$K$2:$K$49,MATCH($A7&amp;"|"&amp;D$5,Dados!$A$2:$A$49,0))),"")</f>
        <v>2.0910218142656162E-2</v>
      </c>
      <c r="E7" s="10">
        <f>IFERROR(IF(INDEX(Dados!$K$2:$K$49,MATCH($A7&amp;"|"&amp;E$5,Dados!$A$2:$A$49,0))="","",INDEX(Dados!$K$2:$K$49,MATCH($A7&amp;"|"&amp;E$5,Dados!$A$2:$A$49,0))),"")</f>
        <v>2.1338245896226658E-2</v>
      </c>
      <c r="F7" s="10">
        <f>IFERROR(IF(INDEX(Dados!$K$2:$K$49,MATCH($A7&amp;"|"&amp;F$5,Dados!$A$2:$A$49,0))="","",INDEX(Dados!$K$2:$K$49,MATCH($A7&amp;"|"&amp;F$5,Dados!$A$2:$A$49,0))),"")</f>
        <v>2.1813556121779105E-2</v>
      </c>
      <c r="G7" s="10">
        <f>IFERROR(IF(INDEX(Dados!$K$2:$K$49,MATCH($A7&amp;"|"&amp;G$5,Dados!$A$2:$A$49,0))="","",INDEX(Dados!$K$2:$K$49,MATCH($A7&amp;"|"&amp;G$5,Dados!$A$2:$A$49,0))),"")</f>
        <v>2.1872734973659505E-2</v>
      </c>
      <c r="H7" s="10">
        <f>IFERROR(IF(INDEX(Dados!$K$2:$K$49,MATCH($A7&amp;"|"&amp;H$5,Dados!$A$2:$A$49,0))="","",INDEX(Dados!$K$2:$K$49,MATCH($A7&amp;"|"&amp;H$5,Dados!$A$2:$A$49,0))),"")</f>
        <v>2.3089855265926593E-2</v>
      </c>
      <c r="I7" s="10">
        <f>IFERROR(IF(INDEX(Dados!$K$2:$K$49,MATCH($A7&amp;"|"&amp;I$5,Dados!$A$2:$A$49,0))="","",INDEX(Dados!$K$2:$K$49,MATCH($A7&amp;"|"&amp;I$5,Dados!$A$2:$A$49,0))),"")</f>
        <v>2.2972858685977492E-2</v>
      </c>
      <c r="J7" s="10">
        <f>IFERROR(IF(INDEX(Dados!$K$2:$K$49,MATCH($A7&amp;"|"&amp;J$5,Dados!$A$2:$A$49,0))="","",INDEX(Dados!$K$2:$K$49,MATCH($A7&amp;"|"&amp;J$5,Dados!$A$2:$A$49,0))),"")</f>
        <v>2.3153186352012103E-2</v>
      </c>
      <c r="K7" s="10">
        <f>IFERROR(IF(INDEX(Dados!$N$2:$N$49,MATCH($A7&amp;"|"&amp;J$5,Dados!$A$2:$A$49,0))=0,"—",INDEX(Dados!$N$2:$N$49,MATCH($A7&amp;"|"&amp;J$5,Dados!$A$2:$A$49,0))),"—")</f>
        <v>2.1299999999999999E-2</v>
      </c>
      <c r="L7" s="9" t="str">
        <f>IFERROR(IF(INDEX(Dados!$T$2:$T$49,MATCH($A7&amp;"|"&amp;J$5,Dados!$A$2:$A$49,0))="","—",INDEX(Dados!$T$2:$T$49,MATCH($A7&amp;"|"&amp;J$5,Dados!$A$2:$A$49,0))),"—")</f>
        <v>Acima do limite máximo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3.8772907555449654E-2</v>
      </c>
      <c r="D8" s="10">
        <f>IFERROR(IF(INDEX(Dados!$K$2:$K$49,MATCH($A8&amp;"|"&amp;D$5,Dados!$A$2:$A$49,0))="","",INDEX(Dados!$K$2:$K$49,MATCH($A8&amp;"|"&amp;D$5,Dados!$A$2:$A$49,0))),"")</f>
        <v>3.8022535190648007E-2</v>
      </c>
      <c r="E8" s="10">
        <f>IFERROR(IF(INDEX(Dados!$K$2:$K$49,MATCH($A8&amp;"|"&amp;E$5,Dados!$A$2:$A$49,0))="","",INDEX(Dados!$K$2:$K$49,MATCH($A8&amp;"|"&amp;E$5,Dados!$A$2:$A$49,0))),"")</f>
        <v>3.9446353264364596E-2</v>
      </c>
      <c r="F8" s="10">
        <f>IFERROR(IF(INDEX(Dados!$K$2:$K$49,MATCH($A8&amp;"|"&amp;F$5,Dados!$A$2:$A$49,0))="","",INDEX(Dados!$K$2:$K$49,MATCH($A8&amp;"|"&amp;F$5,Dados!$A$2:$A$49,0))),"")</f>
        <v>3.9013822397305706E-2</v>
      </c>
      <c r="G8" s="10">
        <f>IFERROR(IF(INDEX(Dados!$K$2:$K$49,MATCH($A8&amp;"|"&amp;G$5,Dados!$A$2:$A$49,0))="","",INDEX(Dados!$K$2:$K$49,MATCH($A8&amp;"|"&amp;G$5,Dados!$A$2:$A$49,0))),"")</f>
        <v>3.8441475143164254E-2</v>
      </c>
      <c r="H8" s="10">
        <f>IFERROR(IF(INDEX(Dados!$K$2:$K$49,MATCH($A8&amp;"|"&amp;H$5,Dados!$A$2:$A$49,0))="","",INDEX(Dados!$K$2:$K$49,MATCH($A8&amp;"|"&amp;H$5,Dados!$A$2:$A$49,0))),"")</f>
        <v>3.9795317277129802E-2</v>
      </c>
      <c r="I8" s="10">
        <f>IFERROR(IF(INDEX(Dados!$K$2:$K$49,MATCH($A8&amp;"|"&amp;I$5,Dados!$A$2:$A$49,0))="","",INDEX(Dados!$K$2:$K$49,MATCH($A8&amp;"|"&amp;I$5,Dados!$A$2:$A$49,0))),"")</f>
        <v>3.9490588559772256E-2</v>
      </c>
      <c r="J8" s="10">
        <f>IFERROR(IF(INDEX(Dados!$K$2:$K$49,MATCH($A8&amp;"|"&amp;J$5,Dados!$A$2:$A$49,0))="","",INDEX(Dados!$K$2:$K$49,MATCH($A8&amp;"|"&amp;J$5,Dados!$A$2:$A$49,0))),"")</f>
        <v>3.8420064886643374E-2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1.0903275127719457E-2</v>
      </c>
      <c r="D9" s="10">
        <f>IFERROR(IF(INDEX(Dados!$K$2:$K$49,MATCH($A9&amp;"|"&amp;D$5,Dados!$A$2:$A$49,0))="","",INDEX(Dados!$K$2:$K$49,MATCH($A9&amp;"|"&amp;D$5,Dados!$A$2:$A$49,0))),"")</f>
        <v>1.0524195506229834E-2</v>
      </c>
      <c r="E9" s="10">
        <f>IFERROR(IF(INDEX(Dados!$K$2:$K$49,MATCH($A9&amp;"|"&amp;E$5,Dados!$A$2:$A$49,0))="","",INDEX(Dados!$K$2:$K$49,MATCH($A9&amp;"|"&amp;E$5,Dados!$A$2:$A$49,0))),"")</f>
        <v>1.0735929530886184E-2</v>
      </c>
      <c r="F9" s="10">
        <f>IFERROR(IF(INDEX(Dados!$K$2:$K$49,MATCH($A9&amp;"|"&amp;F$5,Dados!$A$2:$A$49,0))="","",INDEX(Dados!$K$2:$K$49,MATCH($A9&amp;"|"&amp;F$5,Dados!$A$2:$A$49,0))),"")</f>
        <v>1.0622980380464652E-2</v>
      </c>
      <c r="G9" s="10">
        <f>IFERROR(IF(INDEX(Dados!$K$2:$K$49,MATCH($A9&amp;"|"&amp;G$5,Dados!$A$2:$A$49,0))="","",INDEX(Dados!$K$2:$K$49,MATCH($A9&amp;"|"&amp;G$5,Dados!$A$2:$A$49,0))),"")</f>
        <v>1.0584947139902838E-2</v>
      </c>
      <c r="H9" s="10">
        <f>IFERROR(IF(INDEX(Dados!$K$2:$K$49,MATCH($A9&amp;"|"&amp;H$5,Dados!$A$2:$A$49,0))="","",INDEX(Dados!$K$2:$K$49,MATCH($A9&amp;"|"&amp;H$5,Dados!$A$2:$A$49,0))),"")</f>
        <v>1.0421320873920977E-2</v>
      </c>
      <c r="I9" s="10">
        <f>IFERROR(IF(INDEX(Dados!$K$2:$K$49,MATCH($A9&amp;"|"&amp;I$5,Dados!$A$2:$A$49,0))="","",INDEX(Dados!$K$2:$K$49,MATCH($A9&amp;"|"&amp;I$5,Dados!$A$2:$A$49,0))),"")</f>
        <v>1.0390244112117978E-2</v>
      </c>
      <c r="J9" s="10">
        <f>IFERROR(IF(INDEX(Dados!$K$2:$K$49,MATCH($A9&amp;"|"&amp;J$5,Dados!$A$2:$A$49,0))="","",INDEX(Dados!$K$2:$K$49,MATCH($A9&amp;"|"&amp;J$5,Dados!$A$2:$A$49,0))),"")</f>
        <v>1.0025897182551804E-2</v>
      </c>
      <c r="K9" s="10">
        <f>IFERROR(IF(INDEX(Dados!$N$2:$N$49,MATCH($A9&amp;"|"&amp;J$5,Dados!$A$2:$A$49,0))=0,"—",INDEX(Dados!$N$2:$N$49,MATCH($A9&amp;"|"&amp;J$5,Dados!$A$2:$A$49,0))),"—")</f>
        <v>8.6999999999999994E-3</v>
      </c>
      <c r="L9" s="9" t="str">
        <f>IFERROR(IF(INDEX(Dados!$T$2:$T$49,MATCH($A9&amp;"|"&amp;J$5,Dados!$A$2:$A$49,0))="","—",INDEX(Dados!$T$2:$T$49,MATCH($A9&amp;"|"&amp;J$5,Dados!$A$2:$A$49,0))),"—")</f>
        <v>Acima do limite máximo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9.4358083580266122E-3</v>
      </c>
      <c r="D10" s="10">
        <f>IFERROR(IF(INDEX(Dados!$K$2:$K$49,MATCH($A10&amp;"|"&amp;D$5,Dados!$A$2:$A$49,0))="","",INDEX(Dados!$K$2:$K$49,MATCH($A10&amp;"|"&amp;D$5,Dados!$A$2:$A$49,0))),"")</f>
        <v>9.2913755027841695E-3</v>
      </c>
      <c r="E10" s="10">
        <f>IFERROR(IF(INDEX(Dados!$K$2:$K$49,MATCH($A10&amp;"|"&amp;E$5,Dados!$A$2:$A$49,0))="","",INDEX(Dados!$K$2:$K$49,MATCH($A10&amp;"|"&amp;E$5,Dados!$A$2:$A$49,0))),"")</f>
        <v>9.697040284982656E-3</v>
      </c>
      <c r="F10" s="10">
        <f>IFERROR(IF(INDEX(Dados!$K$2:$K$49,MATCH($A10&amp;"|"&amp;F$5,Dados!$A$2:$A$49,0))="","",INDEX(Dados!$K$2:$K$49,MATCH($A10&amp;"|"&amp;F$5,Dados!$A$2:$A$49,0))),"")</f>
        <v>9.2730889517642547E-3</v>
      </c>
      <c r="G10" s="10">
        <f>IFERROR(IF(INDEX(Dados!$K$2:$K$49,MATCH($A10&amp;"|"&amp;G$5,Dados!$A$2:$A$49,0))="","",INDEX(Dados!$K$2:$K$49,MATCH($A10&amp;"|"&amp;G$5,Dados!$A$2:$A$49,0))),"")</f>
        <v>9.4925061096544031E-3</v>
      </c>
      <c r="H10" s="10">
        <f>IFERROR(IF(INDEX(Dados!$K$2:$K$49,MATCH($A10&amp;"|"&amp;H$5,Dados!$A$2:$A$49,0))="","",INDEX(Dados!$K$2:$K$49,MATCH($A10&amp;"|"&amp;H$5,Dados!$A$2:$A$49,0))),"")</f>
        <v>7.9211708912565338E-3</v>
      </c>
      <c r="I10" s="10">
        <f>IFERROR(IF(INDEX(Dados!$K$2:$K$49,MATCH($A10&amp;"|"&amp;I$5,Dados!$A$2:$A$49,0))="","",INDEX(Dados!$K$2:$K$49,MATCH($A10&amp;"|"&amp;I$5,Dados!$A$2:$A$49,0))),"")</f>
        <v>8.0263009989669527E-3</v>
      </c>
      <c r="J10" s="10">
        <f>IFERROR(IF(INDEX(Dados!$K$2:$K$49,MATCH($A10&amp;"|"&amp;J$5,Dados!$A$2:$A$49,0))="","",INDEX(Dados!$K$2:$K$49,MATCH($A10&amp;"|"&amp;J$5,Dados!$A$2:$A$49,0))),"")</f>
        <v>8.2182687864675238E-3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1.276437657953468E-2</v>
      </c>
      <c r="D11" s="10">
        <f>IFERROR(IF(INDEX(Dados!$K$2:$K$49,MATCH($A11&amp;"|"&amp;D$5,Dados!$A$2:$A$49,0))="","",INDEX(Dados!$K$2:$K$49,MATCH($A11&amp;"|"&amp;D$5,Dados!$A$2:$A$49,0))),"")</f>
        <v>1.2441916074545712E-2</v>
      </c>
      <c r="E11" s="10">
        <f>IFERROR(IF(INDEX(Dados!$K$2:$K$49,MATCH($A11&amp;"|"&amp;E$5,Dados!$A$2:$A$49,0))="","",INDEX(Dados!$K$2:$K$49,MATCH($A11&amp;"|"&amp;E$5,Dados!$A$2:$A$49,0))),"")</f>
        <v>1.2574089002848602E-2</v>
      </c>
      <c r="F11" s="10">
        <f>IFERROR(IF(INDEX(Dados!$K$2:$K$49,MATCH($A11&amp;"|"&amp;F$5,Dados!$A$2:$A$49,0))="","",INDEX(Dados!$K$2:$K$49,MATCH($A11&amp;"|"&amp;F$5,Dados!$A$2:$A$49,0))),"")</f>
        <v>1.2465999906462471E-2</v>
      </c>
      <c r="G11" s="10">
        <f>IFERROR(IF(INDEX(Dados!$K$2:$K$49,MATCH($A11&amp;"|"&amp;G$5,Dados!$A$2:$A$49,0))="","",INDEX(Dados!$K$2:$K$49,MATCH($A11&amp;"|"&amp;G$5,Dados!$A$2:$A$49,0))),"")</f>
        <v>1.2745397386524006E-2</v>
      </c>
      <c r="H11" s="10">
        <f>IFERROR(IF(INDEX(Dados!$K$2:$K$49,MATCH($A11&amp;"|"&amp;H$5,Dados!$A$2:$A$49,0))="","",INDEX(Dados!$K$2:$K$49,MATCH($A11&amp;"|"&amp;H$5,Dados!$A$2:$A$49,0))),"")</f>
        <v>1.3027662086586391E-2</v>
      </c>
      <c r="I11" s="10">
        <f>IFERROR(IF(INDEX(Dados!$K$2:$K$49,MATCH($A11&amp;"|"&amp;I$5,Dados!$A$2:$A$49,0))="","",INDEX(Dados!$K$2:$K$49,MATCH($A11&amp;"|"&amp;I$5,Dados!$A$2:$A$49,0))),"")</f>
        <v>1.3162994083325868E-2</v>
      </c>
      <c r="J11" s="10">
        <f>IFERROR(IF(INDEX(Dados!$K$2:$K$49,MATCH($A11&amp;"|"&amp;J$5,Dados!$A$2:$A$49,0))="","",INDEX(Dados!$K$2:$K$49,MATCH($A11&amp;"|"&amp;J$5,Dados!$A$2:$A$49,0))),"")</f>
        <v>1.2641819049514441E-2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7234.7318448799997</v>
      </c>
      <c r="D12" s="12">
        <f>IFERROR(INDEX(Dados!$J$2:$J$49,MATCH("Governo|"&amp;D$5,Dados!$A$2:$A$49,0))/1000000,"")</f>
        <v>7657.9901069200005</v>
      </c>
      <c r="E12" s="12">
        <f>IFERROR(INDEX(Dados!$J$2:$J$49,MATCH("Governo|"&amp;E$5,Dados!$A$2:$A$49,0))/1000000,"")</f>
        <v>7746.9960072600006</v>
      </c>
      <c r="F12" s="12">
        <f>IFERROR(INDEX(Dados!$J$2:$J$49,MATCH("Governo|"&amp;F$5,Dados!$A$2:$A$49,0))/1000000,"")</f>
        <v>7974.79632889</v>
      </c>
      <c r="G12" s="12">
        <f>IFERROR(INDEX(Dados!$J$2:$J$49,MATCH("Governo|"&amp;G$5,Dados!$A$2:$A$49,0))/1000000,"")</f>
        <v>8285.53463242</v>
      </c>
      <c r="H12" s="12">
        <f>IFERROR(INDEX(Dados!$J$2:$J$49,MATCH("Governo|"&amp;H$5,Dados!$A$2:$A$49,0))/1000000,"")</f>
        <v>8579.6067150899999</v>
      </c>
      <c r="I12" s="12">
        <f>IFERROR(INDEX(Dados!$J$2:$J$49,MATCH("Governo|"&amp;I$5,Dados!$A$2:$A$49,0))/1000000,"")</f>
        <v>8814.974575350001</v>
      </c>
      <c r="J12" s="12">
        <f>IFERROR(INDEX(Dados!$J$2:$J$49,MATCH("Governo|"&amp;J$5,Dados!$A$2:$A$49,0))/1000000,"")</f>
        <v>9261.3915981099999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3524.6255251500002</v>
      </c>
      <c r="D16" s="13">
        <f>IFERROR(IF(INDEX(Dados!$I$2:$I$49,MATCH($A16&amp;"|"&amp;D$15,Dados!$A$2:$A$49,0))="","",INDEX(Dados!$I$2:$I$49,MATCH($A16&amp;"|"&amp;D$15,Dados!$A$2:$A$49,0))/1000000),"")</f>
        <v>3583.6084339899999</v>
      </c>
      <c r="E16" s="13">
        <f>IFERROR(IF(INDEX(Dados!$I$2:$I$49,MATCH($A16&amp;"|"&amp;E$15,Dados!$A$2:$A$49,0))="","",INDEX(Dados!$I$2:$I$49,MATCH($A16&amp;"|"&amp;E$15,Dados!$A$2:$A$49,0))/1000000),"")</f>
        <v>3662.3855715</v>
      </c>
      <c r="F16" s="13">
        <f>IFERROR(IF(INDEX(Dados!$I$2:$I$49,MATCH($A16&amp;"|"&amp;F$15,Dados!$A$2:$A$49,0))="","",INDEX(Dados!$I$2:$I$49,MATCH($A16&amp;"|"&amp;F$15,Dados!$A$2:$A$49,0))/1000000),"")</f>
        <v>3732.6855768800001</v>
      </c>
      <c r="G16" s="13">
        <f>IFERROR(IF(INDEX(Dados!$I$2:$I$49,MATCH($A16&amp;"|"&amp;G$15,Dados!$A$2:$A$49,0))="","",INDEX(Dados!$I$2:$I$49,MATCH($A16&amp;"|"&amp;G$15,Dados!$A$2:$A$49,0))/1000000),"")</f>
        <v>3769.0850110900001</v>
      </c>
      <c r="H16" s="13">
        <f>IFERROR(IF(INDEX(Dados!$I$2:$I$49,MATCH($A16&amp;"|"&amp;H$15,Dados!$A$2:$A$49,0))="","",INDEX(Dados!$I$2:$I$49,MATCH($A16&amp;"|"&amp;H$15,Dados!$A$2:$A$49,0))/1000000),"")</f>
        <v>3843.2643260300001</v>
      </c>
      <c r="I16" s="13">
        <f>IFERROR(IF(INDEX(Dados!$I$2:$I$49,MATCH($A16&amp;"|"&amp;I$15,Dados!$A$2:$A$49,0))="","",INDEX(Dados!$I$2:$I$49,MATCH($A16&amp;"|"&amp;I$15,Dados!$A$2:$A$49,0))/1000000),"")</f>
        <v>3957.0901143000001</v>
      </c>
      <c r="J16" s="13">
        <f>IFERROR(IF(INDEX(Dados!$I$2:$I$49,MATCH($A16&amp;"|"&amp;J$15,Dados!$A$2:$A$49,0))="","",INDEX(Dados!$I$2:$I$49,MATCH($A16&amp;"|"&amp;J$15,Dados!$A$2:$A$49,0))/1000000),"")</f>
        <v>4236.1240677400001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151.33405093000002</v>
      </c>
      <c r="D17" s="14">
        <f>IFERROR(IF(INDEX(Dados!$I$2:$I$49,MATCH($A17&amp;"|"&amp;D$15,Dados!$A$2:$A$49,0))="","",INDEX(Dados!$I$2:$I$49,MATCH($A17&amp;"|"&amp;D$15,Dados!$A$2:$A$49,0))/1000000),"")</f>
        <v>160.13024367</v>
      </c>
      <c r="E17" s="14">
        <f>IFERROR(IF(INDEX(Dados!$I$2:$I$49,MATCH($A17&amp;"|"&amp;E$15,Dados!$A$2:$A$49,0))="","",INDEX(Dados!$I$2:$I$49,MATCH($A17&amp;"|"&amp;E$15,Dados!$A$2:$A$49,0))/1000000),"")</f>
        <v>165.30730575999999</v>
      </c>
      <c r="F17" s="14">
        <f>IFERROR(IF(INDEX(Dados!$I$2:$I$49,MATCH($A17&amp;"|"&amp;F$15,Dados!$A$2:$A$49,0))="","",INDEX(Dados!$I$2:$I$49,MATCH($A17&amp;"|"&amp;F$15,Dados!$A$2:$A$49,0))/1000000),"")</f>
        <v>173.95866728000001</v>
      </c>
      <c r="G17" s="14">
        <f>IFERROR(IF(INDEX(Dados!$I$2:$I$49,MATCH($A17&amp;"|"&amp;G$15,Dados!$A$2:$A$49,0))="","",INDEX(Dados!$I$2:$I$49,MATCH($A17&amp;"|"&amp;G$15,Dados!$A$2:$A$49,0))/1000000),"")</f>
        <v>181.22730313</v>
      </c>
      <c r="H17" s="14">
        <f>IFERROR(IF(INDEX(Dados!$I$2:$I$49,MATCH($A17&amp;"|"&amp;H$15,Dados!$A$2:$A$49,0))="","",INDEX(Dados!$I$2:$I$49,MATCH($A17&amp;"|"&amp;H$15,Dados!$A$2:$A$49,0))/1000000),"")</f>
        <v>198.10187729</v>
      </c>
      <c r="I17" s="14">
        <f>IFERROR(IF(INDEX(Dados!$I$2:$I$49,MATCH($A17&amp;"|"&amp;I$15,Dados!$A$2:$A$49,0))="","",INDEX(Dados!$I$2:$I$49,MATCH($A17&amp;"|"&amp;I$15,Dados!$A$2:$A$49,0))/1000000),"")</f>
        <v>202.50516524</v>
      </c>
      <c r="J17" s="14">
        <f>IFERROR(IF(INDEX(Dados!$I$2:$I$49,MATCH($A17&amp;"|"&amp;J$15,Dados!$A$2:$A$49,0))="","",INDEX(Dados!$I$2:$I$49,MATCH($A17&amp;"|"&amp;J$15,Dados!$A$2:$A$49,0))/1000000),"")</f>
        <v>214.43072555000001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280.51158900999997</v>
      </c>
      <c r="D18" s="14">
        <f>IFERROR(IF(INDEX(Dados!$I$2:$I$49,MATCH($A18&amp;"|"&amp;D$15,Dados!$A$2:$A$49,0))="","",INDEX(Dados!$I$2:$I$49,MATCH($A18&amp;"|"&amp;D$15,Dados!$A$2:$A$49,0))/1000000),"")</f>
        <v>291.17619832999998</v>
      </c>
      <c r="E18" s="14">
        <f>IFERROR(IF(INDEX(Dados!$I$2:$I$49,MATCH($A18&amp;"|"&amp;E$15,Dados!$A$2:$A$49,0))="","",INDEX(Dados!$I$2:$I$49,MATCH($A18&amp;"|"&amp;E$15,Dados!$A$2:$A$49,0))/1000000),"")</f>
        <v>305.59074124</v>
      </c>
      <c r="F18" s="14">
        <f>IFERROR(IF(INDEX(Dados!$I$2:$I$49,MATCH($A18&amp;"|"&amp;F$15,Dados!$A$2:$A$49,0))="","",INDEX(Dados!$I$2:$I$49,MATCH($A18&amp;"|"&amp;F$15,Dados!$A$2:$A$49,0))/1000000),"")</f>
        <v>311.12728763000001</v>
      </c>
      <c r="G18" s="14">
        <f>IFERROR(IF(INDEX(Dados!$I$2:$I$49,MATCH($A18&amp;"|"&amp;G$15,Dados!$A$2:$A$49,0))="","",INDEX(Dados!$I$2:$I$49,MATCH($A18&amp;"|"&amp;G$15,Dados!$A$2:$A$49,0))/1000000),"")</f>
        <v>318.50817361999998</v>
      </c>
      <c r="H18" s="14">
        <f>IFERROR(IF(INDEX(Dados!$I$2:$I$49,MATCH($A18&amp;"|"&amp;H$15,Dados!$A$2:$A$49,0))="","",INDEX(Dados!$I$2:$I$49,MATCH($A18&amp;"|"&amp;H$15,Dados!$A$2:$A$49,0))/1000000),"")</f>
        <v>341.42817133999995</v>
      </c>
      <c r="I18" s="14">
        <f>IFERROR(IF(INDEX(Dados!$I$2:$I$49,MATCH($A18&amp;"|"&amp;I$15,Dados!$A$2:$A$49,0))="","",INDEX(Dados!$I$2:$I$49,MATCH($A18&amp;"|"&amp;I$15,Dados!$A$2:$A$49,0))/1000000),"")</f>
        <v>348.10853412</v>
      </c>
      <c r="J18" s="14">
        <f>IFERROR(IF(INDEX(Dados!$I$2:$I$49,MATCH($A18&amp;"|"&amp;J$15,Dados!$A$2:$A$49,0))="","",INDEX(Dados!$I$2:$I$49,MATCH($A18&amp;"|"&amp;J$15,Dados!$A$2:$A$49,0))/1000000),"")</f>
        <v>355.82326613999999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78.882271779999996</v>
      </c>
      <c r="D19" s="14">
        <f>IFERROR(IF(INDEX(Dados!$I$2:$I$49,MATCH($A19&amp;"|"&amp;D$15,Dados!$A$2:$A$49,0))="","",INDEX(Dados!$I$2:$I$49,MATCH($A19&amp;"|"&amp;D$15,Dados!$A$2:$A$49,0))/1000000),"")</f>
        <v>80.594185069999995</v>
      </c>
      <c r="E19" s="14">
        <f>IFERROR(IF(INDEX(Dados!$I$2:$I$49,MATCH($A19&amp;"|"&amp;E$15,Dados!$A$2:$A$49,0))="","",INDEX(Dados!$I$2:$I$49,MATCH($A19&amp;"|"&amp;E$15,Dados!$A$2:$A$49,0))/1000000),"")</f>
        <v>83.171203209999987</v>
      </c>
      <c r="F19" s="14">
        <f>IFERROR(IF(INDEX(Dados!$I$2:$I$49,MATCH($A19&amp;"|"&amp;F$15,Dados!$A$2:$A$49,0))="","",INDEX(Dados!$I$2:$I$49,MATCH($A19&amp;"|"&amp;F$15,Dados!$A$2:$A$49,0))/1000000),"")</f>
        <v>84.716104939999994</v>
      </c>
      <c r="G19" s="14">
        <f>IFERROR(IF(INDEX(Dados!$I$2:$I$49,MATCH($A19&amp;"|"&amp;G$15,Dados!$A$2:$A$49,0))="","",INDEX(Dados!$I$2:$I$49,MATCH($A19&amp;"|"&amp;G$15,Dados!$A$2:$A$49,0))/1000000),"")</f>
        <v>87.701946109999994</v>
      </c>
      <c r="H19" s="14">
        <f>IFERROR(IF(INDEX(Dados!$I$2:$I$49,MATCH($A19&amp;"|"&amp;H$15,Dados!$A$2:$A$49,0))="","",INDEX(Dados!$I$2:$I$49,MATCH($A19&amp;"|"&amp;H$15,Dados!$A$2:$A$49,0))/1000000),"")</f>
        <v>89.410834550000004</v>
      </c>
      <c r="I19" s="14">
        <f>IFERROR(IF(INDEX(Dados!$I$2:$I$49,MATCH($A19&amp;"|"&amp;I$15,Dados!$A$2:$A$49,0))="","",INDEX(Dados!$I$2:$I$49,MATCH($A19&amp;"|"&amp;I$15,Dados!$A$2:$A$49,0))/1000000),"")</f>
        <v>91.589737680000013</v>
      </c>
      <c r="J19" s="14">
        <f>IFERROR(IF(INDEX(Dados!$I$2:$I$49,MATCH($A19&amp;"|"&amp;J$15,Dados!$A$2:$A$49,0))="","",INDEX(Dados!$I$2:$I$49,MATCH($A19&amp;"|"&amp;J$15,Dados!$A$2:$A$49,0))/1000000),"")</f>
        <v>92.85375993000001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68.26554320999999</v>
      </c>
      <c r="D20" s="14">
        <f>IFERROR(IF(INDEX(Dados!$I$2:$I$49,MATCH($A20&amp;"|"&amp;D$15,Dados!$A$2:$A$49,0))="","",INDEX(Dados!$I$2:$I$49,MATCH($A20&amp;"|"&amp;D$15,Dados!$A$2:$A$49,0))/1000000),"")</f>
        <v>71.153261680000014</v>
      </c>
      <c r="E20" s="14">
        <f>IFERROR(IF(INDEX(Dados!$I$2:$I$49,MATCH($A20&amp;"|"&amp;E$15,Dados!$A$2:$A$49,0))="","",INDEX(Dados!$I$2:$I$49,MATCH($A20&amp;"|"&amp;E$15,Dados!$A$2:$A$49,0))/1000000),"")</f>
        <v>75.122932370000001</v>
      </c>
      <c r="F20" s="14">
        <f>IFERROR(IF(INDEX(Dados!$I$2:$I$49,MATCH($A20&amp;"|"&amp;F$15,Dados!$A$2:$A$49,0))="","",INDEX(Dados!$I$2:$I$49,MATCH($A20&amp;"|"&amp;F$15,Dados!$A$2:$A$49,0))/1000000),"")</f>
        <v>73.950995730000002</v>
      </c>
      <c r="G20" s="14">
        <f>IFERROR(IF(INDEX(Dados!$I$2:$I$49,MATCH($A20&amp;"|"&amp;G$15,Dados!$A$2:$A$49,0))="","",INDEX(Dados!$I$2:$I$49,MATCH($A20&amp;"|"&amp;G$15,Dados!$A$2:$A$49,0))/1000000),"")</f>
        <v>78.650488120000006</v>
      </c>
      <c r="H20" s="14">
        <f>IFERROR(IF(INDEX(Dados!$I$2:$I$49,MATCH($A20&amp;"|"&amp;H$15,Dados!$A$2:$A$49,0))="","",INDEX(Dados!$I$2:$I$49,MATCH($A20&amp;"|"&amp;H$15,Dados!$A$2:$A$49,0))/1000000),"")</f>
        <v>67.960530969999994</v>
      </c>
      <c r="I20" s="14">
        <f>IFERROR(IF(INDEX(Dados!$I$2:$I$49,MATCH($A20&amp;"|"&amp;I$15,Dados!$A$2:$A$49,0))="","",INDEX(Dados!$I$2:$I$49,MATCH($A20&amp;"|"&amp;I$15,Dados!$A$2:$A$49,0))/1000000),"")</f>
        <v>70.751639239999989</v>
      </c>
      <c r="J20" s="14">
        <f>IFERROR(IF(INDEX(Dados!$I$2:$I$49,MATCH($A20&amp;"|"&amp;J$15,Dados!$A$2:$A$49,0))="","",INDEX(Dados!$I$2:$I$49,MATCH($A20&amp;"|"&amp;J$15,Dados!$A$2:$A$49,0))/1000000),"")</f>
        <v>76.112605489999993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92.34684172</v>
      </c>
      <c r="D21" s="14">
        <f>IFERROR(IF(INDEX(Dados!$I$2:$I$49,MATCH($A21&amp;"|"&amp;D$15,Dados!$A$2:$A$49,0))="","",INDEX(Dados!$I$2:$I$49,MATCH($A21&amp;"|"&amp;D$15,Dados!$A$2:$A$49,0))/1000000),"")</f>
        <v>95.280070209999991</v>
      </c>
      <c r="E21" s="14">
        <f>IFERROR(IF(INDEX(Dados!$I$2:$I$49,MATCH($A21&amp;"|"&amp;E$15,Dados!$A$2:$A$49,0))="","",INDEX(Dados!$I$2:$I$49,MATCH($A21&amp;"|"&amp;E$15,Dados!$A$2:$A$49,0))/1000000),"")</f>
        <v>97.411417299999997</v>
      </c>
      <c r="F21" s="14">
        <f>IFERROR(IF(INDEX(Dados!$I$2:$I$49,MATCH($A21&amp;"|"&amp;F$15,Dados!$A$2:$A$49,0))="","",INDEX(Dados!$I$2:$I$49,MATCH($A21&amp;"|"&amp;F$15,Dados!$A$2:$A$49,0))/1000000),"")</f>
        <v>99.413810290000001</v>
      </c>
      <c r="G21" s="14">
        <f>IFERROR(IF(INDEX(Dados!$I$2:$I$49,MATCH($A21&amp;"|"&amp;G$15,Dados!$A$2:$A$49,0))="","",INDEX(Dados!$I$2:$I$49,MATCH($A21&amp;"|"&amp;G$15,Dados!$A$2:$A$49,0))/1000000),"")</f>
        <v>105.60243145</v>
      </c>
      <c r="H21" s="14">
        <f>IFERROR(IF(INDEX(Dados!$I$2:$I$49,MATCH($A21&amp;"|"&amp;H$15,Dados!$A$2:$A$49,0))="","",INDEX(Dados!$I$2:$I$49,MATCH($A21&amp;"|"&amp;H$15,Dados!$A$2:$A$49,0))/1000000),"")</f>
        <v>111.77221712000001</v>
      </c>
      <c r="I21" s="14">
        <f>IFERROR(IF(INDEX(Dados!$I$2:$I$49,MATCH($A21&amp;"|"&amp;I$15,Dados!$A$2:$A$49,0))="","",INDEX(Dados!$I$2:$I$49,MATCH($A21&amp;"|"&amp;I$15,Dados!$A$2:$A$49,0))/1000000),"")</f>
        <v>116.03145818</v>
      </c>
      <c r="J21" s="14">
        <f>IFERROR(IF(INDEX(Dados!$I$2:$I$49,MATCH($A21&amp;"|"&amp;J$15,Dados!$A$2:$A$49,0))="","",INDEX(Dados!$I$2:$I$49,MATCH($A21&amp;"|"&amp;J$15,Dados!$A$2:$A$49,0))/1000000),"")</f>
        <v>117.08083673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3524625525.1500001</v>
      </c>
      <c r="J2" s="15">
        <v>7234731844.8800001</v>
      </c>
      <c r="K2" s="10">
        <f t="shared" ref="K2:K49" si="1">IF(OR(I2="",J2="",J2=0),"",I2/J2)</f>
        <v>0.48718122533378594</v>
      </c>
      <c r="L2" s="16">
        <v>0.48720000000000002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3545018603.9899998</v>
      </c>
      <c r="R2" s="15">
        <v>3367767673.79</v>
      </c>
      <c r="S2" s="15">
        <v>3190516743.5900002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prudencial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3583608433.9899998</v>
      </c>
      <c r="J3" s="15">
        <v>7657990106.9200001</v>
      </c>
      <c r="K3" s="10">
        <f t="shared" si="1"/>
        <v>0.46795678552153508</v>
      </c>
      <c r="L3" s="16">
        <v>0.46800000000000003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3752415152.3899999</v>
      </c>
      <c r="R3" s="15">
        <v>3564794394.77</v>
      </c>
      <c r="S3" s="15">
        <v>3377173637.1500001</v>
      </c>
      <c r="T3" s="9" t="str">
        <f t="shared" si="3"/>
        <v>Acima do limite prudencial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3662385571.5</v>
      </c>
      <c r="J4" s="15">
        <v>7746996007.2600002</v>
      </c>
      <c r="K4" s="10">
        <f t="shared" si="1"/>
        <v>0.47274912341091196</v>
      </c>
      <c r="L4" s="16">
        <v>0.47270000000000001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3796028043.5599999</v>
      </c>
      <c r="R4" s="15">
        <v>3606226641.3800001</v>
      </c>
      <c r="S4" s="15">
        <v>3416425239.1999998</v>
      </c>
      <c r="T4" s="9" t="str">
        <f t="shared" si="3"/>
        <v>Acima do limite prudencial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3732685576.8800001</v>
      </c>
      <c r="J5" s="15">
        <v>7974796328.8900003</v>
      </c>
      <c r="K5" s="10">
        <f t="shared" si="1"/>
        <v>0.46806030184842939</v>
      </c>
      <c r="L5" s="16">
        <v>0.46810000000000002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3907650201.1599998</v>
      </c>
      <c r="R5" s="15">
        <v>3712267691.0999999</v>
      </c>
      <c r="S5" s="15">
        <v>3516885181.04</v>
      </c>
      <c r="T5" s="9" t="str">
        <f t="shared" si="3"/>
        <v>Acima do limite prudencial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3769085011.0900002</v>
      </c>
      <c r="J6" s="15">
        <v>8285534632.4200001</v>
      </c>
      <c r="K6" s="10">
        <f t="shared" si="1"/>
        <v>0.45489943356728729</v>
      </c>
      <c r="L6" s="16">
        <v>0.45490000000000003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4059911969.8899999</v>
      </c>
      <c r="R6" s="15">
        <v>3856916371.4000001</v>
      </c>
      <c r="S6" s="15">
        <v>3653920772.9000001</v>
      </c>
      <c r="T6" s="9" t="str">
        <f t="shared" si="3"/>
        <v>Acima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3843264326.0300002</v>
      </c>
      <c r="J7" s="15">
        <v>8579606715.0900002</v>
      </c>
      <c r="K7" s="10">
        <f t="shared" si="1"/>
        <v>0.44795343815356742</v>
      </c>
      <c r="L7" s="16">
        <v>0.44800000000000001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4204007290.3899999</v>
      </c>
      <c r="R7" s="15">
        <v>3993806925.8699999</v>
      </c>
      <c r="S7" s="15">
        <v>3783606561.3499999</v>
      </c>
      <c r="T7" s="9" t="str">
        <f t="shared" si="3"/>
        <v>Acima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3957090114.3000002</v>
      </c>
      <c r="J8" s="15">
        <v>8814974575.3500004</v>
      </c>
      <c r="K8" s="10">
        <f t="shared" si="1"/>
        <v>0.4489054483906873</v>
      </c>
      <c r="L8" s="16">
        <v>0.44890000000000002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4319337541.9200001</v>
      </c>
      <c r="R8" s="15">
        <v>4103370664.8200002</v>
      </c>
      <c r="S8" s="15">
        <v>3887403787.73</v>
      </c>
      <c r="T8" s="9" t="str">
        <f t="shared" si="3"/>
        <v>Acima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4236124067.7399998</v>
      </c>
      <c r="J9" s="15">
        <v>9261391598.1100006</v>
      </c>
      <c r="K9" s="10">
        <f t="shared" si="1"/>
        <v>0.45739606438890651</v>
      </c>
      <c r="L9" s="16">
        <v>0.45739999999999997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4538081883.0699997</v>
      </c>
      <c r="R9" s="15">
        <v>4311177788.9200001</v>
      </c>
      <c r="S9" s="15">
        <v>4084273694.7600002</v>
      </c>
      <c r="T9" s="9" t="str">
        <f t="shared" si="3"/>
        <v>Acima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151334050.93000001</v>
      </c>
      <c r="J10" s="15">
        <v>7234730944.8800001</v>
      </c>
      <c r="K10" s="10">
        <f t="shared" si="1"/>
        <v>2.09177165098446E-2</v>
      </c>
      <c r="L10" s="16">
        <v>2.0899999999999998E-2</v>
      </c>
      <c r="M10" s="9" t="str">
        <f t="shared" si="2"/>
        <v>Sim</v>
      </c>
      <c r="N10" s="16">
        <v>2.1299999999999999E-2</v>
      </c>
      <c r="O10" s="16">
        <v>2.0199999999999999E-2</v>
      </c>
      <c r="P10" s="16">
        <v>1.9199999999999998E-2</v>
      </c>
      <c r="Q10" s="15">
        <v>154099769.13</v>
      </c>
      <c r="R10" s="15">
        <v>146394780.66999999</v>
      </c>
      <c r="S10" s="15">
        <v>138689792.22</v>
      </c>
      <c r="T10" s="9" t="str">
        <f t="shared" si="3"/>
        <v>Acima do limite prudencial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160130243.66999999</v>
      </c>
      <c r="J11" s="15">
        <v>7657990106.9200001</v>
      </c>
      <c r="K11" s="10">
        <f t="shared" si="1"/>
        <v>2.0910218142656162E-2</v>
      </c>
      <c r="L11" s="16">
        <v>2.0899999999999998E-2</v>
      </c>
      <c r="M11" s="9" t="str">
        <f t="shared" si="2"/>
        <v>Sim</v>
      </c>
      <c r="N11" s="16">
        <v>2.1299999999999999E-2</v>
      </c>
      <c r="O11" s="16">
        <v>2.0199999999999999E-2</v>
      </c>
      <c r="P11" s="16">
        <v>1.9199999999999998E-2</v>
      </c>
      <c r="Q11" s="15">
        <v>163115189.28</v>
      </c>
      <c r="R11" s="15">
        <v>154959429.81999999</v>
      </c>
      <c r="S11" s="15">
        <v>146803670.34999999</v>
      </c>
      <c r="T11" s="9" t="str">
        <f t="shared" si="3"/>
        <v>Acima do limite prudencial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165307305.75999999</v>
      </c>
      <c r="J12" s="15">
        <v>7746996007.2600002</v>
      </c>
      <c r="K12" s="10">
        <f t="shared" si="1"/>
        <v>2.1338245896226658E-2</v>
      </c>
      <c r="L12" s="16">
        <v>2.1299999999999999E-2</v>
      </c>
      <c r="M12" s="9" t="str">
        <f t="shared" si="2"/>
        <v>Sim</v>
      </c>
      <c r="N12" s="16">
        <v>2.1299999999999999E-2</v>
      </c>
      <c r="O12" s="16">
        <v>2.0199999999999999E-2</v>
      </c>
      <c r="P12" s="16">
        <v>1.9199999999999998E-2</v>
      </c>
      <c r="Q12" s="15">
        <v>165011014.94999999</v>
      </c>
      <c r="R12" s="15">
        <v>156760464.19999999</v>
      </c>
      <c r="S12" s="15">
        <v>148509913.46000001</v>
      </c>
      <c r="T12" s="9" t="str">
        <f t="shared" si="3"/>
        <v>Acima do limite máximo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173958667.28</v>
      </c>
      <c r="J13" s="15">
        <v>7974796328.8900003</v>
      </c>
      <c r="K13" s="10">
        <f t="shared" si="1"/>
        <v>2.1813556121779105E-2</v>
      </c>
      <c r="L13" s="16">
        <v>2.18E-2</v>
      </c>
      <c r="M13" s="9" t="str">
        <f t="shared" si="2"/>
        <v>Sim</v>
      </c>
      <c r="N13" s="16">
        <v>2.1299999999999999E-2</v>
      </c>
      <c r="O13" s="16">
        <v>2.0199999999999999E-2</v>
      </c>
      <c r="P13" s="16">
        <v>1.9199999999999998E-2</v>
      </c>
      <c r="Q13" s="15">
        <v>169863161.81</v>
      </c>
      <c r="R13" s="15">
        <v>161370003.72</v>
      </c>
      <c r="S13" s="15">
        <v>152876845.63</v>
      </c>
      <c r="T13" s="9" t="str">
        <f t="shared" si="3"/>
        <v>Acima do limite máximo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181227303.13</v>
      </c>
      <c r="J14" s="15">
        <v>8285534632.4200001</v>
      </c>
      <c r="K14" s="10">
        <f t="shared" si="1"/>
        <v>2.1872734973659505E-2</v>
      </c>
      <c r="L14" s="16">
        <v>2.1899999999999999E-2</v>
      </c>
      <c r="M14" s="9" t="str">
        <f t="shared" si="2"/>
        <v>Sim</v>
      </c>
      <c r="N14" s="16">
        <v>2.1299999999999999E-2</v>
      </c>
      <c r="O14" s="16">
        <v>2.0199999999999999E-2</v>
      </c>
      <c r="P14" s="16">
        <v>1.9199999999999998E-2</v>
      </c>
      <c r="Q14" s="15">
        <v>176481887.66999999</v>
      </c>
      <c r="R14" s="15">
        <v>167657793.28999999</v>
      </c>
      <c r="S14" s="15">
        <v>158833698.90000001</v>
      </c>
      <c r="T14" s="9" t="str">
        <f t="shared" si="3"/>
        <v>Acima do limite máximo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198101877.28999999</v>
      </c>
      <c r="J15" s="15">
        <v>8579606715.0900002</v>
      </c>
      <c r="K15" s="10">
        <f t="shared" si="1"/>
        <v>2.3089855265926593E-2</v>
      </c>
      <c r="L15" s="16">
        <v>2.3099999999999999E-2</v>
      </c>
      <c r="M15" s="9" t="str">
        <f t="shared" si="2"/>
        <v>Sim</v>
      </c>
      <c r="N15" s="16">
        <v>2.1299999999999999E-2</v>
      </c>
      <c r="O15" s="16">
        <v>2.0199999999999999E-2</v>
      </c>
      <c r="P15" s="16">
        <v>1.9199999999999998E-2</v>
      </c>
      <c r="Q15" s="15">
        <v>182745623.03</v>
      </c>
      <c r="R15" s="15">
        <v>173608341.88</v>
      </c>
      <c r="S15" s="15">
        <v>164471060.72999999</v>
      </c>
      <c r="T15" s="9" t="str">
        <f t="shared" si="3"/>
        <v>Acima do limite máximo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202505165.24000001</v>
      </c>
      <c r="J16" s="15">
        <v>8814974575.3500004</v>
      </c>
      <c r="K16" s="10">
        <f t="shared" si="1"/>
        <v>2.2972858685977492E-2</v>
      </c>
      <c r="L16" s="16">
        <v>2.3E-2</v>
      </c>
      <c r="M16" s="9" t="str">
        <f t="shared" si="2"/>
        <v>Sim</v>
      </c>
      <c r="N16" s="16">
        <v>2.1299999999999999E-2</v>
      </c>
      <c r="O16" s="16">
        <v>2.0199999999999999E-2</v>
      </c>
      <c r="P16" s="16">
        <v>1.9199999999999998E-2</v>
      </c>
      <c r="Q16" s="15">
        <v>187758958.44999999</v>
      </c>
      <c r="R16" s="15">
        <v>178371010.53</v>
      </c>
      <c r="S16" s="15">
        <v>168983062.61000001</v>
      </c>
      <c r="T16" s="9" t="str">
        <f t="shared" si="3"/>
        <v>Acima do limite máximo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214430725.55000001</v>
      </c>
      <c r="J17" s="15">
        <v>9261391598.1100006</v>
      </c>
      <c r="K17" s="10">
        <f t="shared" si="1"/>
        <v>2.3153186352012103E-2</v>
      </c>
      <c r="L17" s="16">
        <v>2.3199999999999998E-2</v>
      </c>
      <c r="M17" s="9" t="str">
        <f t="shared" si="2"/>
        <v>Sim</v>
      </c>
      <c r="N17" s="16">
        <v>2.1299999999999999E-2</v>
      </c>
      <c r="O17" s="16">
        <v>2.0199999999999999E-2</v>
      </c>
      <c r="P17" s="16">
        <v>1.9199999999999998E-2</v>
      </c>
      <c r="Q17" s="15">
        <v>197267641.03999999</v>
      </c>
      <c r="R17" s="15">
        <v>187404258.99000001</v>
      </c>
      <c r="S17" s="15">
        <v>177540876.94</v>
      </c>
      <c r="T17" s="9" t="str">
        <f t="shared" si="3"/>
        <v>Acima do limite máximo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280511589.00999999</v>
      </c>
      <c r="J18" s="15">
        <v>7234731844.8800001</v>
      </c>
      <c r="K18" s="10">
        <f t="shared" si="1"/>
        <v>3.8772907555449654E-2</v>
      </c>
      <c r="L18" s="16">
        <v>3.8800000000000001E-2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434083910.69</v>
      </c>
      <c r="R18" s="15">
        <v>412379715.16000003</v>
      </c>
      <c r="S18" s="15">
        <v>390675519.62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291176198.32999998</v>
      </c>
      <c r="J19" s="15">
        <v>7657990106.9200001</v>
      </c>
      <c r="K19" s="10">
        <f t="shared" si="1"/>
        <v>3.8022535190648007E-2</v>
      </c>
      <c r="L19" s="16">
        <v>3.7999999999999999E-2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459479406.42000002</v>
      </c>
      <c r="R19" s="15">
        <v>436505436.10000002</v>
      </c>
      <c r="S19" s="15">
        <v>413531465.77999997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305590741.24000001</v>
      </c>
      <c r="J20" s="15">
        <v>7746996007.2600002</v>
      </c>
      <c r="K20" s="10">
        <f t="shared" si="1"/>
        <v>3.9446353264364596E-2</v>
      </c>
      <c r="L20" s="16">
        <v>3.9399999999999998E-2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464819760.43000001</v>
      </c>
      <c r="R20" s="15">
        <v>441578772.41000003</v>
      </c>
      <c r="S20" s="15">
        <v>418337784.38999999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311127287.63</v>
      </c>
      <c r="J21" s="15">
        <v>7974796328.8900003</v>
      </c>
      <c r="K21" s="10">
        <f t="shared" si="1"/>
        <v>3.9013822397305706E-2</v>
      </c>
      <c r="L21" s="16">
        <v>3.9E-2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478487779.73000002</v>
      </c>
      <c r="R21" s="15">
        <v>454563390.74000001</v>
      </c>
      <c r="S21" s="15">
        <v>430639001.75999999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318508173.62</v>
      </c>
      <c r="J22" s="15">
        <v>8285534632.4200001</v>
      </c>
      <c r="K22" s="10">
        <f t="shared" si="1"/>
        <v>3.8441475143164254E-2</v>
      </c>
      <c r="L22" s="16">
        <v>3.8399999999999997E-2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497132077.94</v>
      </c>
      <c r="R22" s="15">
        <v>472275474.04000002</v>
      </c>
      <c r="S22" s="15">
        <v>447418870.14999998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341428171.33999997</v>
      </c>
      <c r="J23" s="15">
        <v>8579606715.0900002</v>
      </c>
      <c r="K23" s="10">
        <f t="shared" si="1"/>
        <v>3.9795317277129802E-2</v>
      </c>
      <c r="L23" s="16">
        <v>3.9800000000000002E-2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514776402.89999998</v>
      </c>
      <c r="R23" s="15">
        <v>489037582.75999999</v>
      </c>
      <c r="S23" s="15">
        <v>463298762.61000001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348108534.12</v>
      </c>
      <c r="J24" s="15">
        <v>8814974575.3500004</v>
      </c>
      <c r="K24" s="10">
        <f t="shared" si="1"/>
        <v>3.9490588559772256E-2</v>
      </c>
      <c r="L24" s="16">
        <v>3.95E-2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528898474.51999998</v>
      </c>
      <c r="R24" s="15">
        <v>502453550.79000002</v>
      </c>
      <c r="S24" s="15">
        <v>476008627.06999999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355823266.13999999</v>
      </c>
      <c r="J25" s="15">
        <v>9261391598.1100006</v>
      </c>
      <c r="K25" s="10">
        <f t="shared" si="1"/>
        <v>3.8420064886643374E-2</v>
      </c>
      <c r="L25" s="16">
        <v>3.8399999999999997E-2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555683495.88999999</v>
      </c>
      <c r="R25" s="15">
        <v>527899321.10000002</v>
      </c>
      <c r="S25" s="15">
        <v>500115146.30000001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78882271.780000001</v>
      </c>
      <c r="J26" s="15">
        <v>7234731844.8800001</v>
      </c>
      <c r="K26" s="10">
        <f t="shared" si="1"/>
        <v>1.0903275127719457E-2</v>
      </c>
      <c r="L26" s="16">
        <v>1.09E-2</v>
      </c>
      <c r="M26" s="9" t="str">
        <f t="shared" si="2"/>
        <v>Sim</v>
      </c>
      <c r="N26" s="16">
        <v>8.6999999999999994E-3</v>
      </c>
      <c r="O26" s="16">
        <v>8.3000000000000001E-3</v>
      </c>
      <c r="P26" s="16">
        <v>7.8000000000000014E-3</v>
      </c>
      <c r="Q26" s="15">
        <v>62942167.049999997</v>
      </c>
      <c r="R26" s="15">
        <v>59795058.700000003</v>
      </c>
      <c r="S26" s="15">
        <v>56647950.350000001</v>
      </c>
      <c r="T26" s="9" t="str">
        <f t="shared" si="3"/>
        <v>Acima do limite máximo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80594185.069999993</v>
      </c>
      <c r="J27" s="15">
        <v>7657990106.9200001</v>
      </c>
      <c r="K27" s="10">
        <f t="shared" si="1"/>
        <v>1.0524195506229834E-2</v>
      </c>
      <c r="L27" s="16">
        <v>1.0500000000000001E-2</v>
      </c>
      <c r="M27" s="9" t="str">
        <f t="shared" si="2"/>
        <v>Sim</v>
      </c>
      <c r="N27" s="16">
        <v>8.6999999999999994E-3</v>
      </c>
      <c r="O27" s="16">
        <v>8.3000000000000001E-3</v>
      </c>
      <c r="P27" s="16">
        <v>7.8000000000000014E-3</v>
      </c>
      <c r="Q27" s="15">
        <v>66624513.93</v>
      </c>
      <c r="R27" s="15">
        <v>63293288.229999997</v>
      </c>
      <c r="S27" s="15">
        <v>59962062.539999999</v>
      </c>
      <c r="T27" s="9" t="str">
        <f t="shared" si="3"/>
        <v>Acima do limite máximo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83171203.209999993</v>
      </c>
      <c r="J28" s="15">
        <v>7746996007.2600002</v>
      </c>
      <c r="K28" s="10">
        <f t="shared" si="1"/>
        <v>1.0735929530886184E-2</v>
      </c>
      <c r="L28" s="16">
        <v>1.0699999999999999E-2</v>
      </c>
      <c r="M28" s="9" t="str">
        <f t="shared" si="2"/>
        <v>Sim</v>
      </c>
      <c r="N28" s="16">
        <v>8.6999999999999994E-3</v>
      </c>
      <c r="O28" s="16">
        <v>8.3000000000000001E-3</v>
      </c>
      <c r="P28" s="16">
        <v>7.8000000000000014E-3</v>
      </c>
      <c r="Q28" s="15">
        <v>67398865.260000005</v>
      </c>
      <c r="R28" s="15">
        <v>64028922</v>
      </c>
      <c r="S28" s="15">
        <v>60658978.729999997</v>
      </c>
      <c r="T28" s="9" t="str">
        <f t="shared" si="3"/>
        <v>Acima do limite máximo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84716104.939999998</v>
      </c>
      <c r="J29" s="15">
        <v>7974796328.8900003</v>
      </c>
      <c r="K29" s="10">
        <f t="shared" si="1"/>
        <v>1.0622980380464652E-2</v>
      </c>
      <c r="L29" s="16">
        <v>1.06E-2</v>
      </c>
      <c r="M29" s="9" t="str">
        <f t="shared" si="2"/>
        <v>Sim</v>
      </c>
      <c r="N29" s="16">
        <v>8.6999999999999994E-3</v>
      </c>
      <c r="O29" s="16">
        <v>8.3000000000000001E-3</v>
      </c>
      <c r="P29" s="16">
        <v>7.8000000000000014E-3</v>
      </c>
      <c r="Q29" s="15">
        <v>69380728.060000002</v>
      </c>
      <c r="R29" s="15">
        <v>65911691.659999996</v>
      </c>
      <c r="S29" s="15">
        <v>62442655.25</v>
      </c>
      <c r="T29" s="9" t="str">
        <f t="shared" si="3"/>
        <v>Acima do limite máximo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87701946.109999999</v>
      </c>
      <c r="J30" s="15">
        <v>8285534632.4200001</v>
      </c>
      <c r="K30" s="10">
        <f t="shared" si="1"/>
        <v>1.0584947139902838E-2</v>
      </c>
      <c r="L30" s="16">
        <v>1.06E-2</v>
      </c>
      <c r="M30" s="9" t="str">
        <f t="shared" si="2"/>
        <v>Sim</v>
      </c>
      <c r="N30" s="16">
        <v>8.6999999999999994E-3</v>
      </c>
      <c r="O30" s="16">
        <v>8.3000000000000001E-3</v>
      </c>
      <c r="P30" s="16">
        <v>7.8000000000000014E-3</v>
      </c>
      <c r="Q30" s="15">
        <v>72084151.299999997</v>
      </c>
      <c r="R30" s="15">
        <v>68479943.739999995</v>
      </c>
      <c r="S30" s="15">
        <v>64875736.170000002</v>
      </c>
      <c r="T30" s="9" t="str">
        <f t="shared" si="3"/>
        <v>Acima do limite máximo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89410834.549999997</v>
      </c>
      <c r="J31" s="15">
        <v>8579606715.0900002</v>
      </c>
      <c r="K31" s="10">
        <f t="shared" si="1"/>
        <v>1.0421320873920977E-2</v>
      </c>
      <c r="L31" s="16">
        <v>1.04E-2</v>
      </c>
      <c r="M31" s="9" t="str">
        <f t="shared" si="2"/>
        <v>Sim</v>
      </c>
      <c r="N31" s="16">
        <v>8.6999999999999994E-3</v>
      </c>
      <c r="O31" s="16">
        <v>8.3000000000000001E-3</v>
      </c>
      <c r="P31" s="16">
        <v>7.8000000000000014E-3</v>
      </c>
      <c r="Q31" s="15">
        <v>74642578.420000002</v>
      </c>
      <c r="R31" s="15">
        <v>70910449.5</v>
      </c>
      <c r="S31" s="15">
        <v>67178320.579999998</v>
      </c>
      <c r="T31" s="9" t="str">
        <f t="shared" si="3"/>
        <v>Acima do limite máximo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91589737.680000007</v>
      </c>
      <c r="J32" s="15">
        <v>8814974575.3500004</v>
      </c>
      <c r="K32" s="10">
        <f t="shared" si="1"/>
        <v>1.0390244112117978E-2</v>
      </c>
      <c r="L32" s="16">
        <v>1.04E-2</v>
      </c>
      <c r="M32" s="9" t="str">
        <f t="shared" si="2"/>
        <v>Sim</v>
      </c>
      <c r="N32" s="16">
        <v>8.6999999999999994E-3</v>
      </c>
      <c r="O32" s="16">
        <v>8.3000000000000001E-3</v>
      </c>
      <c r="P32" s="16">
        <v>7.8000000000000014E-3</v>
      </c>
      <c r="Q32" s="15">
        <v>76690278.810000002</v>
      </c>
      <c r="R32" s="15">
        <v>72855764.870000005</v>
      </c>
      <c r="S32" s="15">
        <v>69021250.930000007</v>
      </c>
      <c r="T32" s="9" t="str">
        <f t="shared" si="3"/>
        <v>Acima do limite máximo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92853759.930000007</v>
      </c>
      <c r="J33" s="15">
        <v>9261391598.1100006</v>
      </c>
      <c r="K33" s="10">
        <f t="shared" si="1"/>
        <v>1.0025897182551804E-2</v>
      </c>
      <c r="L33" s="16">
        <v>0.01</v>
      </c>
      <c r="M33" s="9" t="str">
        <f t="shared" si="2"/>
        <v>Sim</v>
      </c>
      <c r="N33" s="16">
        <v>8.6999999999999994E-3</v>
      </c>
      <c r="O33" s="16">
        <v>8.3000000000000001E-3</v>
      </c>
      <c r="P33" s="16">
        <v>7.8000000000000014E-3</v>
      </c>
      <c r="Q33" s="15">
        <v>80574106.900000006</v>
      </c>
      <c r="R33" s="15">
        <v>76545401.560000002</v>
      </c>
      <c r="S33" s="15">
        <v>72516696.209999993</v>
      </c>
      <c r="T33" s="9" t="str">
        <f t="shared" si="3"/>
        <v>Acima do limite máximo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68265543.209999993</v>
      </c>
      <c r="J34" s="15">
        <v>7234731844.8800001</v>
      </c>
      <c r="K34" s="10">
        <f t="shared" si="1"/>
        <v>9.4358083580266122E-3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71153261.680000007</v>
      </c>
      <c r="J35" s="15">
        <v>7657990106.9200001</v>
      </c>
      <c r="K35" s="10">
        <f t="shared" si="1"/>
        <v>9.2913755027841695E-3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75122932.370000005</v>
      </c>
      <c r="J36" s="15">
        <v>7746996007.2600002</v>
      </c>
      <c r="K36" s="10">
        <f t="shared" si="1"/>
        <v>9.697040284982656E-3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73950995.730000004</v>
      </c>
      <c r="J37" s="15">
        <v>7974796328.8900003</v>
      </c>
      <c r="K37" s="10">
        <f t="shared" si="1"/>
        <v>9.2730889517642547E-3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78650488.120000005</v>
      </c>
      <c r="J38" s="15">
        <v>8285534632.4200001</v>
      </c>
      <c r="K38" s="10">
        <f t="shared" si="1"/>
        <v>9.4925061096544031E-3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67960530.969999999</v>
      </c>
      <c r="J39" s="15">
        <v>8579606715.0900002</v>
      </c>
      <c r="K39" s="10">
        <f t="shared" si="1"/>
        <v>7.9211708912565338E-3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70751639.239999995</v>
      </c>
      <c r="J40" s="15">
        <v>8814974575.3500004</v>
      </c>
      <c r="K40" s="10">
        <f t="shared" si="1"/>
        <v>8.0263009989669527E-3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76112605.489999995</v>
      </c>
      <c r="J41" s="15">
        <v>9261391598.1100006</v>
      </c>
      <c r="K41" s="10">
        <f t="shared" si="1"/>
        <v>8.2182687864675238E-3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92346841.719999999</v>
      </c>
      <c r="J42" s="15">
        <v>7234731844.8800001</v>
      </c>
      <c r="K42" s="10">
        <f t="shared" si="1"/>
        <v>1.276437657953468E-2</v>
      </c>
      <c r="L42" s="16">
        <v>1.2800000000000001E-2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144694636.90000001</v>
      </c>
      <c r="R42" s="15">
        <v>137459905.06</v>
      </c>
      <c r="S42" s="15">
        <v>130225173.20999999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95280070.209999993</v>
      </c>
      <c r="J43" s="15">
        <v>7657990106.9200001</v>
      </c>
      <c r="K43" s="10">
        <f t="shared" si="1"/>
        <v>1.2441916074545712E-2</v>
      </c>
      <c r="L43" s="16">
        <v>1.24E-2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153159802.13999999</v>
      </c>
      <c r="R43" s="15">
        <v>145501812.03</v>
      </c>
      <c r="S43" s="15">
        <v>137843821.93000001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97411417.299999997</v>
      </c>
      <c r="J44" s="15">
        <v>7746996007.2600002</v>
      </c>
      <c r="K44" s="10">
        <f t="shared" si="1"/>
        <v>1.2574089002848602E-2</v>
      </c>
      <c r="L44" s="16">
        <v>1.26E-2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155392106.87</v>
      </c>
      <c r="R44" s="15">
        <v>147622501.53</v>
      </c>
      <c r="S44" s="15">
        <v>139852896.18000001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99413810.290000007</v>
      </c>
      <c r="J45" s="15">
        <v>7974796328.8900003</v>
      </c>
      <c r="K45" s="10">
        <f t="shared" si="1"/>
        <v>1.2465999906462471E-2</v>
      </c>
      <c r="L45" s="16">
        <v>1.2500000000000001E-2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159945025.47999999</v>
      </c>
      <c r="R45" s="15">
        <v>151947774.21000001</v>
      </c>
      <c r="S45" s="15">
        <v>143950522.93000001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105602431.45</v>
      </c>
      <c r="J46" s="15">
        <v>8285534632.4200001</v>
      </c>
      <c r="K46" s="10">
        <f t="shared" si="1"/>
        <v>1.2745397386524006E-2</v>
      </c>
      <c r="L46" s="16">
        <v>1.2699999999999999E-2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165710692.65000001</v>
      </c>
      <c r="R46" s="15">
        <v>157425158.02000001</v>
      </c>
      <c r="S46" s="15">
        <v>149139623.38999999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111772217.12</v>
      </c>
      <c r="J47" s="15">
        <v>8579606715.0900002</v>
      </c>
      <c r="K47" s="10">
        <f t="shared" si="1"/>
        <v>1.3027662086586391E-2</v>
      </c>
      <c r="L47" s="16">
        <v>1.2999999999999999E-2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172257063.34999999</v>
      </c>
      <c r="R47" s="15">
        <v>163644210.18000001</v>
      </c>
      <c r="S47" s="15">
        <v>155031357.02000001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116031458.18000001</v>
      </c>
      <c r="J48" s="15">
        <v>8814974575.3500004</v>
      </c>
      <c r="K48" s="10">
        <f t="shared" si="1"/>
        <v>1.3162994083325868E-2</v>
      </c>
      <c r="L48" s="16">
        <v>1.32E-2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177029892.44</v>
      </c>
      <c r="R48" s="15">
        <v>168178397.81999999</v>
      </c>
      <c r="S48" s="15">
        <v>159326903.19999999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117080836.73</v>
      </c>
      <c r="J49" s="15">
        <v>9261391598.1100006</v>
      </c>
      <c r="K49" s="10">
        <f t="shared" si="1"/>
        <v>1.2641819049514441E-2</v>
      </c>
      <c r="L49" s="16">
        <v>1.26E-2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185227831.96000001</v>
      </c>
      <c r="R49" s="15">
        <v>175966440.36000001</v>
      </c>
      <c r="S49" s="15">
        <v>166705048.75999999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2026-10-15T09:56:26Z</dcterms:created>
  <dcterms:modified xsi:type="dcterms:W3CDTF">2026-10-15T09:57:12Z</dcterms:modified>
</cp:coreProperties>
</file>