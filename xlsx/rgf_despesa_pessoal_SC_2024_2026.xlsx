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B81EA5C399CCF03821D1C273A4C8551FB78551CE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M8" i="2"/>
  <c r="K8" i="2"/>
  <c r="T8" i="2" s="1"/>
  <c r="A8" i="2"/>
  <c r="K7" i="2"/>
  <c r="A7" i="2"/>
  <c r="K6" i="2"/>
  <c r="A6" i="2"/>
  <c r="K5" i="2"/>
  <c r="A5" i="2"/>
  <c r="K4" i="2"/>
  <c r="A4" i="2"/>
  <c r="K3" i="2"/>
  <c r="A3" i="2"/>
  <c r="K2" i="2"/>
  <c r="A2" i="2"/>
  <c r="J21" i="1"/>
  <c r="I21" i="1"/>
  <c r="H21" i="1"/>
  <c r="G21" i="1"/>
  <c r="F21" i="1"/>
  <c r="E21" i="1"/>
  <c r="D21" i="1"/>
  <c r="C21" i="1"/>
  <c r="J20" i="1"/>
  <c r="I20" i="1"/>
  <c r="H20" i="1"/>
  <c r="G20" i="1"/>
  <c r="F20" i="1"/>
  <c r="E20" i="1"/>
  <c r="D20" i="1"/>
  <c r="C20" i="1"/>
  <c r="J19" i="1"/>
  <c r="I19" i="1"/>
  <c r="H19" i="1"/>
  <c r="G19" i="1"/>
  <c r="F19" i="1"/>
  <c r="E19" i="1"/>
  <c r="D19" i="1"/>
  <c r="C19" i="1"/>
  <c r="J18" i="1"/>
  <c r="I18" i="1"/>
  <c r="H18" i="1"/>
  <c r="G18" i="1"/>
  <c r="F18" i="1"/>
  <c r="E18" i="1"/>
  <c r="D18" i="1"/>
  <c r="C18" i="1"/>
  <c r="J17" i="1"/>
  <c r="I17" i="1"/>
  <c r="H17" i="1"/>
  <c r="G17" i="1"/>
  <c r="F17" i="1"/>
  <c r="E17" i="1"/>
  <c r="D17" i="1"/>
  <c r="C17" i="1"/>
  <c r="J16" i="1"/>
  <c r="I16" i="1"/>
  <c r="H16" i="1"/>
  <c r="G16" i="1"/>
  <c r="F16" i="1"/>
  <c r="E16" i="1"/>
  <c r="D16" i="1"/>
  <c r="C16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L10" i="1" l="1"/>
  <c r="M43" i="2"/>
  <c r="T43" i="2"/>
  <c r="M30" i="2"/>
  <c r="T30" i="2"/>
  <c r="M24" i="2"/>
  <c r="T24" i="2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T42" i="2"/>
  <c r="M42" i="2"/>
  <c r="T33" i="2"/>
  <c r="L9" i="1" s="1"/>
  <c r="M33" i="2"/>
  <c r="M32" i="2"/>
  <c r="T32" i="2"/>
  <c r="T31" i="2"/>
  <c r="M31" i="2"/>
  <c r="M29" i="2"/>
  <c r="T29" i="2"/>
  <c r="T28" i="2"/>
  <c r="M28" i="2"/>
  <c r="T27" i="2"/>
  <c r="M27" i="2"/>
  <c r="T26" i="2"/>
  <c r="M26" i="2"/>
  <c r="T25" i="2"/>
  <c r="L8" i="1" s="1"/>
  <c r="M25" i="2"/>
  <c r="T23" i="2"/>
  <c r="M23" i="2"/>
  <c r="T22" i="2"/>
  <c r="M22" i="2"/>
  <c r="T21" i="2"/>
  <c r="M21" i="2"/>
  <c r="T20" i="2"/>
  <c r="M20" i="2"/>
  <c r="T19" i="2"/>
  <c r="M19" i="2"/>
  <c r="T18" i="2"/>
  <c r="M18" i="2"/>
  <c r="T17" i="2"/>
  <c r="L7" i="1" s="1"/>
  <c r="M17" i="2"/>
  <c r="T16" i="2"/>
  <c r="M16" i="2"/>
  <c r="T15" i="2"/>
  <c r="M15" i="2"/>
  <c r="M14" i="2"/>
  <c r="T14" i="2"/>
  <c r="T13" i="2"/>
  <c r="M13" i="2"/>
  <c r="T12" i="2"/>
  <c r="M12" i="2"/>
  <c r="T11" i="2"/>
  <c r="M11" i="2"/>
  <c r="T10" i="2"/>
  <c r="M10" i="2"/>
  <c r="T9" i="2"/>
  <c r="L6" i="1" s="1"/>
  <c r="M9" i="2"/>
  <c r="T7" i="2"/>
  <c r="M7" i="2"/>
  <c r="T6" i="2"/>
  <c r="M6" i="2"/>
  <c r="M5" i="2"/>
  <c r="T5" i="2"/>
  <c r="T4" i="2"/>
  <c r="M4" i="2"/>
  <c r="M3" i="2"/>
  <c r="T3" i="2"/>
  <c r="T2" i="2"/>
  <c r="M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<sst xmlns="http://schemas.openxmlformats.org/spreadsheetml/2006/main" count="426" uniqueCount="83">
  <si>
    <t>Despesa total com pessoal - Santa Catarina (SC)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</si>
  <si>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</si>
  <si>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</si>
  <si>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</si>
  <si>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</si>
  <si>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</si>
  <si>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</si>
  <si>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</si>
  <si>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</si>
  <si>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</si>
  <si>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</si>
  <si>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</si>
  <si>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</si>
  <si>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</si>
  <si>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</si>
  <si>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</si>
  <si>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</si>
  <si>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</si>
  <si>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</si>
  <si>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</si>
  <si>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</si>
  <si>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</si>
  <si>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</si>
  <si>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</si>
  <si>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</si>
  <si>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</si>
  <si>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</si>
  <si>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</si>
  <si>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</si>
  <si>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</si>
  <si>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</si>
  <si>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</si>
  <si>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</si>
  <si>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</si>
  <si>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</si>
  <si>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</si>
  <si>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</si>
  <si>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</si>
  <si>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</si>
  <si>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</si>
  <si>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</si>
  <si>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</si>
  <si>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</si>
  <si>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</si>
  <si>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</si>
  <si>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</si>
  <si>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</si>
  <si>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de Santa Catarina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</si>
  <si>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</si>
  <si>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</si>
  <si>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</si>
  <si>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</si>
  <si>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</si>
  <si>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</si>
  <si>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</si>
  <si>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</si>
  <si>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</si>
  <si>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</si>
  <si>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</si>
  <si>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</si>
  <si>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de Santa Catarina</t>
  </si>
  <si>
    <t>Tribunal de Justiça do Estado de Santa Catarina</t>
  </si>
  <si>
    <t>Tribunal de Contas do Estado de Santa Catarina</t>
  </si>
  <si>
    <t>Defensoria Pública do Estado de Santa Catarina</t>
  </si>
  <si>
    <t>Calculado (despesa líquida / RCL Ajustada do Executivo)</t>
  </si>
  <si>
    <t>Ministério Público do Estado de Santa Catarina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</si>
  <si>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</si>
  <si>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</si>
  <si>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</si>
  <si>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</si>
  <si>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Santa Catarina (SC).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</si>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</sst>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0.40847332633924516</v>
      </c>
      <c r="D6" s="7">
        <f>IFERROR(IF(INDEX(Dados!$K$2:$K$49,MATCH($A6&amp;"|"&amp;D$5,Dados!$A$2:$A$49,0))="","",INDEX(Dados!$K$2:$K$49,MATCH($A6&amp;"|"&amp;D$5,Dados!$A$2:$A$49,0))),"")</f>
        <v>0.39974344023037289</v>
      </c>
      <c r="E6" s="7">
        <f>IFERROR(IF(INDEX(Dados!$K$2:$K$49,MATCH($A6&amp;"|"&amp;E$5,Dados!$A$2:$A$49,0))="","",INDEX(Dados!$K$2:$K$49,MATCH($A6&amp;"|"&amp;E$5,Dados!$A$2:$A$49,0))),"")</f>
        <v>0.39664920891171007</v>
      </c>
      <c r="F6" s="7">
        <f>IFERROR(IF(INDEX(Dados!$K$2:$K$49,MATCH($A6&amp;"|"&amp;F$5,Dados!$A$2:$A$49,0))="","",INDEX(Dados!$K$2:$K$49,MATCH($A6&amp;"|"&amp;F$5,Dados!$A$2:$A$49,0))),"")</f>
        <v>0.39008984192529539</v>
      </c>
      <c r="G6" s="7">
        <f>IFERROR(IF(INDEX(Dados!$K$2:$K$49,MATCH($A6&amp;"|"&amp;G$5,Dados!$A$2:$A$49,0))="","",INDEX(Dados!$K$2:$K$49,MATCH($A6&amp;"|"&amp;G$5,Dados!$A$2:$A$49,0))),"")</f>
        <v>0.38273945207652282</v>
      </c>
      <c r="H6" s="7">
        <f>IFERROR(IF(INDEX(Dados!$K$2:$K$49,MATCH($A6&amp;"|"&amp;H$5,Dados!$A$2:$A$49,0))="","",INDEX(Dados!$K$2:$K$49,MATCH($A6&amp;"|"&amp;H$5,Dados!$A$2:$A$49,0))),"")</f>
        <v>0.38716254182575111</v>
      </c>
      <c r="I6" s="7" t="str">
        <f>IFERROR(IF(INDEX(Dados!$K$2:$K$49,MATCH($A6&amp;"|"&amp;I$5,Dados!$A$2:$A$49,0))="","",INDEX(Dados!$K$2:$K$49,MATCH($A6&amp;"|"&amp;I$5,Dados!$A$2:$A$49,0))),"")</f>
        <v/>
      </c>
      <c r="J6" s="7">
        <f>IFERROR(IF(INDEX(Dados!$K$2:$K$49,MATCH($A6&amp;"|"&amp;J$5,Dados!$A$2:$A$49,0))="","",INDEX(Dados!$K$2:$K$49,MATCH($A6&amp;"|"&amp;J$5,Dados!$A$2:$A$49,0))),"")</f>
        <v>0.40222136699855088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1.3237677462823458E-2</v>
      </c>
      <c r="D7" s="10">
        <f>IFERROR(IF(INDEX(Dados!$K$2:$K$49,MATCH($A7&amp;"|"&amp;D$5,Dados!$A$2:$A$49,0))="","",INDEX(Dados!$K$2:$K$49,MATCH($A7&amp;"|"&amp;D$5,Dados!$A$2:$A$49,0))),"")</f>
        <v>1.3406645766922428E-2</v>
      </c>
      <c r="E7" s="10">
        <f>IFERROR(IF(INDEX(Dados!$K$2:$K$49,MATCH($A7&amp;"|"&amp;E$5,Dados!$A$2:$A$49,0))="","",INDEX(Dados!$K$2:$K$49,MATCH($A7&amp;"|"&amp;E$5,Dados!$A$2:$A$49,0))),"")</f>
        <v>1.3370002646391399E-2</v>
      </c>
      <c r="F7" s="10">
        <f>IFERROR(IF(INDEX(Dados!$K$2:$K$49,MATCH($A7&amp;"|"&amp;F$5,Dados!$A$2:$A$49,0))="","",INDEX(Dados!$K$2:$K$49,MATCH($A7&amp;"|"&amp;F$5,Dados!$A$2:$A$49,0))),"")</f>
        <v>1.3210335271843107E-2</v>
      </c>
      <c r="G7" s="10">
        <f>IFERROR(IF(INDEX(Dados!$K$2:$K$49,MATCH($A7&amp;"|"&amp;G$5,Dados!$A$2:$A$49,0))="","",INDEX(Dados!$K$2:$K$49,MATCH($A7&amp;"|"&amp;G$5,Dados!$A$2:$A$49,0))),"")</f>
        <v>1.3434000121661606E-2</v>
      </c>
      <c r="H7" s="10">
        <f>IFERROR(IF(INDEX(Dados!$K$2:$K$49,MATCH($A7&amp;"|"&amp;H$5,Dados!$A$2:$A$49,0))="","",INDEX(Dados!$K$2:$K$49,MATCH($A7&amp;"|"&amp;H$5,Dados!$A$2:$A$49,0))),"")</f>
        <v>1.4019073527824649E-2</v>
      </c>
      <c r="I7" s="10">
        <f>IFERROR(IF(INDEX(Dados!$K$2:$K$49,MATCH($A7&amp;"|"&amp;I$5,Dados!$A$2:$A$49,0))="","",INDEX(Dados!$K$2:$K$49,MATCH($A7&amp;"|"&amp;I$5,Dados!$A$2:$A$49,0))),"")</f>
        <v>1.4438191620416995E-2</v>
      </c>
      <c r="J7" s="10">
        <f>IFERROR(IF(INDEX(Dados!$K$2:$K$49,MATCH($A7&amp;"|"&amp;J$5,Dados!$A$2:$A$49,0))="","",INDEX(Dados!$K$2:$K$49,MATCH($A7&amp;"|"&amp;J$5,Dados!$A$2:$A$49,0))),"")</f>
        <v>1.4444260194506764E-2</v>
      </c>
      <c r="K7" s="10">
        <f>IFERROR(IF(INDEX(Dados!$N$2:$N$49,MATCH($A7&amp;"|"&amp;J$5,Dados!$A$2:$A$49,0))=0,"—",INDEX(Dados!$N$2:$N$49,MATCH($A7&amp;"|"&amp;J$5,Dados!$A$2:$A$49,0))),"—")</f>
        <v>1.9E-2</v>
      </c>
      <c r="L7" s="9" t="str">
        <f>IFERROR(IF(INDEX(Dados!$T$2:$T$49,MATCH($A7&amp;"|"&amp;J$5,Dados!$A$2:$A$49,0))="","—",INDEX(Dados!$T$2:$T$49,MATCH($A7&amp;"|"&amp;J$5,Dados!$A$2:$A$49,0))),"—")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4.7029858335963647E-2</v>
      </c>
      <c r="D8" s="10">
        <f>IFERROR(IF(INDEX(Dados!$K$2:$K$49,MATCH($A8&amp;"|"&amp;D$5,Dados!$A$2:$A$49,0))="","",INDEX(Dados!$K$2:$K$49,MATCH($A8&amp;"|"&amp;D$5,Dados!$A$2:$A$49,0))),"")</f>
        <v>4.9350257397150044E-2</v>
      </c>
      <c r="E8" s="10">
        <f>IFERROR(IF(INDEX(Dados!$K$2:$K$49,MATCH($A8&amp;"|"&amp;E$5,Dados!$A$2:$A$49,0))="","",INDEX(Dados!$K$2:$K$49,MATCH($A8&amp;"|"&amp;E$5,Dados!$A$2:$A$49,0))),"")</f>
        <v>4.7315523771353299E-2</v>
      </c>
      <c r="F8" s="10">
        <f>IFERROR(IF(INDEX(Dados!$K$2:$K$49,MATCH($A8&amp;"|"&amp;F$5,Dados!$A$2:$A$49,0))="","",INDEX(Dados!$K$2:$K$49,MATCH($A8&amp;"|"&amp;F$5,Dados!$A$2:$A$49,0))),"")</f>
        <v>4.989867584668442E-2</v>
      </c>
      <c r="G8" s="10">
        <f>IFERROR(IF(INDEX(Dados!$K$2:$K$49,MATCH($A8&amp;"|"&amp;G$5,Dados!$A$2:$A$49,0))="","",INDEX(Dados!$K$2:$K$49,MATCH($A8&amp;"|"&amp;G$5,Dados!$A$2:$A$49,0))),"")</f>
        <v>5.0001835794249272E-2</v>
      </c>
      <c r="H8" s="10">
        <f>IFERROR(IF(INDEX(Dados!$K$2:$K$49,MATCH($A8&amp;"|"&amp;H$5,Dados!$A$2:$A$49,0))="","",INDEX(Dados!$K$2:$K$49,MATCH($A8&amp;"|"&amp;H$5,Dados!$A$2:$A$49,0))),"")</f>
        <v>4.7071306503573558E-2</v>
      </c>
      <c r="I8" s="10">
        <f>IFERROR(IF(INDEX(Dados!$K$2:$K$49,MATCH($A8&amp;"|"&amp;I$5,Dados!$A$2:$A$49,0))="","",INDEX(Dados!$K$2:$K$49,MATCH($A8&amp;"|"&amp;I$5,Dados!$A$2:$A$49,0))),"")</f>
        <v>4.8003601355263985E-2</v>
      </c>
      <c r="J8" s="10">
        <f>IFERROR(IF(INDEX(Dados!$K$2:$K$49,MATCH($A8&amp;"|"&amp;J$5,Dados!$A$2:$A$49,0))="","",INDEX(Dados!$K$2:$K$49,MATCH($A8&amp;"|"&amp;J$5,Dados!$A$2:$A$49,0))),"")</f>
        <v>4.6672874730577622E-2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7.9521215294261587E-3</v>
      </c>
      <c r="D9" s="10">
        <f>IFERROR(IF(INDEX(Dados!$K$2:$K$49,MATCH($A9&amp;"|"&amp;D$5,Dados!$A$2:$A$49,0))="","",INDEX(Dados!$K$2:$K$49,MATCH($A9&amp;"|"&amp;D$5,Dados!$A$2:$A$49,0))),"")</f>
        <v>7.9276794814604479E-3</v>
      </c>
      <c r="E9" s="10">
        <f>IFERROR(IF(INDEX(Dados!$K$2:$K$49,MATCH($A9&amp;"|"&amp;E$5,Dados!$A$2:$A$49,0))="","",INDEX(Dados!$K$2:$K$49,MATCH($A9&amp;"|"&amp;E$5,Dados!$A$2:$A$49,0))),"")</f>
        <v>8.2327058528992875E-3</v>
      </c>
      <c r="F9" s="10">
        <f>IFERROR(IF(INDEX(Dados!$K$2:$K$49,MATCH($A9&amp;"|"&amp;F$5,Dados!$A$2:$A$49,0))="","",INDEX(Dados!$K$2:$K$49,MATCH($A9&amp;"|"&amp;F$5,Dados!$A$2:$A$49,0))),"")</f>
        <v>7.9806534899537745E-3</v>
      </c>
      <c r="G9" s="10">
        <f>IFERROR(IF(INDEX(Dados!$K$2:$K$49,MATCH($A9&amp;"|"&amp;G$5,Dados!$A$2:$A$49,0))="","",INDEX(Dados!$K$2:$K$49,MATCH($A9&amp;"|"&amp;G$5,Dados!$A$2:$A$49,0))),"")</f>
        <v>8.1515893305528254E-3</v>
      </c>
      <c r="H9" s="10">
        <f>IFERROR(IF(INDEX(Dados!$K$2:$K$49,MATCH($A9&amp;"|"&amp;H$5,Dados!$A$2:$A$49,0))="","",INDEX(Dados!$K$2:$K$49,MATCH($A9&amp;"|"&amp;H$5,Dados!$A$2:$A$49,0))),"")</f>
        <v>7.8325996282524058E-3</v>
      </c>
      <c r="I9" s="10">
        <f>IFERROR(IF(INDEX(Dados!$K$2:$K$49,MATCH($A9&amp;"|"&amp;I$5,Dados!$A$2:$A$49,0))="","",INDEX(Dados!$K$2:$K$49,MATCH($A9&amp;"|"&amp;I$5,Dados!$A$2:$A$49,0))),"")</f>
        <v>7.7711742949825467E-3</v>
      </c>
      <c r="J9" s="10">
        <f>IFERROR(IF(INDEX(Dados!$K$2:$K$49,MATCH($A9&amp;"|"&amp;J$5,Dados!$A$2:$A$49,0))="","",INDEX(Dados!$K$2:$K$49,MATCH($A9&amp;"|"&amp;J$5,Dados!$A$2:$A$49,0))),"")</f>
        <v>7.4506253819221638E-3</v>
      </c>
      <c r="K9" s="10">
        <f>IFERROR(IF(INDEX(Dados!$N$2:$N$49,MATCH($A9&amp;"|"&amp;J$5,Dados!$A$2:$A$49,0))=0,"—",INDEX(Dados!$N$2:$N$49,MATCH($A9&amp;"|"&amp;J$5,Dados!$A$2:$A$49,0))),"—")</f>
        <v>1.0999999999999999E-2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1.8702207637905813E-3</v>
      </c>
      <c r="D10" s="10">
        <f>IFERROR(IF(INDEX(Dados!$K$2:$K$49,MATCH($A10&amp;"|"&amp;D$5,Dados!$A$2:$A$49,0))="","",INDEX(Dados!$K$2:$K$49,MATCH($A10&amp;"|"&amp;D$5,Dados!$A$2:$A$49,0))),"")</f>
        <v>1.8264589900332012E-3</v>
      </c>
      <c r="E10" s="10">
        <f>IFERROR(IF(INDEX(Dados!$K$2:$K$49,MATCH($A10&amp;"|"&amp;E$5,Dados!$A$2:$A$49,0))="","",INDEX(Dados!$K$2:$K$49,MATCH($A10&amp;"|"&amp;E$5,Dados!$A$2:$A$49,0))),"")</f>
        <v>1.828801701286635E-3</v>
      </c>
      <c r="F10" s="10">
        <f>IFERROR(IF(INDEX(Dados!$K$2:$K$49,MATCH($A10&amp;"|"&amp;F$5,Dados!$A$2:$A$49,0))="","",INDEX(Dados!$K$2:$K$49,MATCH($A10&amp;"|"&amp;F$5,Dados!$A$2:$A$49,0))),"")</f>
        <v>1.7433272689716792E-3</v>
      </c>
      <c r="G10" s="10">
        <f>IFERROR(IF(INDEX(Dados!$K$2:$K$49,MATCH($A10&amp;"|"&amp;G$5,Dados!$A$2:$A$49,0))="","",INDEX(Dados!$K$2:$K$49,MATCH($A10&amp;"|"&amp;G$5,Dados!$A$2:$A$49,0))),"")</f>
        <v>1.7274245216286361E-3</v>
      </c>
      <c r="H10" s="10">
        <f>IFERROR(IF(INDEX(Dados!$K$2:$K$49,MATCH($A10&amp;"|"&amp;H$5,Dados!$A$2:$A$49,0))="","",INDEX(Dados!$K$2:$K$49,MATCH($A10&amp;"|"&amp;H$5,Dados!$A$2:$A$49,0))),"")</f>
        <v>1.8496123121497501E-3</v>
      </c>
      <c r="I10" s="10" t="str">
        <f>IFERROR(IF(INDEX(Dados!$K$2:$K$49,MATCH($A10&amp;"|"&amp;I$5,Dados!$A$2:$A$49,0))="","",INDEX(Dados!$K$2:$K$49,MATCH($A10&amp;"|"&amp;I$5,Dados!$A$2:$A$49,0))),"")</f>
        <v/>
      </c>
      <c r="J10" s="10">
        <f>IFERROR(IF(INDEX(Dados!$K$2:$K$49,MATCH($A10&amp;"|"&amp;J$5,Dados!$A$2:$A$49,0))="","",INDEX(Dados!$K$2:$K$49,MATCH($A10&amp;"|"&amp;J$5,Dados!$A$2:$A$49,0))),"")</f>
        <v>2.1233022941275072E-3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1.5199145153113207E-2</v>
      </c>
      <c r="D11" s="10">
        <f>IFERROR(IF(INDEX(Dados!$K$2:$K$49,MATCH($A11&amp;"|"&amp;D$5,Dados!$A$2:$A$49,0))="","",INDEX(Dados!$K$2:$K$49,MATCH($A11&amp;"|"&amp;D$5,Dados!$A$2:$A$49,0))),"")</f>
        <v>1.5076124641770683E-2</v>
      </c>
      <c r="E11" s="10">
        <f>IFERROR(IF(INDEX(Dados!$K$2:$K$49,MATCH($A11&amp;"|"&amp;E$5,Dados!$A$2:$A$49,0))="","",INDEX(Dados!$K$2:$K$49,MATCH($A11&amp;"|"&amp;E$5,Dados!$A$2:$A$49,0))),"")</f>
        <v>1.4962109309205792E-2</v>
      </c>
      <c r="F11" s="10">
        <f>IFERROR(IF(INDEX(Dados!$K$2:$K$49,MATCH($A11&amp;"|"&amp;F$5,Dados!$A$2:$A$49,0))="","",INDEX(Dados!$K$2:$K$49,MATCH($A11&amp;"|"&amp;F$5,Dados!$A$2:$A$49,0))),"")</f>
        <v>1.5070696565482258E-2</v>
      </c>
      <c r="G11" s="10">
        <f>IFERROR(IF(INDEX(Dados!$K$2:$K$49,MATCH($A11&amp;"|"&amp;G$5,Dados!$A$2:$A$49,0))="","",INDEX(Dados!$K$2:$K$49,MATCH($A11&amp;"|"&amp;G$5,Dados!$A$2:$A$49,0))),"")</f>
        <v>1.5460989054234001E-2</v>
      </c>
      <c r="H11" s="10">
        <f>IFERROR(IF(INDEX(Dados!$K$2:$K$49,MATCH($A11&amp;"|"&amp;H$5,Dados!$A$2:$A$49,0))="","",INDEX(Dados!$K$2:$K$49,MATCH($A11&amp;"|"&amp;H$5,Dados!$A$2:$A$49,0))),"")</f>
        <v>1.5045609499558616E-2</v>
      </c>
      <c r="I11" s="10">
        <f>IFERROR(IF(INDEX(Dados!$K$2:$K$49,MATCH($A11&amp;"|"&amp;I$5,Dados!$A$2:$A$49,0))="","",INDEX(Dados!$K$2:$K$49,MATCH($A11&amp;"|"&amp;I$5,Dados!$A$2:$A$49,0))),"")</f>
        <v>1.5220957259095575E-2</v>
      </c>
      <c r="J11" s="10">
        <f>IFERROR(IF(INDEX(Dados!$K$2:$K$49,MATCH($A11&amp;"|"&amp;J$5,Dados!$A$2:$A$49,0))="","",INDEX(Dados!$K$2:$K$49,MATCH($A11&amp;"|"&amp;J$5,Dados!$A$2:$A$49,0))),"")</f>
        <v>1.4875998189581956E-2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43341.453479379998</v>
      </c>
      <c r="D12" s="12">
        <f>IFERROR(INDEX(Dados!$J$2:$J$49,MATCH("Governo|"&amp;D$5,Dados!$A$2:$A$49,0))/1000000,"")</f>
        <v>45097.961558120005</v>
      </c>
      <c r="E12" s="12">
        <f>IFERROR(INDEX(Dados!$J$2:$J$49,MATCH("Governo|"&amp;E$5,Dados!$A$2:$A$49,0))/1000000,"")</f>
        <v>46437.402114320001</v>
      </c>
      <c r="F12" s="12">
        <f>IFERROR(INDEX(Dados!$J$2:$J$49,MATCH("Governo|"&amp;F$5,Dados!$A$2:$A$49,0))/1000000,"")</f>
        <v>47966.498682329999</v>
      </c>
      <c r="G12" s="12">
        <f>IFERROR(INDEX(Dados!$J$2:$J$49,MATCH("Governo|"&amp;G$5,Dados!$A$2:$A$49,0))/1000000,"")</f>
        <v>49275.192214910006</v>
      </c>
      <c r="H12" s="12">
        <f>IFERROR(INDEX(Dados!$J$2:$J$49,MATCH("Governo|"&amp;H$5,Dados!$A$2:$A$49,0))/1000000,"")</f>
        <v>50791.492656540002</v>
      </c>
      <c r="I12" s="12">
        <f>IFERROR(INDEX(Dados!$J$2:$J$49,MATCH("Governo|"&amp;I$5,Dados!$A$2:$A$49,0))/1000000,"")</f>
        <v>0</v>
      </c>
      <c r="J12" s="12">
        <f>IFERROR(INDEX(Dados!$J$2:$J$49,MATCH("Governo|"&amp;J$5,Dados!$A$2:$A$49,0))/1000000,"")</f>
        <v>53646.592063240001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17703.8276711</v>
      </c>
      <c r="D16" s="13">
        <f>IFERROR(IF(INDEX(Dados!$I$2:$I$49,MATCH($A16&amp;"|"&amp;D$15,Dados!$A$2:$A$49,0))="","",INDEX(Dados!$I$2:$I$49,MATCH($A16&amp;"|"&amp;D$15,Dados!$A$2:$A$49,0))/1000000),"")</f>
        <v>18027.61430062</v>
      </c>
      <c r="E16" s="13">
        <f>IFERROR(IF(INDEX(Dados!$I$2:$I$49,MATCH($A16&amp;"|"&amp;E$15,Dados!$A$2:$A$49,0))="","",INDEX(Dados!$I$2:$I$49,MATCH($A16&amp;"|"&amp;E$15,Dados!$A$2:$A$49,0))/1000000),"")</f>
        <v>18419.35881256</v>
      </c>
      <c r="F16" s="13">
        <f>IFERROR(IF(INDEX(Dados!$I$2:$I$49,MATCH($A16&amp;"|"&amp;F$15,Dados!$A$2:$A$49,0))="","",INDEX(Dados!$I$2:$I$49,MATCH($A16&amp;"|"&amp;F$15,Dados!$A$2:$A$49,0))/1000000),"")</f>
        <v>18711.243888700003</v>
      </c>
      <c r="G16" s="13">
        <f>IFERROR(IF(INDEX(Dados!$I$2:$I$49,MATCH($A16&amp;"|"&amp;G$15,Dados!$A$2:$A$49,0))="","",INDEX(Dados!$I$2:$I$49,MATCH($A16&amp;"|"&amp;G$15,Dados!$A$2:$A$49,0))/1000000),"")</f>
        <v>18859.560069299998</v>
      </c>
      <c r="H16" s="13">
        <f>IFERROR(IF(INDEX(Dados!$I$2:$I$49,MATCH($A16&amp;"|"&amp;H$15,Dados!$A$2:$A$49,0))="","",INDEX(Dados!$I$2:$I$49,MATCH($A16&amp;"|"&amp;H$15,Dados!$A$2:$A$49,0))/1000000),"")</f>
        <v>19664.563400029998</v>
      </c>
      <c r="I16" s="13" t="str">
        <f>IFERROR(IF(INDEX(Dados!$I$2:$I$49,MATCH($A16&amp;"|"&amp;I$15,Dados!$A$2:$A$49,0))="","",INDEX(Dados!$I$2:$I$49,MATCH($A16&amp;"|"&amp;I$15,Dados!$A$2:$A$49,0))/1000000),"")</f>
        <v/>
      </c>
      <c r="J16" s="13">
        <f>IFERROR(IF(INDEX(Dados!$I$2:$I$49,MATCH($A16&amp;"|"&amp;J$15,Dados!$A$2:$A$49,0))="","",INDEX(Dados!$I$2:$I$49,MATCH($A16&amp;"|"&amp;J$15,Dados!$A$2:$A$49,0))/1000000),"")</f>
        <v>21577.805594490001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573.74018192999995</v>
      </c>
      <c r="D17" s="14">
        <f>IFERROR(IF(INDEX(Dados!$I$2:$I$49,MATCH($A17&amp;"|"&amp;D$15,Dados!$A$2:$A$49,0))="","",INDEX(Dados!$I$2:$I$49,MATCH($A17&amp;"|"&amp;D$15,Dados!$A$2:$A$49,0))/1000000),"")</f>
        <v>604.61239541999998</v>
      </c>
      <c r="E17" s="14">
        <f>IFERROR(IF(INDEX(Dados!$I$2:$I$49,MATCH($A17&amp;"|"&amp;E$15,Dados!$A$2:$A$49,0))="","",INDEX(Dados!$I$2:$I$49,MATCH($A17&amp;"|"&amp;E$15,Dados!$A$2:$A$49,0))/1000000),"")</f>
        <v>620.86818915999993</v>
      </c>
      <c r="F17" s="14">
        <f>IFERROR(IF(INDEX(Dados!$I$2:$I$49,MATCH($A17&amp;"|"&amp;F$15,Dados!$A$2:$A$49,0))="","",INDEX(Dados!$I$2:$I$49,MATCH($A17&amp;"|"&amp;F$15,Dados!$A$2:$A$49,0))/1000000),"")</f>
        <v>633.65352940999992</v>
      </c>
      <c r="G17" s="14">
        <f>IFERROR(IF(INDEX(Dados!$I$2:$I$49,MATCH($A17&amp;"|"&amp;G$15,Dados!$A$2:$A$49,0))="","",INDEX(Dados!$I$2:$I$49,MATCH($A17&amp;"|"&amp;G$15,Dados!$A$2:$A$49,0))/1000000),"")</f>
        <v>661.96293821000006</v>
      </c>
      <c r="H17" s="14">
        <f>IFERROR(IF(INDEX(Dados!$I$2:$I$49,MATCH($A17&amp;"|"&amp;H$15,Dados!$A$2:$A$49,0))="","",INDEX(Dados!$I$2:$I$49,MATCH($A17&amp;"|"&amp;H$15,Dados!$A$2:$A$49,0))/1000000),"")</f>
        <v>712.04967013999999</v>
      </c>
      <c r="I17" s="14">
        <f>IFERROR(IF(INDEX(Dados!$I$2:$I$49,MATCH($A17&amp;"|"&amp;I$15,Dados!$A$2:$A$49,0))="","",INDEX(Dados!$I$2:$I$49,MATCH($A17&amp;"|"&amp;I$15,Dados!$A$2:$A$49,0))/1000000),"")</f>
        <v>754.12917300000004</v>
      </c>
      <c r="J17" s="14">
        <f>IFERROR(IF(INDEX(Dados!$I$2:$I$49,MATCH($A17&amp;"|"&amp;J$15,Dados!$A$2:$A$49,0))="","",INDEX(Dados!$I$2:$I$49,MATCH($A17&amp;"|"&amp;J$15,Dados!$A$2:$A$49,0))/1000000),"")</f>
        <v>774.88533430999996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2038.3424172100001</v>
      </c>
      <c r="D18" s="14">
        <f>IFERROR(IF(INDEX(Dados!$I$2:$I$49,MATCH($A18&amp;"|"&amp;D$15,Dados!$A$2:$A$49,0))="","",INDEX(Dados!$I$2:$I$49,MATCH($A18&amp;"|"&amp;D$15,Dados!$A$2:$A$49,0))/1000000),"")</f>
        <v>2225.5960109799998</v>
      </c>
      <c r="E18" s="14">
        <f>IFERROR(IF(INDEX(Dados!$I$2:$I$49,MATCH($A18&amp;"|"&amp;E$15,Dados!$A$2:$A$49,0))="","",INDEX(Dados!$I$2:$I$49,MATCH($A18&amp;"|"&amp;E$15,Dados!$A$2:$A$49,0))/1000000),"")</f>
        <v>2197.21000362</v>
      </c>
      <c r="F18" s="14">
        <f>IFERROR(IF(INDEX(Dados!$I$2:$I$49,MATCH($A18&amp;"|"&amp;F$15,Dados!$A$2:$A$49,0))="","",INDEX(Dados!$I$2:$I$49,MATCH($A18&amp;"|"&amp;F$15,Dados!$A$2:$A$49,0))/1000000),"")</f>
        <v>2393.4647692499998</v>
      </c>
      <c r="G18" s="14">
        <f>IFERROR(IF(INDEX(Dados!$I$2:$I$49,MATCH($A18&amp;"|"&amp;G$15,Dados!$A$2:$A$49,0))="","",INDEX(Dados!$I$2:$I$49,MATCH($A18&amp;"|"&amp;G$15,Dados!$A$2:$A$49,0))/1000000),"")</f>
        <v>2463.8500698600001</v>
      </c>
      <c r="H18" s="14">
        <f>IFERROR(IF(INDEX(Dados!$I$2:$I$49,MATCH($A18&amp;"|"&amp;H$15,Dados!$A$2:$A$49,0))="","",INDEX(Dados!$I$2:$I$49,MATCH($A18&amp;"|"&amp;H$15,Dados!$A$2:$A$49,0))/1000000),"")</f>
        <v>2390.82191861</v>
      </c>
      <c r="I18" s="14">
        <f>IFERROR(IF(INDEX(Dados!$I$2:$I$49,MATCH($A18&amp;"|"&amp;I$15,Dados!$A$2:$A$49,0))="","",INDEX(Dados!$I$2:$I$49,MATCH($A18&amp;"|"&amp;I$15,Dados!$A$2:$A$49,0))/1000000),"")</f>
        <v>2507.3026555400002</v>
      </c>
      <c r="J18" s="14">
        <f>IFERROR(IF(INDEX(Dados!$I$2:$I$49,MATCH($A18&amp;"|"&amp;J$15,Dados!$A$2:$A$49,0))="","",INDEX(Dados!$I$2:$I$49,MATCH($A18&amp;"|"&amp;J$15,Dados!$A$2:$A$49,0))/1000000),"")</f>
        <v>2503.8406710900003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344.65650532999996</v>
      </c>
      <c r="D19" s="14">
        <f>IFERROR(IF(INDEX(Dados!$I$2:$I$49,MATCH($A19&amp;"|"&amp;D$15,Dados!$A$2:$A$49,0))="","",INDEX(Dados!$I$2:$I$49,MATCH($A19&amp;"|"&amp;D$15,Dados!$A$2:$A$49,0))/1000000),"")</f>
        <v>357.52218449999998</v>
      </c>
      <c r="E19" s="14">
        <f>IFERROR(IF(INDEX(Dados!$I$2:$I$49,MATCH($A19&amp;"|"&amp;E$15,Dados!$A$2:$A$49,0))="","",INDEX(Dados!$I$2:$I$49,MATCH($A19&amp;"|"&amp;E$15,Dados!$A$2:$A$49,0))/1000000),"")</f>
        <v>382.30547217999998</v>
      </c>
      <c r="F19" s="14">
        <f>IFERROR(IF(INDEX(Dados!$I$2:$I$49,MATCH($A19&amp;"|"&amp;F$15,Dados!$A$2:$A$49,0))="","",INDEX(Dados!$I$2:$I$49,MATCH($A19&amp;"|"&amp;F$15,Dados!$A$2:$A$49,0))/1000000),"")</f>
        <v>382.80400510999999</v>
      </c>
      <c r="G19" s="14">
        <f>IFERROR(IF(INDEX(Dados!$I$2:$I$49,MATCH($A19&amp;"|"&amp;G$15,Dados!$A$2:$A$49,0))="","",INDEX(Dados!$I$2:$I$49,MATCH($A19&amp;"|"&amp;G$15,Dados!$A$2:$A$49,0))/1000000),"")</f>
        <v>401.67113111999998</v>
      </c>
      <c r="H19" s="14">
        <f>IFERROR(IF(INDEX(Dados!$I$2:$I$49,MATCH($A19&amp;"|"&amp;H$15,Dados!$A$2:$A$49,0))="","",INDEX(Dados!$I$2:$I$49,MATCH($A19&amp;"|"&amp;H$15,Dados!$A$2:$A$49,0))/1000000),"")</f>
        <v>397.82942650000001</v>
      </c>
      <c r="I19" s="14">
        <f>IFERROR(IF(INDEX(Dados!$I$2:$I$49,MATCH($A19&amp;"|"&amp;I$15,Dados!$A$2:$A$49,0))="","",INDEX(Dados!$I$2:$I$49,MATCH($A19&amp;"|"&amp;I$15,Dados!$A$2:$A$49,0))/1000000),"")</f>
        <v>405.90050322000002</v>
      </c>
      <c r="J19" s="14">
        <f>IFERROR(IF(INDEX(Dados!$I$2:$I$49,MATCH($A19&amp;"|"&amp;J$15,Dados!$A$2:$A$49,0))="","",INDEX(Dados!$I$2:$I$49,MATCH($A19&amp;"|"&amp;J$15,Dados!$A$2:$A$49,0))/1000000),"")</f>
        <v>399.70066048000001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81.058086230000001</v>
      </c>
      <c r="D20" s="14">
        <f>IFERROR(IF(INDEX(Dados!$I$2:$I$49,MATCH($A20&amp;"|"&amp;D$15,Dados!$A$2:$A$49,0))="","",INDEX(Dados!$I$2:$I$49,MATCH($A20&amp;"|"&amp;D$15,Dados!$A$2:$A$49,0))/1000000),"")</f>
        <v>82.369577319999991</v>
      </c>
      <c r="E20" s="14">
        <f>IFERROR(IF(INDEX(Dados!$I$2:$I$49,MATCH($A20&amp;"|"&amp;E$15,Dados!$A$2:$A$49,0))="","",INDEX(Dados!$I$2:$I$49,MATCH($A20&amp;"|"&amp;E$15,Dados!$A$2:$A$49,0))/1000000),"")</f>
        <v>84.924799989999997</v>
      </c>
      <c r="F20" s="14">
        <f>IFERROR(IF(INDEX(Dados!$I$2:$I$49,MATCH($A20&amp;"|"&amp;F$15,Dados!$A$2:$A$49,0))="","",INDEX(Dados!$I$2:$I$49,MATCH($A20&amp;"|"&amp;F$15,Dados!$A$2:$A$49,0))/1000000),"")</f>
        <v>83.621305150000012</v>
      </c>
      <c r="G20" s="14">
        <f>IFERROR(IF(INDEX(Dados!$I$2:$I$49,MATCH($A20&amp;"|"&amp;G$15,Dados!$A$2:$A$49,0))="","",INDEX(Dados!$I$2:$I$49,MATCH($A20&amp;"|"&amp;G$15,Dados!$A$2:$A$49,0))/1000000),"")</f>
        <v>85.119175339999998</v>
      </c>
      <c r="H20" s="14">
        <f>IFERROR(IF(INDEX(Dados!$I$2:$I$49,MATCH($A20&amp;"|"&amp;H$15,Dados!$A$2:$A$49,0))="","",INDEX(Dados!$I$2:$I$49,MATCH($A20&amp;"|"&amp;H$15,Dados!$A$2:$A$49,0))/1000000),"")</f>
        <v>93.944570170000006</v>
      </c>
      <c r="I20" s="14">
        <f>IFERROR(IF(INDEX(Dados!$I$2:$I$49,MATCH($A20&amp;"|"&amp;I$15,Dados!$A$2:$A$49,0))="","",INDEX(Dados!$I$2:$I$49,MATCH($A20&amp;"|"&amp;I$15,Dados!$A$2:$A$49,0))/1000000),"")</f>
        <v>104.14330995</v>
      </c>
      <c r="J20" s="14">
        <f>IFERROR(IF(INDEX(Dados!$I$2:$I$49,MATCH($A20&amp;"|"&amp;J$15,Dados!$A$2:$A$49,0))="","",INDEX(Dados!$I$2:$I$49,MATCH($A20&amp;"|"&amp;J$15,Dados!$A$2:$A$49,0))/1000000),"")</f>
        <v>113.907932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658.75304258000006</v>
      </c>
      <c r="D21" s="14">
        <f>IFERROR(IF(INDEX(Dados!$I$2:$I$49,MATCH($A21&amp;"|"&amp;D$15,Dados!$A$2:$A$49,0))="","",INDEX(Dados!$I$2:$I$49,MATCH($A21&amp;"|"&amp;D$15,Dados!$A$2:$A$49,0))/1000000),"")</f>
        <v>679.90248953999992</v>
      </c>
      <c r="E21" s="14">
        <f>IFERROR(IF(INDEX(Dados!$I$2:$I$49,MATCH($A21&amp;"|"&amp;E$15,Dados!$A$2:$A$49,0))="","",INDEX(Dados!$I$2:$I$49,MATCH($A21&amp;"|"&amp;E$15,Dados!$A$2:$A$49,0))/1000000),"")</f>
        <v>694.80148646999999</v>
      </c>
      <c r="F21" s="14">
        <f>IFERROR(IF(INDEX(Dados!$I$2:$I$49,MATCH($A21&amp;"|"&amp;F$15,Dados!$A$2:$A$49,0))="","",INDEX(Dados!$I$2:$I$49,MATCH($A21&amp;"|"&amp;F$15,Dados!$A$2:$A$49,0))/1000000),"")</f>
        <v>722.88854695000009</v>
      </c>
      <c r="G21" s="14">
        <f>IFERROR(IF(INDEX(Dados!$I$2:$I$49,MATCH($A21&amp;"|"&amp;G$15,Dados!$A$2:$A$49,0))="","",INDEX(Dados!$I$2:$I$49,MATCH($A21&amp;"|"&amp;G$15,Dados!$A$2:$A$49,0))/1000000),"")</f>
        <v>761.84320748000005</v>
      </c>
      <c r="H21" s="14">
        <f>IFERROR(IF(INDEX(Dados!$I$2:$I$49,MATCH($A21&amp;"|"&amp;H$15,Dados!$A$2:$A$49,0))="","",INDEX(Dados!$I$2:$I$49,MATCH($A21&amp;"|"&amp;H$15,Dados!$A$2:$A$49,0))/1000000),"")</f>
        <v>764.18896440999993</v>
      </c>
      <c r="I21" s="14">
        <f>IFERROR(IF(INDEX(Dados!$I$2:$I$49,MATCH($A21&amp;"|"&amp;I$15,Dados!$A$2:$A$49,0))="","",INDEX(Dados!$I$2:$I$49,MATCH($A21&amp;"|"&amp;I$15,Dados!$A$2:$A$49,0))/1000000),"")</f>
        <v>795.01423805999991</v>
      </c>
      <c r="J21" s="14">
        <f>IFERROR(IF(INDEX(Dados!$I$2:$I$49,MATCH($A21&amp;"|"&amp;J$15,Dados!$A$2:$A$49,0))="","",INDEX(Dados!$I$2:$I$49,MATCH($A21&amp;"|"&amp;J$15,Dados!$A$2:$A$49,0))/1000000),"")</f>
        <v>798.04660640999998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17703827671.099998</v>
      </c>
      <c r="J2" s="15">
        <v>43341453479.379997</v>
      </c>
      <c r="K2" s="10">
        <f t="shared" ref="K2:K49" si="1">IF(OR(I2="",J2="",J2=0),"",I2/J2)</f>
        <v>0.40847332633924516</v>
      </c>
      <c r="L2" s="16">
        <v>0.40849999999999997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21237312204.900002</v>
      </c>
      <c r="R2" s="15">
        <v>20175446594.66</v>
      </c>
      <c r="S2" s="15">
        <v>19113580984.41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18027614300.619999</v>
      </c>
      <c r="J3" s="15">
        <v>45097961558.120003</v>
      </c>
      <c r="K3" s="10">
        <f t="shared" si="1"/>
        <v>0.39974344023037289</v>
      </c>
      <c r="L3" s="16">
        <v>0.3997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22098001163.48</v>
      </c>
      <c r="R3" s="15">
        <v>20993101105.310001</v>
      </c>
      <c r="S3" s="15">
        <v>19888201047.130001</v>
      </c>
      <c r="T3" s="9" t="str">
        <f t="shared" si="3"/>
        <v>Abaixo do limite de alerta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18419358812.560001</v>
      </c>
      <c r="J4" s="15">
        <v>46437402114.32</v>
      </c>
      <c r="K4" s="10">
        <f t="shared" si="1"/>
        <v>0.39664920891171007</v>
      </c>
      <c r="L4" s="16">
        <v>0.39660000000000001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22754327036.02</v>
      </c>
      <c r="R4" s="15">
        <v>21616610684.220001</v>
      </c>
      <c r="S4" s="15">
        <v>20478894332.419998</v>
      </c>
      <c r="T4" s="9" t="str">
        <f t="shared" si="3"/>
        <v>Abaixo do limite de alerta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18711243888.700001</v>
      </c>
      <c r="J5" s="15">
        <v>47966498682.330002</v>
      </c>
      <c r="K5" s="10">
        <f t="shared" si="1"/>
        <v>0.39008984192529539</v>
      </c>
      <c r="L5" s="16">
        <v>0.3901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23503584354.34</v>
      </c>
      <c r="R5" s="15">
        <v>22328405136.619999</v>
      </c>
      <c r="S5" s="15">
        <v>21153225918.91</v>
      </c>
      <c r="T5" s="9" t="str">
        <f t="shared" si="3"/>
        <v>Abaixo do limite de alerta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18859560069.299999</v>
      </c>
      <c r="J6" s="15">
        <v>49275192214.910004</v>
      </c>
      <c r="K6" s="10">
        <f t="shared" si="1"/>
        <v>0.38273945207652282</v>
      </c>
      <c r="L6" s="16">
        <v>0.38269999999999998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24144844185.310001</v>
      </c>
      <c r="R6" s="15">
        <v>22937601976.040001</v>
      </c>
      <c r="S6" s="15">
        <v>21730359766.779999</v>
      </c>
      <c r="T6" s="9" t="str">
        <f t="shared" si="3"/>
        <v>Abaixo do limite de alerta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19664563400.029999</v>
      </c>
      <c r="J7" s="15">
        <v>50791492656.540001</v>
      </c>
      <c r="K7" s="10">
        <f t="shared" si="1"/>
        <v>0.38716254182575111</v>
      </c>
      <c r="L7" s="16">
        <v>0.38719999999999999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24887831401.700001</v>
      </c>
      <c r="R7" s="15">
        <v>23643439831.619999</v>
      </c>
      <c r="S7" s="15">
        <v>22399048261.529999</v>
      </c>
      <c r="T7" s="9" t="str">
        <f t="shared" si="3"/>
        <v>Abaixo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7"/>
      <c r="J8" s="17"/>
      <c r="K8" s="10" t="str">
        <f t="shared" si="1"/>
        <v/>
      </c>
      <c r="L8" s="10"/>
      <c r="M8" s="9" t="str">
        <f t="shared" si="2"/>
        <v>Não declarado</v>
      </c>
      <c r="N8" s="10"/>
      <c r="O8" s="10"/>
      <c r="P8" s="10"/>
      <c r="Q8" s="17"/>
      <c r="R8" s="17"/>
      <c r="S8" s="17"/>
      <c r="T8" s="9" t="str">
        <f t="shared" si="3"/>
        <v>Sem dado</v>
      </c>
      <c r="U8" s="9"/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21577805594.490002</v>
      </c>
      <c r="J9" s="15">
        <v>53646592063.239998</v>
      </c>
      <c r="K9" s="10">
        <f t="shared" si="1"/>
        <v>0.40222136699855088</v>
      </c>
      <c r="L9" s="16">
        <v>0.4022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26286830110.990002</v>
      </c>
      <c r="R9" s="15">
        <v>24972488605.439999</v>
      </c>
      <c r="S9" s="15">
        <v>23658147099.889999</v>
      </c>
      <c r="T9" s="9" t="str">
        <f t="shared" si="3"/>
        <v>Abaixo do limite de alerta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573740181.92999995</v>
      </c>
      <c r="J10" s="15">
        <v>43341453479.379997</v>
      </c>
      <c r="K10" s="10">
        <f t="shared" si="1"/>
        <v>1.3237677462823458E-2</v>
      </c>
      <c r="L10" s="16">
        <v>1.32E-2</v>
      </c>
      <c r="M10" s="9" t="str">
        <f t="shared" si="2"/>
        <v>Sim</v>
      </c>
      <c r="N10" s="16">
        <v>1.9E-2</v>
      </c>
      <c r="O10" s="16">
        <v>1.8100000000000002E-2</v>
      </c>
      <c r="P10" s="16">
        <v>1.7100000000000001E-2</v>
      </c>
      <c r="Q10" s="15">
        <v>823487616.11000001</v>
      </c>
      <c r="R10" s="15">
        <v>782313235.29999995</v>
      </c>
      <c r="S10" s="15">
        <v>741138854.5</v>
      </c>
      <c r="T10" s="9" t="str">
        <f t="shared" si="3"/>
        <v>Abaixo do limite de alerta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604612395.41999996</v>
      </c>
      <c r="J11" s="15">
        <v>45097961558.120003</v>
      </c>
      <c r="K11" s="10">
        <f t="shared" si="1"/>
        <v>1.3406645766922428E-2</v>
      </c>
      <c r="L11" s="16">
        <v>1.34E-2</v>
      </c>
      <c r="M11" s="9" t="str">
        <f t="shared" si="2"/>
        <v>Sim</v>
      </c>
      <c r="N11" s="16">
        <v>1.9E-2</v>
      </c>
      <c r="O11" s="16">
        <v>1.8100000000000002E-2</v>
      </c>
      <c r="P11" s="16">
        <v>1.7100000000000001E-2</v>
      </c>
      <c r="Q11" s="15">
        <v>856861269.60000002</v>
      </c>
      <c r="R11" s="15">
        <v>814018206.12</v>
      </c>
      <c r="S11" s="15">
        <v>771175142.63999999</v>
      </c>
      <c r="T11" s="9" t="str">
        <f t="shared" si="3"/>
        <v>Abaixo do limite de alerta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620868189.15999997</v>
      </c>
      <c r="J12" s="15">
        <v>46437402114.32</v>
      </c>
      <c r="K12" s="10">
        <f t="shared" si="1"/>
        <v>1.3370002646391399E-2</v>
      </c>
      <c r="L12" s="16">
        <v>1.34E-2</v>
      </c>
      <c r="M12" s="9" t="str">
        <f t="shared" si="2"/>
        <v>Sim</v>
      </c>
      <c r="N12" s="16">
        <v>1.9E-2</v>
      </c>
      <c r="O12" s="16">
        <v>1.8100000000000002E-2</v>
      </c>
      <c r="P12" s="16">
        <v>1.7100000000000001E-2</v>
      </c>
      <c r="Q12" s="15">
        <v>882310640.16999996</v>
      </c>
      <c r="R12" s="15">
        <v>838195108.15999997</v>
      </c>
      <c r="S12" s="15">
        <v>794079576.14999998</v>
      </c>
      <c r="T12" s="9" t="str">
        <f t="shared" si="3"/>
        <v>Abaixo do limite de alerta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633653529.40999997</v>
      </c>
      <c r="J13" s="15">
        <v>47966498682.330002</v>
      </c>
      <c r="K13" s="10">
        <f t="shared" si="1"/>
        <v>1.3210335271843107E-2</v>
      </c>
      <c r="L13" s="16">
        <v>1.32E-2</v>
      </c>
      <c r="M13" s="9" t="str">
        <f t="shared" si="2"/>
        <v>Sim</v>
      </c>
      <c r="N13" s="16">
        <v>1.9E-2</v>
      </c>
      <c r="O13" s="16">
        <v>1.8100000000000002E-2</v>
      </c>
      <c r="P13" s="16">
        <v>1.7100000000000001E-2</v>
      </c>
      <c r="Q13" s="15">
        <v>911363474.96000004</v>
      </c>
      <c r="R13" s="15">
        <v>865795301.21000004</v>
      </c>
      <c r="S13" s="15">
        <v>820227127.46000004</v>
      </c>
      <c r="T13" s="9" t="str">
        <f t="shared" si="3"/>
        <v>Abaixo do limite de alerta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661962938.21000004</v>
      </c>
      <c r="J14" s="15">
        <v>49275192214.910004</v>
      </c>
      <c r="K14" s="10">
        <f t="shared" si="1"/>
        <v>1.3434000121661606E-2</v>
      </c>
      <c r="L14" s="16">
        <v>1.34E-2</v>
      </c>
      <c r="M14" s="9" t="str">
        <f t="shared" si="2"/>
        <v>Sim</v>
      </c>
      <c r="N14" s="16">
        <v>1.9E-2</v>
      </c>
      <c r="O14" s="16">
        <v>1.8100000000000002E-2</v>
      </c>
      <c r="P14" s="16">
        <v>1.7100000000000001E-2</v>
      </c>
      <c r="Q14" s="15">
        <v>936228652.08000004</v>
      </c>
      <c r="R14" s="15">
        <v>889417219.48000002</v>
      </c>
      <c r="S14" s="15">
        <v>842605786.87</v>
      </c>
      <c r="T14" s="9" t="str">
        <f t="shared" si="3"/>
        <v>Abaixo do limite de alerta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712049670.13999999</v>
      </c>
      <c r="J15" s="15">
        <v>50791492656.540001</v>
      </c>
      <c r="K15" s="10">
        <f t="shared" si="1"/>
        <v>1.4019073527824649E-2</v>
      </c>
      <c r="L15" s="16">
        <v>1.4E-2</v>
      </c>
      <c r="M15" s="9" t="str">
        <f t="shared" si="2"/>
        <v>Sim</v>
      </c>
      <c r="N15" s="16">
        <v>1.9E-2</v>
      </c>
      <c r="O15" s="16">
        <v>1.8100000000000002E-2</v>
      </c>
      <c r="P15" s="16">
        <v>1.7100000000000001E-2</v>
      </c>
      <c r="Q15" s="15">
        <v>965038360.47000003</v>
      </c>
      <c r="R15" s="15">
        <v>916786442.45000005</v>
      </c>
      <c r="S15" s="15">
        <v>868534524.41999996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754129173</v>
      </c>
      <c r="J16" s="15">
        <v>52231553149.190002</v>
      </c>
      <c r="K16" s="10">
        <f t="shared" si="1"/>
        <v>1.4438191620416995E-2</v>
      </c>
      <c r="L16" s="16">
        <v>1.44E-2</v>
      </c>
      <c r="M16" s="9" t="str">
        <f t="shared" si="2"/>
        <v>Sim</v>
      </c>
      <c r="N16" s="16">
        <v>1.9E-2</v>
      </c>
      <c r="O16" s="16">
        <v>1.8100000000000002E-2</v>
      </c>
      <c r="P16" s="16">
        <v>1.7100000000000001E-2</v>
      </c>
      <c r="Q16" s="15">
        <v>992399509.83000004</v>
      </c>
      <c r="R16" s="15">
        <v>942779534.34000003</v>
      </c>
      <c r="S16" s="15">
        <v>893159558.85000002</v>
      </c>
      <c r="T16" s="9" t="str">
        <f t="shared" si="3"/>
        <v>Abaixo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774885334.30999994</v>
      </c>
      <c r="J17" s="15">
        <v>53646592063.239998</v>
      </c>
      <c r="K17" s="10">
        <f t="shared" si="1"/>
        <v>1.4444260194506764E-2</v>
      </c>
      <c r="L17" s="16">
        <v>1.44E-2</v>
      </c>
      <c r="M17" s="9" t="str">
        <f t="shared" si="2"/>
        <v>Sim</v>
      </c>
      <c r="N17" s="16">
        <v>1.9E-2</v>
      </c>
      <c r="O17" s="16">
        <v>1.8100000000000002E-2</v>
      </c>
      <c r="P17" s="16">
        <v>1.7100000000000001E-2</v>
      </c>
      <c r="Q17" s="15">
        <v>1019285249.2</v>
      </c>
      <c r="R17" s="15">
        <v>968320986.74000001</v>
      </c>
      <c r="S17" s="15">
        <v>917356724.27999997</v>
      </c>
      <c r="T17" s="9" t="str">
        <f t="shared" si="3"/>
        <v>Abaixo do limite de alerta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2038342417.21</v>
      </c>
      <c r="J18" s="15">
        <v>43341453479.379997</v>
      </c>
      <c r="K18" s="10">
        <f t="shared" si="1"/>
        <v>4.7029858335963647E-2</v>
      </c>
      <c r="L18" s="16">
        <v>4.7E-2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2600487208.7600002</v>
      </c>
      <c r="R18" s="15">
        <v>2470462848.3200002</v>
      </c>
      <c r="S18" s="15">
        <v>2340438487.8800001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2225596010.98</v>
      </c>
      <c r="J19" s="15">
        <v>45097961558.120003</v>
      </c>
      <c r="K19" s="10">
        <f t="shared" si="1"/>
        <v>4.9350257397150044E-2</v>
      </c>
      <c r="L19" s="16">
        <v>4.9400000000000013E-2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2705877693.4899998</v>
      </c>
      <c r="R19" s="15">
        <v>2570583808.8200002</v>
      </c>
      <c r="S19" s="15">
        <v>2435289924.1399999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2197210003.6199999</v>
      </c>
      <c r="J20" s="15">
        <v>46437402114.32</v>
      </c>
      <c r="K20" s="10">
        <f t="shared" si="1"/>
        <v>4.7315523771353299E-2</v>
      </c>
      <c r="L20" s="16">
        <v>4.7300000000000002E-2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2786244126.8600001</v>
      </c>
      <c r="R20" s="15">
        <v>2646931920.52</v>
      </c>
      <c r="S20" s="15">
        <v>2507619714.1700001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2393464769.25</v>
      </c>
      <c r="J21" s="15">
        <v>47966498682.330002</v>
      </c>
      <c r="K21" s="10">
        <f t="shared" si="1"/>
        <v>4.989867584668442E-2</v>
      </c>
      <c r="L21" s="16">
        <v>4.99E-2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2877989920.9400001</v>
      </c>
      <c r="R21" s="15">
        <v>2734090424.8899999</v>
      </c>
      <c r="S21" s="15">
        <v>2590190928.8499999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2463850069.8600001</v>
      </c>
      <c r="J22" s="15">
        <v>49275192214.910004</v>
      </c>
      <c r="K22" s="10">
        <f t="shared" si="1"/>
        <v>5.0001835794249272E-2</v>
      </c>
      <c r="L22" s="16">
        <v>0.05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2956511532.8899999</v>
      </c>
      <c r="R22" s="15">
        <v>2808685956.25</v>
      </c>
      <c r="S22" s="15">
        <v>2660860379.5999999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2390821918.6100001</v>
      </c>
      <c r="J23" s="15">
        <v>50791492656.540001</v>
      </c>
      <c r="K23" s="10">
        <f t="shared" si="1"/>
        <v>4.7071306503573558E-2</v>
      </c>
      <c r="L23" s="16">
        <v>4.7100000000000003E-2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3047489559.3899999</v>
      </c>
      <c r="R23" s="15">
        <v>2895115081.4200001</v>
      </c>
      <c r="S23" s="15">
        <v>2742740603.4499998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2507302655.54</v>
      </c>
      <c r="J24" s="15">
        <v>52231553149.190002</v>
      </c>
      <c r="K24" s="10">
        <f t="shared" si="1"/>
        <v>4.8003601355263985E-2</v>
      </c>
      <c r="L24" s="16">
        <v>4.8000000000000001E-2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3133893188.9499998</v>
      </c>
      <c r="R24" s="15">
        <v>2977198529.5</v>
      </c>
      <c r="S24" s="15">
        <v>2820503870.0599999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2503840671.0900002</v>
      </c>
      <c r="J25" s="15">
        <v>53646592063.239998</v>
      </c>
      <c r="K25" s="10">
        <f t="shared" si="1"/>
        <v>4.6672874730577622E-2</v>
      </c>
      <c r="L25" s="16">
        <v>4.6699999999999998E-2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3218795523.79</v>
      </c>
      <c r="R25" s="15">
        <v>3057855747.5999999</v>
      </c>
      <c r="S25" s="15">
        <v>2896915971.4099998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344656505.32999998</v>
      </c>
      <c r="J26" s="15">
        <v>43341453479.379997</v>
      </c>
      <c r="K26" s="10">
        <f t="shared" si="1"/>
        <v>7.9521215294261587E-3</v>
      </c>
      <c r="L26" s="16">
        <v>8.0000000000000002E-3</v>
      </c>
      <c r="M26" s="9" t="str">
        <f t="shared" si="2"/>
        <v>Sim</v>
      </c>
      <c r="N26" s="16">
        <v>1.0999999999999999E-2</v>
      </c>
      <c r="O26" s="16">
        <v>1.0500000000000001E-2</v>
      </c>
      <c r="P26" s="16">
        <v>9.8999999999999991E-3</v>
      </c>
      <c r="Q26" s="15">
        <v>476755988.26999998</v>
      </c>
      <c r="R26" s="15">
        <v>452918188.86000001</v>
      </c>
      <c r="S26" s="15">
        <v>429080389.44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357522184.5</v>
      </c>
      <c r="J27" s="15">
        <v>45097961558.120003</v>
      </c>
      <c r="K27" s="10">
        <f t="shared" si="1"/>
        <v>7.9276794814604479E-3</v>
      </c>
      <c r="L27" s="16">
        <v>7.9000000000000008E-3</v>
      </c>
      <c r="M27" s="9" t="str">
        <f t="shared" si="2"/>
        <v>Sim</v>
      </c>
      <c r="N27" s="16">
        <v>1.0999999999999999E-2</v>
      </c>
      <c r="O27" s="16">
        <v>1.0500000000000001E-2</v>
      </c>
      <c r="P27" s="16">
        <v>9.8999999999999991E-3</v>
      </c>
      <c r="Q27" s="15">
        <v>496077577.13999999</v>
      </c>
      <c r="R27" s="15">
        <v>471273698.27999997</v>
      </c>
      <c r="S27" s="15">
        <v>446469819.43000001</v>
      </c>
      <c r="T27" s="9" t="str">
        <f t="shared" si="3"/>
        <v>Abaixo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382305472.18000001</v>
      </c>
      <c r="J28" s="15">
        <v>46437402114.32</v>
      </c>
      <c r="K28" s="10">
        <f t="shared" si="1"/>
        <v>8.2327058528992875E-3</v>
      </c>
      <c r="L28" s="16">
        <v>8.199999999999999E-3</v>
      </c>
      <c r="M28" s="9" t="str">
        <f t="shared" si="2"/>
        <v>Sim</v>
      </c>
      <c r="N28" s="16">
        <v>1.0999999999999999E-2</v>
      </c>
      <c r="O28" s="16">
        <v>1.0500000000000001E-2</v>
      </c>
      <c r="P28" s="16">
        <v>9.8999999999999991E-3</v>
      </c>
      <c r="Q28" s="15">
        <v>510811423.25999999</v>
      </c>
      <c r="R28" s="15">
        <v>485270852.10000002</v>
      </c>
      <c r="S28" s="15">
        <v>459730280.93000001</v>
      </c>
      <c r="T28" s="9" t="str">
        <f t="shared" si="3"/>
        <v>Abaixo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382804005.11000001</v>
      </c>
      <c r="J29" s="15">
        <v>47966498682.330002</v>
      </c>
      <c r="K29" s="10">
        <f t="shared" si="1"/>
        <v>7.9806534899537745E-3</v>
      </c>
      <c r="L29" s="16">
        <v>8.0000000000000002E-3</v>
      </c>
      <c r="M29" s="9" t="str">
        <f t="shared" si="2"/>
        <v>Sim</v>
      </c>
      <c r="N29" s="16">
        <v>1.0999999999999999E-2</v>
      </c>
      <c r="O29" s="16">
        <v>1.0500000000000001E-2</v>
      </c>
      <c r="P29" s="16">
        <v>9.8999999999999991E-3</v>
      </c>
      <c r="Q29" s="15">
        <v>527631485.50999999</v>
      </c>
      <c r="R29" s="15">
        <v>501249911.23000002</v>
      </c>
      <c r="S29" s="15">
        <v>474868336.95999998</v>
      </c>
      <c r="T29" s="9" t="str">
        <f t="shared" si="3"/>
        <v>Abaixo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401671131.12</v>
      </c>
      <c r="J30" s="15">
        <v>49275192214.910004</v>
      </c>
      <c r="K30" s="10">
        <f t="shared" si="1"/>
        <v>8.1515893305528254E-3</v>
      </c>
      <c r="L30" s="16">
        <v>8.199999999999999E-3</v>
      </c>
      <c r="M30" s="9" t="str">
        <f t="shared" si="2"/>
        <v>Sim</v>
      </c>
      <c r="N30" s="16">
        <v>1.0999999999999999E-2</v>
      </c>
      <c r="O30" s="16">
        <v>1.0500000000000001E-2</v>
      </c>
      <c r="P30" s="16">
        <v>9.8999999999999991E-3</v>
      </c>
      <c r="Q30" s="15">
        <v>542027114.36000001</v>
      </c>
      <c r="R30" s="15">
        <v>514925758.63999999</v>
      </c>
      <c r="S30" s="15">
        <v>487824402.92000002</v>
      </c>
      <c r="T30" s="9" t="str">
        <f t="shared" si="3"/>
        <v>Abaixo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397829426.5</v>
      </c>
      <c r="J31" s="15">
        <v>50791492656.540001</v>
      </c>
      <c r="K31" s="10">
        <f t="shared" si="1"/>
        <v>7.8325996282524058E-3</v>
      </c>
      <c r="L31" s="16">
        <v>7.8000000000000014E-3</v>
      </c>
      <c r="M31" s="9" t="str">
        <f t="shared" si="2"/>
        <v>Sim</v>
      </c>
      <c r="N31" s="16">
        <v>1.0999999999999999E-2</v>
      </c>
      <c r="O31" s="16">
        <v>1.0500000000000001E-2</v>
      </c>
      <c r="P31" s="16">
        <v>9.8999999999999991E-3</v>
      </c>
      <c r="Q31" s="15">
        <v>558706419.22000003</v>
      </c>
      <c r="R31" s="15">
        <v>530771098.25999999</v>
      </c>
      <c r="S31" s="15">
        <v>502835777.30000001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405900503.22000003</v>
      </c>
      <c r="J32" s="15">
        <v>52231553149.190002</v>
      </c>
      <c r="K32" s="10">
        <f t="shared" si="1"/>
        <v>7.7711742949825467E-3</v>
      </c>
      <c r="L32" s="16">
        <v>7.8000000000000014E-3</v>
      </c>
      <c r="M32" s="9" t="str">
        <f t="shared" si="2"/>
        <v>Sim</v>
      </c>
      <c r="N32" s="16">
        <v>1.0999999999999999E-2</v>
      </c>
      <c r="O32" s="16">
        <v>1.0500000000000001E-2</v>
      </c>
      <c r="P32" s="16">
        <v>9.8999999999999991E-3</v>
      </c>
      <c r="Q32" s="15">
        <v>574547084.63999999</v>
      </c>
      <c r="R32" s="15">
        <v>545819730.40999997</v>
      </c>
      <c r="S32" s="15">
        <v>517092376.18000001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399700660.48000002</v>
      </c>
      <c r="J33" s="15">
        <v>53646592063.239998</v>
      </c>
      <c r="K33" s="10">
        <f t="shared" si="1"/>
        <v>7.4506253819221638E-3</v>
      </c>
      <c r="L33" s="16">
        <v>7.4999999999999997E-3</v>
      </c>
      <c r="M33" s="9" t="str">
        <f t="shared" si="2"/>
        <v>Sim</v>
      </c>
      <c r="N33" s="16">
        <v>1.0999999999999999E-2</v>
      </c>
      <c r="O33" s="16">
        <v>1.0500000000000001E-2</v>
      </c>
      <c r="P33" s="16">
        <v>9.8999999999999991E-3</v>
      </c>
      <c r="Q33" s="15">
        <v>590112512.70000005</v>
      </c>
      <c r="R33" s="15">
        <v>560606887.07000005</v>
      </c>
      <c r="S33" s="15">
        <v>531101261.43000001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81058086.230000004</v>
      </c>
      <c r="J34" s="15">
        <v>43341453479.379997</v>
      </c>
      <c r="K34" s="10">
        <f t="shared" si="1"/>
        <v>1.8702207637905813E-3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82369577.319999993</v>
      </c>
      <c r="J35" s="15">
        <v>45097961558.120003</v>
      </c>
      <c r="K35" s="10">
        <f t="shared" si="1"/>
        <v>1.8264589900332012E-3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84924799.989999995</v>
      </c>
      <c r="J36" s="15">
        <v>46437402114.32</v>
      </c>
      <c r="K36" s="10">
        <f t="shared" si="1"/>
        <v>1.828801701286635E-3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83621305.150000006</v>
      </c>
      <c r="J37" s="15">
        <v>47966498682.330002</v>
      </c>
      <c r="K37" s="10">
        <f t="shared" si="1"/>
        <v>1.7433272689716792E-3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85119175.340000004</v>
      </c>
      <c r="J38" s="15">
        <v>49275192214.910004</v>
      </c>
      <c r="K38" s="10">
        <f t="shared" si="1"/>
        <v>1.7274245216286361E-3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93944570.170000002</v>
      </c>
      <c r="J39" s="15">
        <v>50791492656.540001</v>
      </c>
      <c r="K39" s="10">
        <f t="shared" si="1"/>
        <v>1.8496123121497501E-3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104143309.95</v>
      </c>
      <c r="J40" s="17"/>
      <c r="K40" s="10" t="str">
        <f t="shared" si="1"/>
        <v/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dado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113907932</v>
      </c>
      <c r="J41" s="15">
        <v>53646592063.239998</v>
      </c>
      <c r="K41" s="10">
        <f t="shared" si="1"/>
        <v>2.1233022941275072E-3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658753042.58000004</v>
      </c>
      <c r="J42" s="15">
        <v>43341453479.379997</v>
      </c>
      <c r="K42" s="10">
        <f t="shared" si="1"/>
        <v>1.5199145153113207E-2</v>
      </c>
      <c r="L42" s="16">
        <v>1.52E-2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866829069.59000003</v>
      </c>
      <c r="R42" s="15">
        <v>823487616.11000001</v>
      </c>
      <c r="S42" s="15">
        <v>780146162.63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679902489.53999996</v>
      </c>
      <c r="J43" s="15">
        <v>45097961558.120003</v>
      </c>
      <c r="K43" s="10">
        <f t="shared" si="1"/>
        <v>1.5076124641770683E-2</v>
      </c>
      <c r="L43" s="16">
        <v>1.5100000000000001E-2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901959231.15999997</v>
      </c>
      <c r="R43" s="15">
        <v>856861269.60000002</v>
      </c>
      <c r="S43" s="15">
        <v>811763308.03999996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694801486.47000003</v>
      </c>
      <c r="J44" s="15">
        <v>46437402114.32</v>
      </c>
      <c r="K44" s="10">
        <f t="shared" si="1"/>
        <v>1.4962109309205792E-2</v>
      </c>
      <c r="L44" s="16">
        <v>1.4999999999999999E-2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928748042.28999996</v>
      </c>
      <c r="R44" s="15">
        <v>882310640.17999995</v>
      </c>
      <c r="S44" s="15">
        <v>835873238.05999994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722888546.95000005</v>
      </c>
      <c r="J45" s="15">
        <v>47966498682.330002</v>
      </c>
      <c r="K45" s="10">
        <f t="shared" si="1"/>
        <v>1.5070696565482258E-2</v>
      </c>
      <c r="L45" s="16">
        <v>1.5100000000000001E-2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959329973.64999998</v>
      </c>
      <c r="R45" s="15">
        <v>911363474.97000003</v>
      </c>
      <c r="S45" s="15">
        <v>863396976.28999996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761843207.48000002</v>
      </c>
      <c r="J46" s="15">
        <v>49275192214.910004</v>
      </c>
      <c r="K46" s="10">
        <f t="shared" si="1"/>
        <v>1.5460989054234001E-2</v>
      </c>
      <c r="L46" s="16">
        <v>1.55E-2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985503844.29999995</v>
      </c>
      <c r="R46" s="15">
        <v>936228652.09000003</v>
      </c>
      <c r="S46" s="15">
        <v>886953459.87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764188964.40999997</v>
      </c>
      <c r="J47" s="15">
        <v>50791492656.540001</v>
      </c>
      <c r="K47" s="10">
        <f t="shared" si="1"/>
        <v>1.5045609499558616E-2</v>
      </c>
      <c r="L47" s="16">
        <v>1.4999999999999999E-2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1015829853.13</v>
      </c>
      <c r="R47" s="15">
        <v>965038360.47000003</v>
      </c>
      <c r="S47" s="15">
        <v>914246867.82000005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795014238.05999994</v>
      </c>
      <c r="J48" s="15">
        <v>52231553149.190002</v>
      </c>
      <c r="K48" s="10">
        <f t="shared" si="1"/>
        <v>1.5220957259095575E-2</v>
      </c>
      <c r="L48" s="16">
        <v>1.52E-2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1044631062.98</v>
      </c>
      <c r="R48" s="15">
        <v>992399509.83000004</v>
      </c>
      <c r="S48" s="15">
        <v>940167956.67999995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798046606.40999997</v>
      </c>
      <c r="J49" s="15">
        <v>53646592063.239998</v>
      </c>
      <c r="K49" s="10">
        <f t="shared" si="1"/>
        <v>1.4875998189581956E-2</v>
      </c>
      <c r="L49" s="16">
        <v>1.49E-2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1072931841.26</v>
      </c>
      <c r="R49" s="15">
        <v>1019285249.2</v>
      </c>
      <c r="S49" s="15">
        <v>965638657.13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30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2026-10-15T10:08:09Z</dcterms:created>
  <dcterms:modified xsi:type="dcterms:W3CDTF">2026-10-15T10:08:41Z</dcterms:modified>
</cp:coreProperties>
</file>