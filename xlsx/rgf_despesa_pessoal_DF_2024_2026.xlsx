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291495BFBF00B56334C86090A6C8551F5780CA45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2" l="1"/>
  <c r="K33" i="2"/>
  <c r="T33" i="2" s="1"/>
  <c r="A33" i="2"/>
  <c r="M32" i="2"/>
  <c r="K32" i="2"/>
  <c r="T32" i="2" s="1"/>
  <c r="A32" i="2"/>
  <c r="M31" i="2"/>
  <c r="K31" i="2"/>
  <c r="T31" i="2" s="1"/>
  <c r="A31" i="2"/>
  <c r="M30" i="2"/>
  <c r="K30" i="2"/>
  <c r="T30" i="2" s="1"/>
  <c r="A30" i="2"/>
  <c r="M29" i="2"/>
  <c r="K29" i="2"/>
  <c r="T29" i="2" s="1"/>
  <c r="A29" i="2"/>
  <c r="M28" i="2"/>
  <c r="K28" i="2"/>
  <c r="T28" i="2" s="1"/>
  <c r="A28" i="2"/>
  <c r="M27" i="2"/>
  <c r="K27" i="2"/>
  <c r="T27" i="2" s="1"/>
  <c r="A27" i="2"/>
  <c r="M26" i="2"/>
  <c r="K26" i="2"/>
  <c r="T26" i="2" s="1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J17" i="1"/>
  <c r="I17" i="1"/>
  <c r="H17" i="1"/>
  <c r="G17" i="1"/>
  <c r="F17" i="1"/>
  <c r="E17" i="1"/>
  <c r="D17" i="1"/>
  <c r="C17" i="1"/>
  <c r="J16" i="1"/>
  <c r="I16" i="1"/>
  <c r="H16" i="1"/>
  <c r="G16" i="1"/>
  <c r="F16" i="1"/>
  <c r="E16" i="1"/>
  <c r="D16" i="1"/>
  <c r="C16" i="1"/>
  <c r="J15" i="1"/>
  <c r="I15" i="1"/>
  <c r="H15" i="1"/>
  <c r="G15" i="1"/>
  <c r="F15" i="1"/>
  <c r="E15" i="1"/>
  <c r="D15" i="1"/>
  <c r="C15" i="1"/>
  <c r="J14" i="1"/>
  <c r="I14" i="1"/>
  <c r="H14" i="1"/>
  <c r="G14" i="1"/>
  <c r="F14" i="1"/>
  <c r="E14" i="1"/>
  <c r="D14" i="1"/>
  <c r="C14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9" i="1" l="1"/>
  <c r="T25" i="2"/>
  <c r="L8" i="1" s="1"/>
  <c r="M25" i="2"/>
  <c r="T24" i="2"/>
  <c r="M24" i="2"/>
  <c r="T23" i="2"/>
  <c r="M23" i="2"/>
  <c r="T22" i="2"/>
  <c r="M22" i="2"/>
  <c r="T21" i="2"/>
  <c r="M21" i="2"/>
  <c r="T20" i="2"/>
  <c r="M20" i="2"/>
  <c r="M19" i="2"/>
  <c r="T19" i="2"/>
  <c r="M18" i="2"/>
  <c r="T18" i="2"/>
  <c r="M17" i="2"/>
  <c r="T17" i="2"/>
  <c r="L7" i="1" s="1"/>
  <c r="T16" i="2"/>
  <c r="M16" i="2"/>
  <c r="T15" i="2"/>
  <c r="M15" i="2"/>
  <c r="T14" i="2"/>
  <c r="M14" i="2"/>
  <c r="T13" i="2"/>
  <c r="M13" i="2"/>
  <c r="M12" i="2"/>
  <c r="T12" i="2"/>
  <c r="M11" i="2"/>
  <c r="T11" i="2"/>
  <c r="T10" i="2"/>
  <c r="M10" i="2"/>
  <c r="T9" i="2"/>
  <c r="L6" i="1" s="1"/>
  <c r="M9" i="2"/>
  <c r="T8" i="2"/>
  <c r="M8" i="2"/>
  <c r="T7" i="2"/>
  <c r="M7" i="2"/>
  <c r="T6" i="2"/>
  <c r="M6" i="2"/>
  <c r="M5" i="2"/>
  <c r="T5" i="2"/>
  <c r="M4" i="2"/>
  <c r="T4" i="2"/>
  <c r="T3" i="2"/>
  <c r="M3" i="2"/>
  <c r="T2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<sst xmlns="http://schemas.openxmlformats.org/spreadsheetml/2006/main" count="307" uniqueCount="78">
  <si>
    <t>Despesa total com pessoal - Distrito Federal (DF)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</si>
  <si>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</si>
  <si>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</si>
  <si>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</si>
  <si>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</si>
  <si>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</si>
  <si>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</si>
  <si>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</si>
  <si>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</si>
  <si>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</si>
  <si>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</si>
  <si>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</si>
  <si>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</si>
  <si>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</si>
  <si>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</si>
  <si>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</si>
  <si>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</si>
  <si>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Câmara Legislativa</t>
  </si>
  <si>
    <t>Poder Legislativo</t>
  </si>
  <si>
    <t>Tribunal de Contas</t>
  </si>
  <si>
    <t>Defensoria Pública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</si>
  <si>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</si>
  <si>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</si>
  <si>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</si>
  <si>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</si>
  <si>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</si>
  <si>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</si>
  <si>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</si>
  <si>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</si>
  <si>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</si>
  <si>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</si>
  <si>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</si>
  <si>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</si>
  <si>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</si>
  <si>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</si>
  <si>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</si>
  <si>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</si>
  <si>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</si>
  <si>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</si>
  <si>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</si>
  <si>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</si>
  <si>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</si>
  <si>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</si>
  <si>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</si>
  <si>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Distrito Federal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</si>
  <si>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</si>
  <si>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</si>
  <si>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</si>
  <si>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</si>
  <si>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</si>
  <si>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</si>
  <si>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</si>
  <si>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</si>
  <si>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</si>
  <si>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</si>
  <si>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</si>
  <si>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</si>
  <si>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Câmara Legislativa do Distrito Federal</t>
  </si>
  <si>
    <t>Tribunal de Contas do Distrito Federal</t>
  </si>
  <si>
    <t>Defensoria Pública do Distrito Federal</t>
  </si>
  <si>
    <t>Calculado (despesa líquida / RCL Ajustada do Executivo)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</si>
  <si>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</si>
  <si>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</si>
  <si>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</si>
  <si>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</si>
  <si>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Distrito Federal (DF).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</si>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</sst>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IFERROR(IF(INDEX(Dados!$K$2:$K$33,MATCH($A6&amp;"|"&amp;C$5,Dados!$A$2:$A$33,0))="","",INDEX(Dados!$K$2:$K$33,MATCH($A6&amp;"|"&amp;C$5,Dados!$A$2:$A$33,0))),"")</f>
        <v>0.36963753640969416</v>
      </c>
      <c r="D6" s="7">
        <f>IFERROR(IF(INDEX(Dados!$K$2:$K$33,MATCH($A6&amp;"|"&amp;D$5,Dados!$A$2:$A$33,0))="","",INDEX(Dados!$K$2:$K$33,MATCH($A6&amp;"|"&amp;D$5,Dados!$A$2:$A$33,0))),"")</f>
        <v>0.38101337286101289</v>
      </c>
      <c r="E6" s="7">
        <f>IFERROR(IF(INDEX(Dados!$K$2:$K$33,MATCH($A6&amp;"|"&amp;E$5,Dados!$A$2:$A$33,0))="","",INDEX(Dados!$K$2:$K$33,MATCH($A6&amp;"|"&amp;E$5,Dados!$A$2:$A$33,0))),"")</f>
        <v>0.39571144115432227</v>
      </c>
      <c r="F6" s="7">
        <f>IFERROR(IF(INDEX(Dados!$K$2:$K$33,MATCH($A6&amp;"|"&amp;F$5,Dados!$A$2:$A$33,0))="","",INDEX(Dados!$K$2:$K$33,MATCH($A6&amp;"|"&amp;F$5,Dados!$A$2:$A$33,0))),"")</f>
        <v>0.38535665508356559</v>
      </c>
      <c r="G6" s="7">
        <f>IFERROR(IF(INDEX(Dados!$K$2:$K$33,MATCH($A6&amp;"|"&amp;G$5,Dados!$A$2:$A$33,0))="","",INDEX(Dados!$K$2:$K$33,MATCH($A6&amp;"|"&amp;G$5,Dados!$A$2:$A$33,0))),"")</f>
        <v>0.389532063932018</v>
      </c>
      <c r="H6" s="7">
        <f>IFERROR(IF(INDEX(Dados!$K$2:$K$33,MATCH($A6&amp;"|"&amp;H$5,Dados!$A$2:$A$33,0))="","",INDEX(Dados!$K$2:$K$33,MATCH($A6&amp;"|"&amp;H$5,Dados!$A$2:$A$33,0))),"")</f>
        <v>0.41464216824618255</v>
      </c>
      <c r="I6" s="7">
        <f>IFERROR(IF(INDEX(Dados!$K$2:$K$33,MATCH($A6&amp;"|"&amp;I$5,Dados!$A$2:$A$33,0))="","",INDEX(Dados!$K$2:$K$33,MATCH($A6&amp;"|"&amp;I$5,Dados!$A$2:$A$33,0))),"")</f>
        <v>0.40450991482120624</v>
      </c>
      <c r="J6" s="7">
        <f>IFERROR(IF(INDEX(Dados!$K$2:$K$33,MATCH($A6&amp;"|"&amp;J$5,Dados!$A$2:$A$33,0))="","",INDEX(Dados!$K$2:$K$33,MATCH($A6&amp;"|"&amp;J$5,Dados!$A$2:$A$33,0))),"")</f>
        <v>0.40544494345361792</v>
      </c>
      <c r="K6" s="7">
        <f>IFERROR(IF(INDEX(Dados!$N$2:$N$33,MATCH($A6&amp;"|"&amp;J$5,Dados!$A$2:$A$33,0))=0,"—",INDEX(Dados!$N$2:$N$33,MATCH($A6&amp;"|"&amp;J$5,Dados!$A$2:$A$33,0))),"—")</f>
        <v>0.49</v>
      </c>
      <c r="L6" s="6" t="str">
        <f>IFERROR(IF(INDEX(Dados!$T$2:$T$33,MATCH($A6&amp;"|"&amp;J$5,Dados!$A$2:$A$33,0))="","—",INDEX(Dados!$T$2:$T$33,MATCH($A6&amp;"|"&amp;J$5,Dados!$A$2:$A$33,0))),"—")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IFERROR(IF(INDEX(Dados!$K$2:$K$33,MATCH($A7&amp;"|"&amp;C$5,Dados!$A$2:$A$33,0))="","",INDEX(Dados!$K$2:$K$33,MATCH($A7&amp;"|"&amp;C$5,Dados!$A$2:$A$33,0))),"")</f>
        <v>1.4177316826371883E-2</v>
      </c>
      <c r="D7" s="10">
        <f>IFERROR(IF(INDEX(Dados!$K$2:$K$33,MATCH($A7&amp;"|"&amp;D$5,Dados!$A$2:$A$33,0))="","",INDEX(Dados!$K$2:$K$33,MATCH($A7&amp;"|"&amp;D$5,Dados!$A$2:$A$33,0))),"")</f>
        <v>1.4443647856916698E-2</v>
      </c>
      <c r="E7" s="10">
        <f>IFERROR(IF(INDEX(Dados!$K$2:$K$33,MATCH($A7&amp;"|"&amp;E$5,Dados!$A$2:$A$33,0))="","",INDEX(Dados!$K$2:$K$33,MATCH($A7&amp;"|"&amp;E$5,Dados!$A$2:$A$33,0))),"")</f>
        <v>1.5169009717388817E-2</v>
      </c>
      <c r="F7" s="10">
        <f>IFERROR(IF(INDEX(Dados!$K$2:$K$33,MATCH($A7&amp;"|"&amp;F$5,Dados!$A$2:$A$33,0))="","",INDEX(Dados!$K$2:$K$33,MATCH($A7&amp;"|"&amp;F$5,Dados!$A$2:$A$33,0))),"")</f>
        <v>1.5519586143599357E-2</v>
      </c>
      <c r="G7" s="10">
        <f>IFERROR(IF(INDEX(Dados!$K$2:$K$33,MATCH($A7&amp;"|"&amp;G$5,Dados!$A$2:$A$33,0))="","",INDEX(Dados!$K$2:$K$33,MATCH($A7&amp;"|"&amp;G$5,Dados!$A$2:$A$33,0))),"")</f>
        <v>1.5394643578884424E-2</v>
      </c>
      <c r="H7" s="10">
        <f>IFERROR(IF(INDEX(Dados!$K$2:$K$33,MATCH($A7&amp;"|"&amp;H$5,Dados!$A$2:$A$33,0))="","",INDEX(Dados!$K$2:$K$33,MATCH($A7&amp;"|"&amp;H$5,Dados!$A$2:$A$33,0))),"")</f>
        <v>1.5141479549151862E-2</v>
      </c>
      <c r="I7" s="10">
        <f>IFERROR(IF(INDEX(Dados!$K$2:$K$33,MATCH($A7&amp;"|"&amp;I$5,Dados!$A$2:$A$33,0))="","",INDEX(Dados!$K$2:$K$33,MATCH($A7&amp;"|"&amp;I$5,Dados!$A$2:$A$33,0))),"")</f>
        <v>1.4797666653805627E-2</v>
      </c>
      <c r="J7" s="10">
        <f>IFERROR(IF(INDEX(Dados!$K$2:$K$33,MATCH($A7&amp;"|"&amp;J$5,Dados!$A$2:$A$33,0))="","",INDEX(Dados!$K$2:$K$33,MATCH($A7&amp;"|"&amp;J$5,Dados!$A$2:$A$33,0))),"")</f>
        <v>1.4450272187318895E-2</v>
      </c>
      <c r="K7" s="10">
        <f>IFERROR(IF(INDEX(Dados!$N$2:$N$33,MATCH($A7&amp;"|"&amp;J$5,Dados!$A$2:$A$33,0))=0,"—",INDEX(Dados!$N$2:$N$33,MATCH($A7&amp;"|"&amp;J$5,Dados!$A$2:$A$33,0))),"—")</f>
        <v>1.7000000000000001E-2</v>
      </c>
      <c r="L7" s="9" t="str">
        <f>IFERROR(IF(INDEX(Dados!$T$2:$T$33,MATCH($A7&amp;"|"&amp;J$5,Dados!$A$2:$A$33,0))="","—",INDEX(Dados!$T$2:$T$33,MATCH($A7&amp;"|"&amp;J$5,Dados!$A$2:$A$33,0))),"—")</f>
        <v>Abaixo do limite de alerta</v>
      </c>
    </row>
    <row r="8" spans="1:12" x14ac:dyDescent="0.25">
      <c r="A8" s="8" t="s">
        <v>19</v>
      </c>
      <c r="B8" s="9" t="s">
        <v>19</v>
      </c>
      <c r="C8" s="10">
        <f>IFERROR(IF(INDEX(Dados!$K$2:$K$33,MATCH($A8&amp;"|"&amp;C$5,Dados!$A$2:$A$33,0))="","",INDEX(Dados!$K$2:$K$33,MATCH($A8&amp;"|"&amp;C$5,Dados!$A$2:$A$33,0))),"")</f>
        <v>8.5502258127704879E-3</v>
      </c>
      <c r="D8" s="10">
        <f>IFERROR(IF(INDEX(Dados!$K$2:$K$33,MATCH($A8&amp;"|"&amp;D$5,Dados!$A$2:$A$33,0))="","",INDEX(Dados!$K$2:$K$33,MATCH($A8&amp;"|"&amp;D$5,Dados!$A$2:$A$33,0))),"")</f>
        <v>9.112923104499647E-3</v>
      </c>
      <c r="E8" s="10">
        <f>IFERROR(IF(INDEX(Dados!$K$2:$K$33,MATCH($A8&amp;"|"&amp;E$5,Dados!$A$2:$A$33,0))="","",INDEX(Dados!$K$2:$K$33,MATCH($A8&amp;"|"&amp;E$5,Dados!$A$2:$A$33,0))),"")</f>
        <v>8.6386600969372077E-3</v>
      </c>
      <c r="F8" s="10">
        <f>IFERROR(IF(INDEX(Dados!$K$2:$K$33,MATCH($A8&amp;"|"&amp;F$5,Dados!$A$2:$A$33,0))="","",INDEX(Dados!$K$2:$K$33,MATCH($A8&amp;"|"&amp;F$5,Dados!$A$2:$A$33,0))),"")</f>
        <v>8.8987309021487781E-3</v>
      </c>
      <c r="G8" s="10">
        <f>IFERROR(IF(INDEX(Dados!$K$2:$K$33,MATCH($A8&amp;"|"&amp;G$5,Dados!$A$2:$A$33,0))="","",INDEX(Dados!$K$2:$K$33,MATCH($A8&amp;"|"&amp;G$5,Dados!$A$2:$A$33,0))),"")</f>
        <v>8.7939434763829125E-3</v>
      </c>
      <c r="H8" s="10">
        <f>IFERROR(IF(INDEX(Dados!$K$2:$K$33,MATCH($A8&amp;"|"&amp;H$5,Dados!$A$2:$A$33,0))="","",INDEX(Dados!$K$2:$K$33,MATCH($A8&amp;"|"&amp;H$5,Dados!$A$2:$A$33,0))),"")</f>
        <v>8.6626664363115089E-3</v>
      </c>
      <c r="I8" s="10">
        <f>IFERROR(IF(INDEX(Dados!$K$2:$K$33,MATCH($A8&amp;"|"&amp;I$5,Dados!$A$2:$A$33,0))="","",INDEX(Dados!$K$2:$K$33,MATCH($A8&amp;"|"&amp;I$5,Dados!$A$2:$A$33,0))),"")</f>
        <v>8.2939747664279116E-3</v>
      </c>
      <c r="J8" s="10">
        <f>IFERROR(IF(INDEX(Dados!$K$2:$K$33,MATCH($A8&amp;"|"&amp;J$5,Dados!$A$2:$A$33,0))="","",INDEX(Dados!$K$2:$K$33,MATCH($A8&amp;"|"&amp;J$5,Dados!$A$2:$A$33,0))),"")</f>
        <v>8.0790657866670942E-3</v>
      </c>
      <c r="K8" s="10">
        <f>IFERROR(IF(INDEX(Dados!$N$2:$N$33,MATCH($A8&amp;"|"&amp;J$5,Dados!$A$2:$A$33,0))=0,"—",INDEX(Dados!$N$2:$N$33,MATCH($A8&amp;"|"&amp;J$5,Dados!$A$2:$A$33,0))),"—")</f>
        <v>1.2999999999999999E-2</v>
      </c>
      <c r="L8" s="9" t="str">
        <f>IFERROR(IF(INDEX(Dados!$T$2:$T$33,MATCH($A8&amp;"|"&amp;J$5,Dados!$A$2:$A$33,0))="","—",INDEX(Dados!$T$2:$T$33,MATCH($A8&amp;"|"&amp;J$5,Dados!$A$2:$A$33,0))),"—")</f>
        <v>Abaixo do limite de alerta</v>
      </c>
    </row>
    <row r="9" spans="1:12" x14ac:dyDescent="0.25">
      <c r="A9" s="8" t="s">
        <v>20</v>
      </c>
      <c r="B9" s="9" t="s">
        <v>20</v>
      </c>
      <c r="C9" s="10">
        <f>IFERROR(IF(INDEX(Dados!$K$2:$K$33,MATCH($A9&amp;"|"&amp;C$5,Dados!$A$2:$A$33,0))="","",INDEX(Dados!$K$2:$K$33,MATCH($A9&amp;"|"&amp;C$5,Dados!$A$2:$A$33,0))),"")</f>
        <v>7.085052578522967E-3</v>
      </c>
      <c r="D9" s="10">
        <f>IFERROR(IF(INDEX(Dados!$K$2:$K$33,MATCH($A9&amp;"|"&amp;D$5,Dados!$A$2:$A$33,0))="","",INDEX(Dados!$K$2:$K$33,MATCH($A9&amp;"|"&amp;D$5,Dados!$A$2:$A$33,0))),"")</f>
        <v>7.1115912726937847E-3</v>
      </c>
      <c r="E9" s="10">
        <f>IFERROR(IF(INDEX(Dados!$K$2:$K$33,MATCH($A9&amp;"|"&amp;E$5,Dados!$A$2:$A$33,0))="","",INDEX(Dados!$K$2:$K$33,MATCH($A9&amp;"|"&amp;E$5,Dados!$A$2:$A$33,0))),"")</f>
        <v>7.3532715896099683E-3</v>
      </c>
      <c r="F9" s="10">
        <f>IFERROR(IF(INDEX(Dados!$K$2:$K$33,MATCH($A9&amp;"|"&amp;F$5,Dados!$A$2:$A$33,0))="","",INDEX(Dados!$K$2:$K$33,MATCH($A9&amp;"|"&amp;F$5,Dados!$A$2:$A$33,0))),"")</f>
        <v>7.5611373829570956E-3</v>
      </c>
      <c r="G9" s="10">
        <f>IFERROR(IF(INDEX(Dados!$K$2:$K$33,MATCH($A9&amp;"|"&amp;G$5,Dados!$A$2:$A$33,0))="","",INDEX(Dados!$K$2:$K$33,MATCH($A9&amp;"|"&amp;G$5,Dados!$A$2:$A$33,0))),"")</f>
        <v>7.6248506142106848E-3</v>
      </c>
      <c r="H9" s="10">
        <f>IFERROR(IF(INDEX(Dados!$K$2:$K$33,MATCH($A9&amp;"|"&amp;H$5,Dados!$A$2:$A$33,0))="","",INDEX(Dados!$K$2:$K$33,MATCH($A9&amp;"|"&amp;H$5,Dados!$A$2:$A$33,0))),"")</f>
        <v>7.5294869011864468E-3</v>
      </c>
      <c r="I9" s="10">
        <f>IFERROR(IF(INDEX(Dados!$K$2:$K$33,MATCH($A9&amp;"|"&amp;I$5,Dados!$A$2:$A$33,0))="","",INDEX(Dados!$K$2:$K$33,MATCH($A9&amp;"|"&amp;I$5,Dados!$A$2:$A$33,0))),"")</f>
        <v>7.6017168272234812E-3</v>
      </c>
      <c r="J9" s="10">
        <f>IFERROR(IF(INDEX(Dados!$K$2:$K$33,MATCH($A9&amp;"|"&amp;J$5,Dados!$A$2:$A$33,0))="","",INDEX(Dados!$K$2:$K$33,MATCH($A9&amp;"|"&amp;J$5,Dados!$A$2:$A$33,0))),"")</f>
        <v>7.3954204913600687E-3</v>
      </c>
      <c r="K9" s="10" t="str">
        <f>IFERROR(IF(INDEX(Dados!$N$2:$N$33,MATCH($A9&amp;"|"&amp;J$5,Dados!$A$2:$A$33,0))=0,"—",INDEX(Dados!$N$2:$N$33,MATCH($A9&amp;"|"&amp;J$5,Dados!$A$2:$A$33,0))),"—")</f>
        <v>—</v>
      </c>
      <c r="L9" s="9" t="str">
        <f>IFERROR(IF(INDEX(Dados!$T$2:$T$33,MATCH($A9&amp;"|"&amp;J$5,Dados!$A$2:$A$33,0))="","—",INDEX(Dados!$T$2:$T$33,MATCH($A9&amp;"|"&amp;J$5,Dados!$A$2:$A$33,0))),"—")</f>
        <v>Sem limite próprio na LRF</v>
      </c>
    </row>
    <row r="10" spans="1:12" x14ac:dyDescent="0.25">
      <c r="A10" s="3" t="s">
        <v>21</v>
      </c>
      <c r="B10" s="11" t="s">
        <v>22</v>
      </c>
      <c r="C10" s="12">
        <f>IFERROR(INDEX(Dados!$J$2:$J$33,MATCH("Governo|"&amp;C$5,Dados!$A$2:$A$33,0))/1000000,"")</f>
        <v>34631.623929480003</v>
      </c>
      <c r="D10" s="12">
        <f>IFERROR(INDEX(Dados!$J$2:$J$33,MATCH("Governo|"&amp;D$5,Dados!$A$2:$A$33,0))/1000000,"")</f>
        <v>35720.272297620002</v>
      </c>
      <c r="E10" s="12">
        <f>IFERROR(INDEX(Dados!$J$2:$J$33,MATCH("Governo|"&amp;E$5,Dados!$A$2:$A$33,0))/1000000,"")</f>
        <v>35826.652617079999</v>
      </c>
      <c r="F10" s="12">
        <f>IFERROR(INDEX(Dados!$J$2:$J$33,MATCH("Governo|"&amp;F$5,Dados!$A$2:$A$33,0))/1000000,"")</f>
        <v>36419.369398139999</v>
      </c>
      <c r="G10" s="12">
        <f>IFERROR(INDEX(Dados!$J$2:$J$33,MATCH("Governo|"&amp;G$5,Dados!$A$2:$A$33,0))/1000000,"")</f>
        <v>37607.02336195</v>
      </c>
      <c r="H10" s="12">
        <f>IFERROR(INDEX(Dados!$J$2:$J$33,MATCH("Governo|"&amp;H$5,Dados!$A$2:$A$33,0))/1000000,"")</f>
        <v>39011.021845819996</v>
      </c>
      <c r="I10" s="12">
        <f>IFERROR(INDEX(Dados!$J$2:$J$33,MATCH("Governo|"&amp;I$5,Dados!$A$2:$A$33,0))/1000000,"")</f>
        <v>40291.07715551</v>
      </c>
      <c r="J10" s="12">
        <f>IFERROR(INDEX(Dados!$J$2:$J$33,MATCH("Governo|"&amp;J$5,Dados!$A$2:$A$33,0))/1000000,"")</f>
        <v>41899.18302171</v>
      </c>
    </row>
    <row r="12" spans="1:12" x14ac:dyDescent="0.25">
      <c r="A12" s="3" t="s">
        <v>23</v>
      </c>
    </row>
    <row r="13" spans="1:12" ht="44.1" customHeight="1" x14ac:dyDescent="0.25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  <c r="J13" s="4" t="s">
        <v>12</v>
      </c>
    </row>
    <row r="14" spans="1:12" x14ac:dyDescent="0.25">
      <c r="A14" s="5" t="s">
        <v>15</v>
      </c>
      <c r="B14" s="6" t="s">
        <v>16</v>
      </c>
      <c r="C14" s="13">
        <f>IFERROR(IF(INDEX(Dados!$I$2:$I$33,MATCH($A14&amp;"|"&amp;C$13,Dados!$A$2:$A$33,0))="","",INDEX(Dados!$I$2:$I$33,MATCH($A14&amp;"|"&amp;C$13,Dados!$A$2:$A$33,0))/1000000),"")</f>
        <v>12801.14815116</v>
      </c>
      <c r="D14" s="13">
        <f>IFERROR(IF(INDEX(Dados!$I$2:$I$33,MATCH($A14&amp;"|"&amp;D$13,Dados!$A$2:$A$33,0))="","",INDEX(Dados!$I$2:$I$33,MATCH($A14&amp;"|"&amp;D$13,Dados!$A$2:$A$33,0))/1000000),"")</f>
        <v>13609.901427629999</v>
      </c>
      <c r="E14" s="13">
        <f>IFERROR(IF(INDEX(Dados!$I$2:$I$33,MATCH($A14&amp;"|"&amp;E$13,Dados!$A$2:$A$33,0))="","",INDEX(Dados!$I$2:$I$33,MATCH($A14&amp;"|"&amp;E$13,Dados!$A$2:$A$33,0))/1000000),"")</f>
        <v>14177.01633884</v>
      </c>
      <c r="F14" s="13">
        <f>IFERROR(IF(INDEX(Dados!$I$2:$I$33,MATCH($A14&amp;"|"&amp;F$13,Dados!$A$2:$A$33,0))="","",INDEX(Dados!$I$2:$I$33,MATCH($A14&amp;"|"&amp;F$13,Dados!$A$2:$A$33,0))/1000000),"")</f>
        <v>14034.44637152</v>
      </c>
      <c r="G14" s="13">
        <f>IFERROR(IF(INDEX(Dados!$I$2:$I$33,MATCH($A14&amp;"|"&amp;G$13,Dados!$A$2:$A$33,0))="","",INDEX(Dados!$I$2:$I$33,MATCH($A14&amp;"|"&amp;G$13,Dados!$A$2:$A$33,0))/1000000),"")</f>
        <v>14649.141428520001</v>
      </c>
      <c r="H14" s="13">
        <f>IFERROR(IF(INDEX(Dados!$I$2:$I$33,MATCH($A14&amp;"|"&amp;H$13,Dados!$A$2:$A$33,0))="","",INDEX(Dados!$I$2:$I$33,MATCH($A14&amp;"|"&amp;H$13,Dados!$A$2:$A$33,0))/1000000),"")</f>
        <v>16175.614683649999</v>
      </c>
      <c r="I14" s="13">
        <f>IFERROR(IF(INDEX(Dados!$I$2:$I$33,MATCH($A14&amp;"|"&amp;I$13,Dados!$A$2:$A$33,0))="","",INDEX(Dados!$I$2:$I$33,MATCH($A14&amp;"|"&amp;I$13,Dados!$A$2:$A$33,0))/1000000),"")</f>
        <v>16298.14018823</v>
      </c>
      <c r="J14" s="13">
        <f>IFERROR(IF(INDEX(Dados!$I$2:$I$33,MATCH($A14&amp;"|"&amp;J$13,Dados!$A$2:$A$33,0))="","",INDEX(Dados!$I$2:$I$33,MATCH($A14&amp;"|"&amp;J$13,Dados!$A$2:$A$33,0))/1000000),"")</f>
        <v>16987.81189099</v>
      </c>
    </row>
    <row r="15" spans="1:12" x14ac:dyDescent="0.25">
      <c r="A15" s="8" t="s">
        <v>17</v>
      </c>
      <c r="B15" s="9" t="s">
        <v>18</v>
      </c>
      <c r="C15" s="14">
        <f>IFERROR(IF(INDEX(Dados!$I$2:$I$33,MATCH($A15&amp;"|"&amp;C$13,Dados!$A$2:$A$33,0))="","",INDEX(Dados!$I$2:$I$33,MATCH($A15&amp;"|"&amp;C$13,Dados!$A$2:$A$33,0))/1000000),"")</f>
        <v>490.98350466000005</v>
      </c>
      <c r="D15" s="14">
        <f>IFERROR(IF(INDEX(Dados!$I$2:$I$33,MATCH($A15&amp;"|"&amp;D$13,Dados!$A$2:$A$33,0))="","",INDEX(Dados!$I$2:$I$33,MATCH($A15&amp;"|"&amp;D$13,Dados!$A$2:$A$33,0))/1000000),"")</f>
        <v>515.93103442000006</v>
      </c>
      <c r="E15" s="14">
        <f>IFERROR(IF(INDEX(Dados!$I$2:$I$33,MATCH($A15&amp;"|"&amp;E$13,Dados!$A$2:$A$33,0))="","",INDEX(Dados!$I$2:$I$33,MATCH($A15&amp;"|"&amp;E$13,Dados!$A$2:$A$33,0))/1000000),"")</f>
        <v>543.45484169000008</v>
      </c>
      <c r="F15" s="14">
        <f>IFERROR(IF(INDEX(Dados!$I$2:$I$33,MATCH($A15&amp;"|"&amp;F$13,Dados!$A$2:$A$33,0))="","",INDEX(Dados!$I$2:$I$33,MATCH($A15&amp;"|"&amp;F$13,Dados!$A$2:$A$33,0))/1000000),"")</f>
        <v>565.21354066999993</v>
      </c>
      <c r="G15" s="14">
        <f>IFERROR(IF(INDEX(Dados!$I$2:$I$33,MATCH($A15&amp;"|"&amp;G$13,Dados!$A$2:$A$33,0))="","",INDEX(Dados!$I$2:$I$33,MATCH($A15&amp;"|"&amp;G$13,Dados!$A$2:$A$33,0))/1000000),"")</f>
        <v>578.94672072000003</v>
      </c>
      <c r="H15" s="14">
        <f>IFERROR(IF(INDEX(Dados!$I$2:$I$33,MATCH($A15&amp;"|"&amp;H$13,Dados!$A$2:$A$33,0))="","",INDEX(Dados!$I$2:$I$33,MATCH($A15&amp;"|"&amp;H$13,Dados!$A$2:$A$33,0))/1000000),"")</f>
        <v>590.68458946999999</v>
      </c>
      <c r="I15" s="14">
        <f>IFERROR(IF(INDEX(Dados!$I$2:$I$33,MATCH($A15&amp;"|"&amp;I$13,Dados!$A$2:$A$33,0))="","",INDEX(Dados!$I$2:$I$33,MATCH($A15&amp;"|"&amp;I$13,Dados!$A$2:$A$33,0))/1000000),"")</f>
        <v>596.21392887000002</v>
      </c>
      <c r="J15" s="14">
        <f>IFERROR(IF(INDEX(Dados!$I$2:$I$33,MATCH($A15&amp;"|"&amp;J$13,Dados!$A$2:$A$33,0))="","",INDEX(Dados!$I$2:$I$33,MATCH($A15&amp;"|"&amp;J$13,Dados!$A$2:$A$33,0))/1000000),"")</f>
        <v>605.45459908999999</v>
      </c>
    </row>
    <row r="16" spans="1:12" x14ac:dyDescent="0.25">
      <c r="A16" s="8" t="s">
        <v>19</v>
      </c>
      <c r="B16" s="9" t="s">
        <v>19</v>
      </c>
      <c r="C16" s="14">
        <f>IFERROR(IF(INDEX(Dados!$I$2:$I$33,MATCH($A16&amp;"|"&amp;C$13,Dados!$A$2:$A$33,0))="","",INDEX(Dados!$I$2:$I$33,MATCH($A16&amp;"|"&amp;C$13,Dados!$A$2:$A$33,0))/1000000),"")</f>
        <v>296.10820486</v>
      </c>
      <c r="D16" s="14">
        <f>IFERROR(IF(INDEX(Dados!$I$2:$I$33,MATCH($A16&amp;"|"&amp;D$13,Dados!$A$2:$A$33,0))="","",INDEX(Dados!$I$2:$I$33,MATCH($A16&amp;"|"&amp;D$13,Dados!$A$2:$A$33,0))/1000000),"")</f>
        <v>325.51609472000001</v>
      </c>
      <c r="E16" s="14">
        <f>IFERROR(IF(INDEX(Dados!$I$2:$I$33,MATCH($A16&amp;"|"&amp;E$13,Dados!$A$2:$A$33,0))="","",INDEX(Dados!$I$2:$I$33,MATCH($A16&amp;"|"&amp;E$13,Dados!$A$2:$A$33,0))/1000000),"")</f>
        <v>309.49427437000003</v>
      </c>
      <c r="F16" s="14">
        <f>IFERROR(IF(INDEX(Dados!$I$2:$I$33,MATCH($A16&amp;"|"&amp;F$13,Dados!$A$2:$A$33,0))="","",INDEX(Dados!$I$2:$I$33,MATCH($A16&amp;"|"&amp;F$13,Dados!$A$2:$A$33,0))/1000000),"")</f>
        <v>324.08616789999996</v>
      </c>
      <c r="G16" s="14">
        <f>IFERROR(IF(INDEX(Dados!$I$2:$I$33,MATCH($A16&amp;"|"&amp;G$13,Dados!$A$2:$A$33,0))="","",INDEX(Dados!$I$2:$I$33,MATCH($A16&amp;"|"&amp;G$13,Dados!$A$2:$A$33,0))/1000000),"")</f>
        <v>330.71403776</v>
      </c>
      <c r="H16" s="14">
        <f>IFERROR(IF(INDEX(Dados!$I$2:$I$33,MATCH($A16&amp;"|"&amp;H$13,Dados!$A$2:$A$33,0))="","",INDEX(Dados!$I$2:$I$33,MATCH($A16&amp;"|"&amp;H$13,Dados!$A$2:$A$33,0))/1000000),"")</f>
        <v>337.93946958999999</v>
      </c>
      <c r="I16" s="14">
        <f>IFERROR(IF(INDEX(Dados!$I$2:$I$33,MATCH($A16&amp;"|"&amp;I$13,Dados!$A$2:$A$33,0))="","",INDEX(Dados!$I$2:$I$33,MATCH($A16&amp;"|"&amp;I$13,Dados!$A$2:$A$33,0))/1000000),"")</f>
        <v>334.17317724000003</v>
      </c>
      <c r="J16" s="14">
        <f>IFERROR(IF(INDEX(Dados!$I$2:$I$33,MATCH($A16&amp;"|"&amp;J$13,Dados!$A$2:$A$33,0))="","",INDEX(Dados!$I$2:$I$33,MATCH($A16&amp;"|"&amp;J$13,Dados!$A$2:$A$33,0))/1000000),"")</f>
        <v>338.50625604000004</v>
      </c>
    </row>
    <row r="17" spans="1:10" x14ac:dyDescent="0.25">
      <c r="A17" s="8" t="s">
        <v>20</v>
      </c>
      <c r="B17" s="9" t="s">
        <v>20</v>
      </c>
      <c r="C17" s="14">
        <f>IFERROR(IF(INDEX(Dados!$I$2:$I$33,MATCH($A17&amp;"|"&amp;C$13,Dados!$A$2:$A$33,0))="","",INDEX(Dados!$I$2:$I$33,MATCH($A17&amp;"|"&amp;C$13,Dados!$A$2:$A$33,0))/1000000),"")</f>
        <v>245.36687641999998</v>
      </c>
      <c r="D17" s="14">
        <f>IFERROR(IF(INDEX(Dados!$I$2:$I$33,MATCH($A17&amp;"|"&amp;D$13,Dados!$A$2:$A$33,0))="","",INDEX(Dados!$I$2:$I$33,MATCH($A17&amp;"|"&amp;D$13,Dados!$A$2:$A$33,0))/1000000),"")</f>
        <v>254.02797672999998</v>
      </c>
      <c r="E17" s="14">
        <f>IFERROR(IF(INDEX(Dados!$I$2:$I$33,MATCH($A17&amp;"|"&amp;E$13,Dados!$A$2:$A$33,0))="","",INDEX(Dados!$I$2:$I$33,MATCH($A17&amp;"|"&amp;E$13,Dados!$A$2:$A$33,0))/1000000),"")</f>
        <v>263.44310683999998</v>
      </c>
      <c r="F17" s="14">
        <f>IFERROR(IF(INDEX(Dados!$I$2:$I$33,MATCH($A17&amp;"|"&amp;F$13,Dados!$A$2:$A$33,0))="","",INDEX(Dados!$I$2:$I$33,MATCH($A17&amp;"|"&amp;F$13,Dados!$A$2:$A$33,0))/1000000),"")</f>
        <v>275.37185542000003</v>
      </c>
      <c r="G17" s="14">
        <f>IFERROR(IF(INDEX(Dados!$I$2:$I$33,MATCH($A17&amp;"|"&amp;G$13,Dados!$A$2:$A$33,0))="","",INDEX(Dados!$I$2:$I$33,MATCH($A17&amp;"|"&amp;G$13,Dados!$A$2:$A$33,0))/1000000),"")</f>
        <v>286.74793518000001</v>
      </c>
      <c r="H17" s="14">
        <f>IFERROR(IF(INDEX(Dados!$I$2:$I$33,MATCH($A17&amp;"|"&amp;H$13,Dados!$A$2:$A$33,0))="","",INDEX(Dados!$I$2:$I$33,MATCH($A17&amp;"|"&amp;H$13,Dados!$A$2:$A$33,0))/1000000),"")</f>
        <v>293.73297798999999</v>
      </c>
      <c r="I17" s="14">
        <f>IFERROR(IF(INDEX(Dados!$I$2:$I$33,MATCH($A17&amp;"|"&amp;I$13,Dados!$A$2:$A$33,0))="","",INDEX(Dados!$I$2:$I$33,MATCH($A17&amp;"|"&amp;I$13,Dados!$A$2:$A$33,0))/1000000),"")</f>
        <v>306.2813592</v>
      </c>
      <c r="J17" s="14">
        <f>IFERROR(IF(INDEX(Dados!$I$2:$I$33,MATCH($A17&amp;"|"&amp;J$13,Dados!$A$2:$A$33,0))="","",INDEX(Dados!$I$2:$I$33,MATCH($A17&amp;"|"&amp;J$13,Dados!$A$2:$A$33,0))/1000000),"")</f>
        <v>309.86207668999998</v>
      </c>
    </row>
    <row r="19" spans="1:10" x14ac:dyDescent="0.25">
      <c r="A19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25</v>
      </c>
      <c r="B1" s="4" t="s">
        <v>3</v>
      </c>
      <c r="C1" s="4" t="s">
        <v>4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  <c r="M1" s="4" t="s">
        <v>35</v>
      </c>
      <c r="N1" s="4" t="s">
        <v>36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  <c r="T1" s="4" t="s">
        <v>42</v>
      </c>
      <c r="U1" s="4" t="s">
        <v>43</v>
      </c>
    </row>
    <row r="2" spans="1:21" x14ac:dyDescent="0.25">
      <c r="A2" s="9" t="str">
        <f t="shared" ref="A2:A33" si="0">B2&amp;"|"&amp;G2</f>
        <v>Governo|1º quad. 2024</v>
      </c>
      <c r="B2" s="9" t="s">
        <v>15</v>
      </c>
      <c r="C2" s="9" t="s">
        <v>16</v>
      </c>
      <c r="D2" s="9" t="s">
        <v>44</v>
      </c>
      <c r="E2" s="9" t="s">
        <v>45</v>
      </c>
      <c r="F2" s="9">
        <v>1</v>
      </c>
      <c r="G2" s="9" t="s">
        <v>5</v>
      </c>
      <c r="H2" s="9" t="s">
        <v>46</v>
      </c>
      <c r="I2" s="15">
        <v>12801148151.16</v>
      </c>
      <c r="J2" s="15">
        <v>34631623929.480003</v>
      </c>
      <c r="K2" s="10">
        <f t="shared" ref="K2:K33" si="1">IF(OR(I2="",J2="",J2=0),"",I2/J2)</f>
        <v>0.36963753640969416</v>
      </c>
      <c r="L2" s="16">
        <v>0.36959999999999998</v>
      </c>
      <c r="M2" s="9" t="str">
        <f t="shared" ref="M2:M33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16969495725.440001</v>
      </c>
      <c r="R2" s="15">
        <v>16121020939.17</v>
      </c>
      <c r="S2" s="15">
        <v>15272546152.9</v>
      </c>
      <c r="T2" s="9" t="str">
        <f t="shared" ref="T2:T33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47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44</v>
      </c>
      <c r="E3" s="9" t="s">
        <v>45</v>
      </c>
      <c r="F3" s="9">
        <v>2</v>
      </c>
      <c r="G3" s="9" t="s">
        <v>6</v>
      </c>
      <c r="H3" s="9" t="s">
        <v>48</v>
      </c>
      <c r="I3" s="15">
        <v>13609901427.629999</v>
      </c>
      <c r="J3" s="15">
        <v>35720272297.620003</v>
      </c>
      <c r="K3" s="10">
        <f t="shared" si="1"/>
        <v>0.38101337286101289</v>
      </c>
      <c r="L3" s="16">
        <v>0.38100000000000001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17502933425.830002</v>
      </c>
      <c r="R3" s="15">
        <v>16627786754.540001</v>
      </c>
      <c r="S3" s="15">
        <v>15752640083.25</v>
      </c>
      <c r="T3" s="9" t="str">
        <f t="shared" si="3"/>
        <v>Abaixo do limite de alerta</v>
      </c>
      <c r="U3" s="9" t="s">
        <v>47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44</v>
      </c>
      <c r="E4" s="9" t="s">
        <v>45</v>
      </c>
      <c r="F4" s="9">
        <v>3</v>
      </c>
      <c r="G4" s="9" t="s">
        <v>7</v>
      </c>
      <c r="H4" s="9" t="s">
        <v>49</v>
      </c>
      <c r="I4" s="15">
        <v>14177016338.84</v>
      </c>
      <c r="J4" s="15">
        <v>35826652617.080002</v>
      </c>
      <c r="K4" s="10">
        <f t="shared" si="1"/>
        <v>0.39571144115432227</v>
      </c>
      <c r="L4" s="16">
        <v>0.3957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17555059782.369999</v>
      </c>
      <c r="R4" s="15">
        <v>16677306793.25</v>
      </c>
      <c r="S4" s="15">
        <v>15799553804.129999</v>
      </c>
      <c r="T4" s="9" t="str">
        <f t="shared" si="3"/>
        <v>Abaixo do limite de alerta</v>
      </c>
      <c r="U4" s="9" t="s">
        <v>47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44</v>
      </c>
      <c r="E5" s="9" t="s">
        <v>50</v>
      </c>
      <c r="F5" s="9">
        <v>1</v>
      </c>
      <c r="G5" s="9" t="s">
        <v>8</v>
      </c>
      <c r="H5" s="9" t="s">
        <v>51</v>
      </c>
      <c r="I5" s="15">
        <v>14034446371.52</v>
      </c>
      <c r="J5" s="15">
        <v>36419369398.139999</v>
      </c>
      <c r="K5" s="10">
        <f t="shared" si="1"/>
        <v>0.38535665508356559</v>
      </c>
      <c r="L5" s="16">
        <v>0.38540000000000002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17845491005.09</v>
      </c>
      <c r="R5" s="15">
        <v>16953216454.84</v>
      </c>
      <c r="S5" s="15">
        <v>16060941904.58</v>
      </c>
      <c r="T5" s="9" t="str">
        <f t="shared" si="3"/>
        <v>Abaixo do limite de alerta</v>
      </c>
      <c r="U5" s="9" t="s">
        <v>47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44</v>
      </c>
      <c r="E6" s="9" t="s">
        <v>50</v>
      </c>
      <c r="F6" s="9">
        <v>2</v>
      </c>
      <c r="G6" s="9" t="s">
        <v>9</v>
      </c>
      <c r="H6" s="9" t="s">
        <v>52</v>
      </c>
      <c r="I6" s="15">
        <v>14649141428.52</v>
      </c>
      <c r="J6" s="15">
        <v>37607023361.949997</v>
      </c>
      <c r="K6" s="10">
        <f t="shared" si="1"/>
        <v>0.389532063932018</v>
      </c>
      <c r="L6" s="16">
        <v>0.38950000000000001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18427441447.360001</v>
      </c>
      <c r="R6" s="15">
        <v>17506069374.990002</v>
      </c>
      <c r="S6" s="15">
        <v>16584697302.620001</v>
      </c>
      <c r="T6" s="9" t="str">
        <f t="shared" si="3"/>
        <v>Abaixo do limite de alerta</v>
      </c>
      <c r="U6" s="9" t="s">
        <v>47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44</v>
      </c>
      <c r="E7" s="9" t="s">
        <v>50</v>
      </c>
      <c r="F7" s="9">
        <v>3</v>
      </c>
      <c r="G7" s="9" t="s">
        <v>10</v>
      </c>
      <c r="H7" s="9" t="s">
        <v>53</v>
      </c>
      <c r="I7" s="15">
        <v>16175614683.65</v>
      </c>
      <c r="J7" s="15">
        <v>39011021845.82</v>
      </c>
      <c r="K7" s="10">
        <f t="shared" si="1"/>
        <v>0.41464216824618255</v>
      </c>
      <c r="L7" s="16">
        <v>0.41460000000000002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19115400704.450001</v>
      </c>
      <c r="R7" s="15">
        <v>18159630669.23</v>
      </c>
      <c r="S7" s="15">
        <v>17203860634.009998</v>
      </c>
      <c r="T7" s="9" t="str">
        <f t="shared" si="3"/>
        <v>Abaixo do limite de alerta</v>
      </c>
      <c r="U7" s="9" t="s">
        <v>47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44</v>
      </c>
      <c r="E8" s="9" t="s">
        <v>54</v>
      </c>
      <c r="F8" s="9">
        <v>1</v>
      </c>
      <c r="G8" s="9" t="s">
        <v>11</v>
      </c>
      <c r="H8" s="9" t="s">
        <v>55</v>
      </c>
      <c r="I8" s="15">
        <v>16298140188.23</v>
      </c>
      <c r="J8" s="15">
        <v>40291077155.510002</v>
      </c>
      <c r="K8" s="10">
        <f t="shared" si="1"/>
        <v>0.40450991482120624</v>
      </c>
      <c r="L8" s="16">
        <v>0.40450000000000003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19742627806.200001</v>
      </c>
      <c r="R8" s="15">
        <v>18755496415.889999</v>
      </c>
      <c r="S8" s="15">
        <v>17768365025.580002</v>
      </c>
      <c r="T8" s="9" t="str">
        <f t="shared" si="3"/>
        <v>Abaixo do limite de alerta</v>
      </c>
      <c r="U8" s="9" t="s">
        <v>47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44</v>
      </c>
      <c r="E9" s="9" t="s">
        <v>54</v>
      </c>
      <c r="F9" s="9">
        <v>2</v>
      </c>
      <c r="G9" s="9" t="s">
        <v>12</v>
      </c>
      <c r="H9" s="9" t="s">
        <v>56</v>
      </c>
      <c r="I9" s="15">
        <v>16987811890.99</v>
      </c>
      <c r="J9" s="15">
        <v>41899183021.709999</v>
      </c>
      <c r="K9" s="10">
        <f t="shared" si="1"/>
        <v>0.40544494345361792</v>
      </c>
      <c r="L9" s="16">
        <v>0.40539999999999998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20530599680.639999</v>
      </c>
      <c r="R9" s="15">
        <v>19504069696.610001</v>
      </c>
      <c r="S9" s="15">
        <v>18477539712.580002</v>
      </c>
      <c r="T9" s="9" t="str">
        <f t="shared" si="3"/>
        <v>Abaixo do limite de alerta</v>
      </c>
      <c r="U9" s="9" t="s">
        <v>47</v>
      </c>
    </row>
    <row r="10" spans="1:21" x14ac:dyDescent="0.25">
      <c r="A10" s="9" t="str">
        <f t="shared" si="0"/>
        <v>Câmara Legislativa|1º quad. 2024</v>
      </c>
      <c r="B10" s="9" t="s">
        <v>17</v>
      </c>
      <c r="C10" s="9" t="s">
        <v>18</v>
      </c>
      <c r="D10" s="9" t="s">
        <v>57</v>
      </c>
      <c r="E10" s="9" t="s">
        <v>45</v>
      </c>
      <c r="F10" s="9">
        <v>1</v>
      </c>
      <c r="G10" s="9" t="s">
        <v>5</v>
      </c>
      <c r="H10" s="9" t="s">
        <v>46</v>
      </c>
      <c r="I10" s="15">
        <v>490983504.66000003</v>
      </c>
      <c r="J10" s="15">
        <v>34631623929.480003</v>
      </c>
      <c r="K10" s="10">
        <f t="shared" si="1"/>
        <v>1.4177316826371883E-2</v>
      </c>
      <c r="L10" s="16">
        <v>1.4200000000000001E-2</v>
      </c>
      <c r="M10" s="9" t="str">
        <f t="shared" si="2"/>
        <v>Sim</v>
      </c>
      <c r="N10" s="16">
        <v>1.7000000000000001E-2</v>
      </c>
      <c r="O10" s="16">
        <v>1.6199999999999999E-2</v>
      </c>
      <c r="P10" s="16">
        <v>1.5299999999999999E-2</v>
      </c>
      <c r="Q10" s="15">
        <v>588737606.79999995</v>
      </c>
      <c r="R10" s="15">
        <v>559300726.46000004</v>
      </c>
      <c r="S10" s="15">
        <v>529863846.12</v>
      </c>
      <c r="T10" s="9" t="str">
        <f t="shared" si="3"/>
        <v>Abaixo do limite de alerta</v>
      </c>
      <c r="U10" s="9" t="s">
        <v>47</v>
      </c>
    </row>
    <row r="11" spans="1:21" x14ac:dyDescent="0.25">
      <c r="A11" s="9" t="str">
        <f t="shared" si="0"/>
        <v>Câmara Legislativa|2º quad. 2024</v>
      </c>
      <c r="B11" s="9" t="s">
        <v>17</v>
      </c>
      <c r="C11" s="9" t="s">
        <v>18</v>
      </c>
      <c r="D11" s="9" t="s">
        <v>57</v>
      </c>
      <c r="E11" s="9" t="s">
        <v>45</v>
      </c>
      <c r="F11" s="9">
        <v>2</v>
      </c>
      <c r="G11" s="9" t="s">
        <v>6</v>
      </c>
      <c r="H11" s="9" t="s">
        <v>48</v>
      </c>
      <c r="I11" s="15">
        <v>515931034.42000002</v>
      </c>
      <c r="J11" s="15">
        <v>35720272297.620003</v>
      </c>
      <c r="K11" s="10">
        <f t="shared" si="1"/>
        <v>1.4443647856916698E-2</v>
      </c>
      <c r="L11" s="16">
        <v>1.44E-2</v>
      </c>
      <c r="M11" s="9" t="str">
        <f t="shared" si="2"/>
        <v>Sim</v>
      </c>
      <c r="N11" s="16">
        <v>1.7000000000000001E-2</v>
      </c>
      <c r="O11" s="16">
        <v>1.6199999999999999E-2</v>
      </c>
      <c r="P11" s="16">
        <v>1.5299999999999999E-2</v>
      </c>
      <c r="Q11" s="15">
        <v>607244629.05999994</v>
      </c>
      <c r="R11" s="15">
        <v>576882397.61000001</v>
      </c>
      <c r="S11" s="15">
        <v>546520166.14999998</v>
      </c>
      <c r="T11" s="9" t="str">
        <f t="shared" si="3"/>
        <v>Abaixo do limite de alerta</v>
      </c>
      <c r="U11" s="9" t="s">
        <v>47</v>
      </c>
    </row>
    <row r="12" spans="1:21" x14ac:dyDescent="0.25">
      <c r="A12" s="9" t="str">
        <f t="shared" si="0"/>
        <v>Câmara Legislativa|3º quad. 2024</v>
      </c>
      <c r="B12" s="9" t="s">
        <v>17</v>
      </c>
      <c r="C12" s="9" t="s">
        <v>18</v>
      </c>
      <c r="D12" s="9" t="s">
        <v>57</v>
      </c>
      <c r="E12" s="9" t="s">
        <v>45</v>
      </c>
      <c r="F12" s="9">
        <v>3</v>
      </c>
      <c r="G12" s="9" t="s">
        <v>7</v>
      </c>
      <c r="H12" s="9" t="s">
        <v>49</v>
      </c>
      <c r="I12" s="15">
        <v>543454841.69000006</v>
      </c>
      <c r="J12" s="15">
        <v>35826652617.080002</v>
      </c>
      <c r="K12" s="10">
        <f t="shared" si="1"/>
        <v>1.5169009717388817E-2</v>
      </c>
      <c r="L12" s="16">
        <v>1.52E-2</v>
      </c>
      <c r="M12" s="9" t="str">
        <f t="shared" si="2"/>
        <v>Sim</v>
      </c>
      <c r="N12" s="16">
        <v>1.7000000000000001E-2</v>
      </c>
      <c r="O12" s="16">
        <v>1.6199999999999999E-2</v>
      </c>
      <c r="P12" s="16">
        <v>1.5299999999999999E-2</v>
      </c>
      <c r="Q12" s="15">
        <v>609053094.49000001</v>
      </c>
      <c r="R12" s="15">
        <v>578600439.76999998</v>
      </c>
      <c r="S12" s="15">
        <v>548147785.03999996</v>
      </c>
      <c r="T12" s="9" t="str">
        <f t="shared" si="3"/>
        <v>Abaixo do limite de alerta</v>
      </c>
      <c r="U12" s="9" t="s">
        <v>47</v>
      </c>
    </row>
    <row r="13" spans="1:21" x14ac:dyDescent="0.25">
      <c r="A13" s="9" t="str">
        <f t="shared" si="0"/>
        <v>Câmara Legislativa|1º quad. 2025</v>
      </c>
      <c r="B13" s="9" t="s">
        <v>17</v>
      </c>
      <c r="C13" s="9" t="s">
        <v>18</v>
      </c>
      <c r="D13" s="9" t="s">
        <v>57</v>
      </c>
      <c r="E13" s="9" t="s">
        <v>50</v>
      </c>
      <c r="F13" s="9">
        <v>1</v>
      </c>
      <c r="G13" s="9" t="s">
        <v>8</v>
      </c>
      <c r="H13" s="9" t="s">
        <v>51</v>
      </c>
      <c r="I13" s="15">
        <v>565213540.66999996</v>
      </c>
      <c r="J13" s="15">
        <v>36419369398.139999</v>
      </c>
      <c r="K13" s="10">
        <f t="shared" si="1"/>
        <v>1.5519586143599357E-2</v>
      </c>
      <c r="L13" s="16">
        <v>1.55E-2</v>
      </c>
      <c r="M13" s="9" t="str">
        <f t="shared" si="2"/>
        <v>Sim</v>
      </c>
      <c r="N13" s="16">
        <v>1.7000000000000001E-2</v>
      </c>
      <c r="O13" s="16">
        <v>1.6199999999999999E-2</v>
      </c>
      <c r="P13" s="16">
        <v>1.5299999999999999E-2</v>
      </c>
      <c r="Q13" s="15">
        <v>619129279.76999998</v>
      </c>
      <c r="R13" s="15">
        <v>588172815.77999997</v>
      </c>
      <c r="S13" s="15">
        <v>557216351.78999996</v>
      </c>
      <c r="T13" s="9" t="str">
        <f t="shared" si="3"/>
        <v>Acima do limite de alerta</v>
      </c>
      <c r="U13" s="9" t="s">
        <v>47</v>
      </c>
    </row>
    <row r="14" spans="1:21" x14ac:dyDescent="0.25">
      <c r="A14" s="9" t="str">
        <f t="shared" si="0"/>
        <v>Câmara Legislativa|2º quad. 2025</v>
      </c>
      <c r="B14" s="9" t="s">
        <v>17</v>
      </c>
      <c r="C14" s="9" t="s">
        <v>18</v>
      </c>
      <c r="D14" s="9" t="s">
        <v>57</v>
      </c>
      <c r="E14" s="9" t="s">
        <v>50</v>
      </c>
      <c r="F14" s="9">
        <v>2</v>
      </c>
      <c r="G14" s="9" t="s">
        <v>9</v>
      </c>
      <c r="H14" s="9" t="s">
        <v>52</v>
      </c>
      <c r="I14" s="15">
        <v>578946720.72000003</v>
      </c>
      <c r="J14" s="15">
        <v>37607023361.949997</v>
      </c>
      <c r="K14" s="10">
        <f t="shared" si="1"/>
        <v>1.5394643578884424E-2</v>
      </c>
      <c r="L14" s="16">
        <v>1.54E-2</v>
      </c>
      <c r="M14" s="9" t="str">
        <f t="shared" si="2"/>
        <v>Sim</v>
      </c>
      <c r="N14" s="16">
        <v>1.7000000000000001E-2</v>
      </c>
      <c r="O14" s="16">
        <v>1.6199999999999999E-2</v>
      </c>
      <c r="P14" s="16">
        <v>1.5299999999999999E-2</v>
      </c>
      <c r="Q14" s="15">
        <v>639319397.14999998</v>
      </c>
      <c r="R14" s="15">
        <v>607353427.28999996</v>
      </c>
      <c r="S14" s="15">
        <v>575387457.44000006</v>
      </c>
      <c r="T14" s="9" t="str">
        <f t="shared" si="3"/>
        <v>Acima do limite de alerta</v>
      </c>
      <c r="U14" s="9" t="s">
        <v>47</v>
      </c>
    </row>
    <row r="15" spans="1:21" x14ac:dyDescent="0.25">
      <c r="A15" s="9" t="str">
        <f t="shared" si="0"/>
        <v>Câmara Legislativa|3º quad. 2025</v>
      </c>
      <c r="B15" s="9" t="s">
        <v>17</v>
      </c>
      <c r="C15" s="9" t="s">
        <v>18</v>
      </c>
      <c r="D15" s="9" t="s">
        <v>57</v>
      </c>
      <c r="E15" s="9" t="s">
        <v>50</v>
      </c>
      <c r="F15" s="9">
        <v>3</v>
      </c>
      <c r="G15" s="9" t="s">
        <v>10</v>
      </c>
      <c r="H15" s="9" t="s">
        <v>53</v>
      </c>
      <c r="I15" s="15">
        <v>590684589.47000003</v>
      </c>
      <c r="J15" s="15">
        <v>39011021845.82</v>
      </c>
      <c r="K15" s="10">
        <f t="shared" si="1"/>
        <v>1.5141479549151862E-2</v>
      </c>
      <c r="L15" s="16">
        <v>1.5100000000000001E-2</v>
      </c>
      <c r="M15" s="9" t="str">
        <f t="shared" si="2"/>
        <v>Sim</v>
      </c>
      <c r="N15" s="16">
        <v>1.7000000000000001E-2</v>
      </c>
      <c r="O15" s="16">
        <v>1.6199999999999999E-2</v>
      </c>
      <c r="P15" s="16">
        <v>1.5299999999999999E-2</v>
      </c>
      <c r="Q15" s="15">
        <v>663187371.38</v>
      </c>
      <c r="R15" s="15">
        <v>630028002.80999994</v>
      </c>
      <c r="S15" s="15">
        <v>596868634.24000001</v>
      </c>
      <c r="T15" s="9" t="str">
        <f t="shared" si="3"/>
        <v>Abaixo do limite de alerta</v>
      </c>
      <c r="U15" s="9" t="s">
        <v>47</v>
      </c>
    </row>
    <row r="16" spans="1:21" x14ac:dyDescent="0.25">
      <c r="A16" s="9" t="str">
        <f t="shared" si="0"/>
        <v>Câmara Legislativa|1º quad. 2026</v>
      </c>
      <c r="B16" s="9" t="s">
        <v>17</v>
      </c>
      <c r="C16" s="9" t="s">
        <v>18</v>
      </c>
      <c r="D16" s="9" t="s">
        <v>57</v>
      </c>
      <c r="E16" s="9" t="s">
        <v>54</v>
      </c>
      <c r="F16" s="9">
        <v>1</v>
      </c>
      <c r="G16" s="9" t="s">
        <v>11</v>
      </c>
      <c r="H16" s="9" t="s">
        <v>55</v>
      </c>
      <c r="I16" s="15">
        <v>596213928.87</v>
      </c>
      <c r="J16" s="15">
        <v>40291077155.510002</v>
      </c>
      <c r="K16" s="10">
        <f t="shared" si="1"/>
        <v>1.4797666653805627E-2</v>
      </c>
      <c r="L16" s="16">
        <v>1.4800000000000001E-2</v>
      </c>
      <c r="M16" s="9" t="str">
        <f t="shared" si="2"/>
        <v>Sim</v>
      </c>
      <c r="N16" s="16">
        <v>1.7000000000000001E-2</v>
      </c>
      <c r="O16" s="16">
        <v>1.6199999999999999E-2</v>
      </c>
      <c r="P16" s="16">
        <v>1.5299999999999999E-2</v>
      </c>
      <c r="Q16" s="15">
        <v>684948311.63999999</v>
      </c>
      <c r="R16" s="15">
        <v>650700896.05999994</v>
      </c>
      <c r="S16" s="15">
        <v>616453480.48000002</v>
      </c>
      <c r="T16" s="9" t="str">
        <f t="shared" si="3"/>
        <v>Abaixo do limite de alerta</v>
      </c>
      <c r="U16" s="9" t="s">
        <v>47</v>
      </c>
    </row>
    <row r="17" spans="1:21" x14ac:dyDescent="0.25">
      <c r="A17" s="9" t="str">
        <f t="shared" si="0"/>
        <v>Câmara Legislativa|2º quad. 2026</v>
      </c>
      <c r="B17" s="9" t="s">
        <v>17</v>
      </c>
      <c r="C17" s="9" t="s">
        <v>18</v>
      </c>
      <c r="D17" s="9" t="s">
        <v>57</v>
      </c>
      <c r="E17" s="9" t="s">
        <v>54</v>
      </c>
      <c r="F17" s="9">
        <v>2</v>
      </c>
      <c r="G17" s="9" t="s">
        <v>12</v>
      </c>
      <c r="H17" s="9" t="s">
        <v>56</v>
      </c>
      <c r="I17" s="15">
        <v>605454599.09000003</v>
      </c>
      <c r="J17" s="15">
        <v>41899183021.709999</v>
      </c>
      <c r="K17" s="10">
        <f t="shared" si="1"/>
        <v>1.4450272187318895E-2</v>
      </c>
      <c r="L17" s="16">
        <v>1.4500000000000001E-2</v>
      </c>
      <c r="M17" s="9" t="str">
        <f t="shared" si="2"/>
        <v>Sim</v>
      </c>
      <c r="N17" s="16">
        <v>1.7000000000000001E-2</v>
      </c>
      <c r="O17" s="16">
        <v>1.6199999999999999E-2</v>
      </c>
      <c r="P17" s="16">
        <v>1.5299999999999999E-2</v>
      </c>
      <c r="Q17" s="15">
        <v>712286111.37</v>
      </c>
      <c r="R17" s="15">
        <v>676671805.79999995</v>
      </c>
      <c r="S17" s="15">
        <v>641057500.23000002</v>
      </c>
      <c r="T17" s="9" t="str">
        <f t="shared" si="3"/>
        <v>Abaixo do limite de alerta</v>
      </c>
      <c r="U17" s="9" t="s">
        <v>47</v>
      </c>
    </row>
    <row r="18" spans="1:21" x14ac:dyDescent="0.25">
      <c r="A18" s="9" t="str">
        <f t="shared" si="0"/>
        <v>Tribunal de Contas|1º quad. 2024</v>
      </c>
      <c r="B18" s="9" t="s">
        <v>19</v>
      </c>
      <c r="C18" s="9" t="s">
        <v>19</v>
      </c>
      <c r="D18" s="9" t="s">
        <v>58</v>
      </c>
      <c r="E18" s="9" t="s">
        <v>45</v>
      </c>
      <c r="F18" s="9">
        <v>1</v>
      </c>
      <c r="G18" s="9" t="s">
        <v>5</v>
      </c>
      <c r="H18" s="9" t="s">
        <v>46</v>
      </c>
      <c r="I18" s="15">
        <v>296108204.86000001</v>
      </c>
      <c r="J18" s="15">
        <v>34631623929.480003</v>
      </c>
      <c r="K18" s="10">
        <f t="shared" si="1"/>
        <v>8.5502258127704879E-3</v>
      </c>
      <c r="L18" s="16">
        <v>8.6E-3</v>
      </c>
      <c r="M18" s="9" t="str">
        <f t="shared" si="2"/>
        <v>Sim</v>
      </c>
      <c r="N18" s="16">
        <v>1.2999999999999999E-2</v>
      </c>
      <c r="O18" s="16">
        <v>1.24E-2</v>
      </c>
      <c r="P18" s="16">
        <v>1.17E-2</v>
      </c>
      <c r="Q18" s="15">
        <v>450211111.07999998</v>
      </c>
      <c r="R18" s="15">
        <v>427700555.52999997</v>
      </c>
      <c r="S18" s="15">
        <v>405189999.97000003</v>
      </c>
      <c r="T18" s="9" t="str">
        <f t="shared" si="3"/>
        <v>Abaixo do limite de alerta</v>
      </c>
      <c r="U18" s="9" t="s">
        <v>47</v>
      </c>
    </row>
    <row r="19" spans="1:21" x14ac:dyDescent="0.25">
      <c r="A19" s="9" t="str">
        <f t="shared" si="0"/>
        <v>Tribunal de Contas|2º quad. 2024</v>
      </c>
      <c r="B19" s="9" t="s">
        <v>19</v>
      </c>
      <c r="C19" s="9" t="s">
        <v>19</v>
      </c>
      <c r="D19" s="9" t="s">
        <v>58</v>
      </c>
      <c r="E19" s="9" t="s">
        <v>45</v>
      </c>
      <c r="F19" s="9">
        <v>2</v>
      </c>
      <c r="G19" s="9" t="s">
        <v>6</v>
      </c>
      <c r="H19" s="9" t="s">
        <v>48</v>
      </c>
      <c r="I19" s="15">
        <v>325516094.72000003</v>
      </c>
      <c r="J19" s="15">
        <v>35720272297.620003</v>
      </c>
      <c r="K19" s="10">
        <f t="shared" si="1"/>
        <v>9.112923104499647E-3</v>
      </c>
      <c r="L19" s="16">
        <v>9.1000000000000004E-3</v>
      </c>
      <c r="M19" s="9" t="str">
        <f t="shared" si="2"/>
        <v>Sim</v>
      </c>
      <c r="N19" s="16">
        <v>1.2999999999999999E-2</v>
      </c>
      <c r="O19" s="16">
        <v>1.24E-2</v>
      </c>
      <c r="P19" s="16">
        <v>1.17E-2</v>
      </c>
      <c r="Q19" s="15">
        <v>464363539.87</v>
      </c>
      <c r="R19" s="15">
        <v>441145362.88</v>
      </c>
      <c r="S19" s="15">
        <v>417927185.88</v>
      </c>
      <c r="T19" s="9" t="str">
        <f t="shared" si="3"/>
        <v>Abaixo do limite de alerta</v>
      </c>
      <c r="U19" s="9" t="s">
        <v>47</v>
      </c>
    </row>
    <row r="20" spans="1:21" x14ac:dyDescent="0.25">
      <c r="A20" s="9" t="str">
        <f t="shared" si="0"/>
        <v>Tribunal de Contas|3º quad. 2024</v>
      </c>
      <c r="B20" s="9" t="s">
        <v>19</v>
      </c>
      <c r="C20" s="9" t="s">
        <v>19</v>
      </c>
      <c r="D20" s="9" t="s">
        <v>58</v>
      </c>
      <c r="E20" s="9" t="s">
        <v>45</v>
      </c>
      <c r="F20" s="9">
        <v>3</v>
      </c>
      <c r="G20" s="9" t="s">
        <v>7</v>
      </c>
      <c r="H20" s="9" t="s">
        <v>49</v>
      </c>
      <c r="I20" s="15">
        <v>309494274.37</v>
      </c>
      <c r="J20" s="15">
        <v>35826652617.080002</v>
      </c>
      <c r="K20" s="10">
        <f t="shared" si="1"/>
        <v>8.6386600969372077E-3</v>
      </c>
      <c r="L20" s="16">
        <v>8.6E-3</v>
      </c>
      <c r="M20" s="9" t="str">
        <f t="shared" si="2"/>
        <v>Sim</v>
      </c>
      <c r="N20" s="16">
        <v>1.2999999999999999E-2</v>
      </c>
      <c r="O20" s="16">
        <v>1.24E-2</v>
      </c>
      <c r="P20" s="16">
        <v>1.17E-2</v>
      </c>
      <c r="Q20" s="15">
        <v>465746484.01999998</v>
      </c>
      <c r="R20" s="15">
        <v>442459159.81999999</v>
      </c>
      <c r="S20" s="15">
        <v>419171835.62</v>
      </c>
      <c r="T20" s="9" t="str">
        <f t="shared" si="3"/>
        <v>Abaixo do limite de alerta</v>
      </c>
      <c r="U20" s="9" t="s">
        <v>47</v>
      </c>
    </row>
    <row r="21" spans="1:21" x14ac:dyDescent="0.25">
      <c r="A21" s="9" t="str">
        <f t="shared" si="0"/>
        <v>Tribunal de Contas|1º quad. 2025</v>
      </c>
      <c r="B21" s="9" t="s">
        <v>19</v>
      </c>
      <c r="C21" s="9" t="s">
        <v>19</v>
      </c>
      <c r="D21" s="9" t="s">
        <v>58</v>
      </c>
      <c r="E21" s="9" t="s">
        <v>50</v>
      </c>
      <c r="F21" s="9">
        <v>1</v>
      </c>
      <c r="G21" s="9" t="s">
        <v>8</v>
      </c>
      <c r="H21" s="9" t="s">
        <v>51</v>
      </c>
      <c r="I21" s="15">
        <v>324086167.89999998</v>
      </c>
      <c r="J21" s="15">
        <v>36419369398.139999</v>
      </c>
      <c r="K21" s="10">
        <f t="shared" si="1"/>
        <v>8.8987309021487781E-3</v>
      </c>
      <c r="L21" s="16">
        <v>8.8999999999999999E-3</v>
      </c>
      <c r="M21" s="9" t="str">
        <f t="shared" si="2"/>
        <v>Sim</v>
      </c>
      <c r="N21" s="16">
        <v>1.2999999999999999E-2</v>
      </c>
      <c r="O21" s="16">
        <v>1.24E-2</v>
      </c>
      <c r="P21" s="16">
        <v>1.17E-2</v>
      </c>
      <c r="Q21" s="15">
        <v>473451802.18000001</v>
      </c>
      <c r="R21" s="15">
        <v>449779212.06999999</v>
      </c>
      <c r="S21" s="15">
        <v>426106621.95999998</v>
      </c>
      <c r="T21" s="9" t="str">
        <f t="shared" si="3"/>
        <v>Abaixo do limite de alerta</v>
      </c>
      <c r="U21" s="9" t="s">
        <v>47</v>
      </c>
    </row>
    <row r="22" spans="1:21" x14ac:dyDescent="0.25">
      <c r="A22" s="9" t="str">
        <f t="shared" si="0"/>
        <v>Tribunal de Contas|2º quad. 2025</v>
      </c>
      <c r="B22" s="9" t="s">
        <v>19</v>
      </c>
      <c r="C22" s="9" t="s">
        <v>19</v>
      </c>
      <c r="D22" s="9" t="s">
        <v>58</v>
      </c>
      <c r="E22" s="9" t="s">
        <v>50</v>
      </c>
      <c r="F22" s="9">
        <v>2</v>
      </c>
      <c r="G22" s="9" t="s">
        <v>9</v>
      </c>
      <c r="H22" s="9" t="s">
        <v>52</v>
      </c>
      <c r="I22" s="15">
        <v>330714037.75999999</v>
      </c>
      <c r="J22" s="15">
        <v>37607023361.949997</v>
      </c>
      <c r="K22" s="10">
        <f t="shared" si="1"/>
        <v>8.7939434763829125E-3</v>
      </c>
      <c r="L22" s="16">
        <v>8.8000000000000005E-3</v>
      </c>
      <c r="M22" s="9" t="str">
        <f t="shared" si="2"/>
        <v>Sim</v>
      </c>
      <c r="N22" s="16">
        <v>1.2999999999999999E-2</v>
      </c>
      <c r="O22" s="16">
        <v>1.24E-2</v>
      </c>
      <c r="P22" s="16">
        <v>1.17E-2</v>
      </c>
      <c r="Q22" s="15">
        <v>488891303.70999998</v>
      </c>
      <c r="R22" s="15">
        <v>464446738.51999998</v>
      </c>
      <c r="S22" s="15">
        <v>440002173.33999997</v>
      </c>
      <c r="T22" s="9" t="str">
        <f t="shared" si="3"/>
        <v>Abaixo do limite de alerta</v>
      </c>
      <c r="U22" s="9" t="s">
        <v>47</v>
      </c>
    </row>
    <row r="23" spans="1:21" x14ac:dyDescent="0.25">
      <c r="A23" s="9" t="str">
        <f t="shared" si="0"/>
        <v>Tribunal de Contas|3º quad. 2025</v>
      </c>
      <c r="B23" s="9" t="s">
        <v>19</v>
      </c>
      <c r="C23" s="9" t="s">
        <v>19</v>
      </c>
      <c r="D23" s="9" t="s">
        <v>58</v>
      </c>
      <c r="E23" s="9" t="s">
        <v>50</v>
      </c>
      <c r="F23" s="9">
        <v>3</v>
      </c>
      <c r="G23" s="9" t="s">
        <v>10</v>
      </c>
      <c r="H23" s="9" t="s">
        <v>53</v>
      </c>
      <c r="I23" s="15">
        <v>337939469.58999997</v>
      </c>
      <c r="J23" s="15">
        <v>39011021845.82</v>
      </c>
      <c r="K23" s="10">
        <f t="shared" si="1"/>
        <v>8.6626664363115089E-3</v>
      </c>
      <c r="L23" s="16">
        <v>8.6999999999999994E-3</v>
      </c>
      <c r="M23" s="9" t="str">
        <f t="shared" si="2"/>
        <v>Sim</v>
      </c>
      <c r="N23" s="16">
        <v>1.2999999999999999E-2</v>
      </c>
      <c r="O23" s="16">
        <v>1.24E-2</v>
      </c>
      <c r="P23" s="16">
        <v>1.17E-2</v>
      </c>
      <c r="Q23" s="15">
        <v>507143284</v>
      </c>
      <c r="R23" s="15">
        <v>481786119.80000001</v>
      </c>
      <c r="S23" s="15">
        <v>456428955.60000002</v>
      </c>
      <c r="T23" s="9" t="str">
        <f t="shared" si="3"/>
        <v>Abaixo do limite de alerta</v>
      </c>
      <c r="U23" s="9" t="s">
        <v>47</v>
      </c>
    </row>
    <row r="24" spans="1:21" x14ac:dyDescent="0.25">
      <c r="A24" s="9" t="str">
        <f t="shared" si="0"/>
        <v>Tribunal de Contas|1º quad. 2026</v>
      </c>
      <c r="B24" s="9" t="s">
        <v>19</v>
      </c>
      <c r="C24" s="9" t="s">
        <v>19</v>
      </c>
      <c r="D24" s="9" t="s">
        <v>58</v>
      </c>
      <c r="E24" s="9" t="s">
        <v>54</v>
      </c>
      <c r="F24" s="9">
        <v>1</v>
      </c>
      <c r="G24" s="9" t="s">
        <v>11</v>
      </c>
      <c r="H24" s="9" t="s">
        <v>55</v>
      </c>
      <c r="I24" s="15">
        <v>334173177.24000001</v>
      </c>
      <c r="J24" s="15">
        <v>40291077155.510002</v>
      </c>
      <c r="K24" s="10">
        <f t="shared" si="1"/>
        <v>8.2939747664279116E-3</v>
      </c>
      <c r="L24" s="16">
        <v>8.3000000000000001E-3</v>
      </c>
      <c r="M24" s="9" t="str">
        <f t="shared" si="2"/>
        <v>Sim</v>
      </c>
      <c r="N24" s="16">
        <v>1.2999999999999999E-2</v>
      </c>
      <c r="O24" s="16">
        <v>1.24E-2</v>
      </c>
      <c r="P24" s="16">
        <v>1.17E-2</v>
      </c>
      <c r="Q24" s="15">
        <v>523784003.01999998</v>
      </c>
      <c r="R24" s="15">
        <v>497594802.87</v>
      </c>
      <c r="S24" s="15">
        <v>471405602.72000003</v>
      </c>
      <c r="T24" s="9" t="str">
        <f t="shared" si="3"/>
        <v>Abaixo do limite de alerta</v>
      </c>
      <c r="U24" s="9" t="s">
        <v>47</v>
      </c>
    </row>
    <row r="25" spans="1:21" x14ac:dyDescent="0.25">
      <c r="A25" s="9" t="str">
        <f t="shared" si="0"/>
        <v>Tribunal de Contas|2º quad. 2026</v>
      </c>
      <c r="B25" s="9" t="s">
        <v>19</v>
      </c>
      <c r="C25" s="9" t="s">
        <v>19</v>
      </c>
      <c r="D25" s="9" t="s">
        <v>58</v>
      </c>
      <c r="E25" s="9" t="s">
        <v>54</v>
      </c>
      <c r="F25" s="9">
        <v>2</v>
      </c>
      <c r="G25" s="9" t="s">
        <v>12</v>
      </c>
      <c r="H25" s="9" t="s">
        <v>56</v>
      </c>
      <c r="I25" s="15">
        <v>338506256.04000002</v>
      </c>
      <c r="J25" s="15">
        <v>41899183021.709999</v>
      </c>
      <c r="K25" s="10">
        <f t="shared" si="1"/>
        <v>8.0790657866670942E-3</v>
      </c>
      <c r="L25" s="16">
        <v>8.1000000000000013E-3</v>
      </c>
      <c r="M25" s="9" t="str">
        <f t="shared" si="2"/>
        <v>Sim</v>
      </c>
      <c r="N25" s="16">
        <v>1.2999999999999999E-2</v>
      </c>
      <c r="O25" s="16">
        <v>1.24E-2</v>
      </c>
      <c r="P25" s="16">
        <v>1.17E-2</v>
      </c>
      <c r="Q25" s="15">
        <v>544689379.27999997</v>
      </c>
      <c r="R25" s="15">
        <v>517454910.31999999</v>
      </c>
      <c r="S25" s="15">
        <v>490220441.35000002</v>
      </c>
      <c r="T25" s="9" t="str">
        <f t="shared" si="3"/>
        <v>Abaixo do limite de alerta</v>
      </c>
      <c r="U25" s="9" t="s">
        <v>47</v>
      </c>
    </row>
    <row r="26" spans="1:21" x14ac:dyDescent="0.25">
      <c r="A26" s="9" t="str">
        <f t="shared" si="0"/>
        <v>Defensoria Pública|1º quad. 2024</v>
      </c>
      <c r="B26" s="9" t="s">
        <v>20</v>
      </c>
      <c r="C26" s="9" t="s">
        <v>20</v>
      </c>
      <c r="D26" s="9" t="s">
        <v>59</v>
      </c>
      <c r="E26" s="9" t="s">
        <v>45</v>
      </c>
      <c r="F26" s="9">
        <v>1</v>
      </c>
      <c r="G26" s="9" t="s">
        <v>5</v>
      </c>
      <c r="H26" s="9" t="s">
        <v>46</v>
      </c>
      <c r="I26" s="15">
        <v>245366876.41999999</v>
      </c>
      <c r="J26" s="15">
        <v>34631623929.480003</v>
      </c>
      <c r="K26" s="10">
        <f t="shared" si="1"/>
        <v>7.085052578522967E-3</v>
      </c>
      <c r="L26" s="10"/>
      <c r="M26" s="9" t="str">
        <f t="shared" si="2"/>
        <v>Não declarado</v>
      </c>
      <c r="N26" s="10"/>
      <c r="O26" s="10"/>
      <c r="P26" s="10"/>
      <c r="Q26" s="17"/>
      <c r="R26" s="17"/>
      <c r="S26" s="17"/>
      <c r="T26" s="9" t="str">
        <f t="shared" si="3"/>
        <v>Sem limite próprio na LRF</v>
      </c>
      <c r="U26" s="9" t="s">
        <v>60</v>
      </c>
    </row>
    <row r="27" spans="1:21" x14ac:dyDescent="0.25">
      <c r="A27" s="9" t="str">
        <f t="shared" si="0"/>
        <v>Defensoria Pública|2º quad. 2024</v>
      </c>
      <c r="B27" s="9" t="s">
        <v>20</v>
      </c>
      <c r="C27" s="9" t="s">
        <v>20</v>
      </c>
      <c r="D27" s="9" t="s">
        <v>59</v>
      </c>
      <c r="E27" s="9" t="s">
        <v>45</v>
      </c>
      <c r="F27" s="9">
        <v>2</v>
      </c>
      <c r="G27" s="9" t="s">
        <v>6</v>
      </c>
      <c r="H27" s="9" t="s">
        <v>48</v>
      </c>
      <c r="I27" s="15">
        <v>254027976.72999999</v>
      </c>
      <c r="J27" s="15">
        <v>35720272297.620003</v>
      </c>
      <c r="K27" s="10">
        <f t="shared" si="1"/>
        <v>7.1115912726937847E-3</v>
      </c>
      <c r="L27" s="10"/>
      <c r="M27" s="9" t="str">
        <f t="shared" si="2"/>
        <v>Não declarado</v>
      </c>
      <c r="N27" s="10"/>
      <c r="O27" s="10"/>
      <c r="P27" s="10"/>
      <c r="Q27" s="17"/>
      <c r="R27" s="17"/>
      <c r="S27" s="17"/>
      <c r="T27" s="9" t="str">
        <f t="shared" si="3"/>
        <v>Sem limite próprio na LRF</v>
      </c>
      <c r="U27" s="9" t="s">
        <v>60</v>
      </c>
    </row>
    <row r="28" spans="1:21" x14ac:dyDescent="0.25">
      <c r="A28" s="9" t="str">
        <f t="shared" si="0"/>
        <v>Defensoria Pública|3º quad. 2024</v>
      </c>
      <c r="B28" s="9" t="s">
        <v>20</v>
      </c>
      <c r="C28" s="9" t="s">
        <v>20</v>
      </c>
      <c r="D28" s="9" t="s">
        <v>59</v>
      </c>
      <c r="E28" s="9" t="s">
        <v>45</v>
      </c>
      <c r="F28" s="9">
        <v>3</v>
      </c>
      <c r="G28" s="9" t="s">
        <v>7</v>
      </c>
      <c r="H28" s="9" t="s">
        <v>49</v>
      </c>
      <c r="I28" s="15">
        <v>263443106.84</v>
      </c>
      <c r="J28" s="15">
        <v>35826652617.080002</v>
      </c>
      <c r="K28" s="10">
        <f t="shared" si="1"/>
        <v>7.3532715896099683E-3</v>
      </c>
      <c r="L28" s="10"/>
      <c r="M28" s="9" t="str">
        <f t="shared" si="2"/>
        <v>Não declarado</v>
      </c>
      <c r="N28" s="10"/>
      <c r="O28" s="10"/>
      <c r="P28" s="10"/>
      <c r="Q28" s="17"/>
      <c r="R28" s="17"/>
      <c r="S28" s="17"/>
      <c r="T28" s="9" t="str">
        <f t="shared" si="3"/>
        <v>Sem limite próprio na LRF</v>
      </c>
      <c r="U28" s="9" t="s">
        <v>60</v>
      </c>
    </row>
    <row r="29" spans="1:21" x14ac:dyDescent="0.25">
      <c r="A29" s="9" t="str">
        <f t="shared" si="0"/>
        <v>Defensoria Pública|1º quad. 2025</v>
      </c>
      <c r="B29" s="9" t="s">
        <v>20</v>
      </c>
      <c r="C29" s="9" t="s">
        <v>20</v>
      </c>
      <c r="D29" s="9" t="s">
        <v>59</v>
      </c>
      <c r="E29" s="9" t="s">
        <v>50</v>
      </c>
      <c r="F29" s="9">
        <v>1</v>
      </c>
      <c r="G29" s="9" t="s">
        <v>8</v>
      </c>
      <c r="H29" s="9" t="s">
        <v>51</v>
      </c>
      <c r="I29" s="15">
        <v>275371855.42000002</v>
      </c>
      <c r="J29" s="15">
        <v>36419369398.139999</v>
      </c>
      <c r="K29" s="10">
        <f t="shared" si="1"/>
        <v>7.5611373829570956E-3</v>
      </c>
      <c r="L29" s="10"/>
      <c r="M29" s="9" t="str">
        <f t="shared" si="2"/>
        <v>Não declarado</v>
      </c>
      <c r="N29" s="10"/>
      <c r="O29" s="10"/>
      <c r="P29" s="10"/>
      <c r="Q29" s="17"/>
      <c r="R29" s="17"/>
      <c r="S29" s="17"/>
      <c r="T29" s="9" t="str">
        <f t="shared" si="3"/>
        <v>Sem limite próprio na LRF</v>
      </c>
      <c r="U29" s="9" t="s">
        <v>60</v>
      </c>
    </row>
    <row r="30" spans="1:21" x14ac:dyDescent="0.25">
      <c r="A30" s="9" t="str">
        <f t="shared" si="0"/>
        <v>Defensoria Pública|2º quad. 2025</v>
      </c>
      <c r="B30" s="9" t="s">
        <v>20</v>
      </c>
      <c r="C30" s="9" t="s">
        <v>20</v>
      </c>
      <c r="D30" s="9" t="s">
        <v>59</v>
      </c>
      <c r="E30" s="9" t="s">
        <v>50</v>
      </c>
      <c r="F30" s="9">
        <v>2</v>
      </c>
      <c r="G30" s="9" t="s">
        <v>9</v>
      </c>
      <c r="H30" s="9" t="s">
        <v>52</v>
      </c>
      <c r="I30" s="15">
        <v>286747935.18000001</v>
      </c>
      <c r="J30" s="15">
        <v>37607023361.949997</v>
      </c>
      <c r="K30" s="10">
        <f t="shared" si="1"/>
        <v>7.6248506142106848E-3</v>
      </c>
      <c r="L30" s="10"/>
      <c r="M30" s="9" t="str">
        <f t="shared" si="2"/>
        <v>Não declarado</v>
      </c>
      <c r="N30" s="10"/>
      <c r="O30" s="10"/>
      <c r="P30" s="10"/>
      <c r="Q30" s="17"/>
      <c r="R30" s="17"/>
      <c r="S30" s="17"/>
      <c r="T30" s="9" t="str">
        <f t="shared" si="3"/>
        <v>Sem limite próprio na LRF</v>
      </c>
      <c r="U30" s="9" t="s">
        <v>60</v>
      </c>
    </row>
    <row r="31" spans="1:21" x14ac:dyDescent="0.25">
      <c r="A31" s="9" t="str">
        <f t="shared" si="0"/>
        <v>Defensoria Pública|3º quad. 2025</v>
      </c>
      <c r="B31" s="9" t="s">
        <v>20</v>
      </c>
      <c r="C31" s="9" t="s">
        <v>20</v>
      </c>
      <c r="D31" s="9" t="s">
        <v>59</v>
      </c>
      <c r="E31" s="9" t="s">
        <v>50</v>
      </c>
      <c r="F31" s="9">
        <v>3</v>
      </c>
      <c r="G31" s="9" t="s">
        <v>10</v>
      </c>
      <c r="H31" s="9" t="s">
        <v>53</v>
      </c>
      <c r="I31" s="15">
        <v>293732977.99000001</v>
      </c>
      <c r="J31" s="15">
        <v>39011021845.82</v>
      </c>
      <c r="K31" s="10">
        <f t="shared" si="1"/>
        <v>7.5294869011864468E-3</v>
      </c>
      <c r="L31" s="10"/>
      <c r="M31" s="9" t="str">
        <f t="shared" si="2"/>
        <v>Não declarado</v>
      </c>
      <c r="N31" s="10"/>
      <c r="O31" s="10"/>
      <c r="P31" s="10"/>
      <c r="Q31" s="17"/>
      <c r="R31" s="17"/>
      <c r="S31" s="17"/>
      <c r="T31" s="9" t="str">
        <f t="shared" si="3"/>
        <v>Sem limite próprio na LRF</v>
      </c>
      <c r="U31" s="9" t="s">
        <v>60</v>
      </c>
    </row>
    <row r="32" spans="1:21" x14ac:dyDescent="0.25">
      <c r="A32" s="9" t="str">
        <f t="shared" si="0"/>
        <v>Defensoria Pública|1º quad. 2026</v>
      </c>
      <c r="B32" s="9" t="s">
        <v>20</v>
      </c>
      <c r="C32" s="9" t="s">
        <v>20</v>
      </c>
      <c r="D32" s="9" t="s">
        <v>59</v>
      </c>
      <c r="E32" s="9" t="s">
        <v>54</v>
      </c>
      <c r="F32" s="9">
        <v>1</v>
      </c>
      <c r="G32" s="9" t="s">
        <v>11</v>
      </c>
      <c r="H32" s="9" t="s">
        <v>55</v>
      </c>
      <c r="I32" s="15">
        <v>306281359.19999999</v>
      </c>
      <c r="J32" s="15">
        <v>40291077155.510002</v>
      </c>
      <c r="K32" s="10">
        <f t="shared" si="1"/>
        <v>7.6017168272234812E-3</v>
      </c>
      <c r="L32" s="10"/>
      <c r="M32" s="9" t="str">
        <f t="shared" si="2"/>
        <v>Não declarado</v>
      </c>
      <c r="N32" s="10"/>
      <c r="O32" s="10"/>
      <c r="P32" s="10"/>
      <c r="Q32" s="17"/>
      <c r="R32" s="17"/>
      <c r="S32" s="17"/>
      <c r="T32" s="9" t="str">
        <f t="shared" si="3"/>
        <v>Sem limite próprio na LRF</v>
      </c>
      <c r="U32" s="9" t="s">
        <v>60</v>
      </c>
    </row>
    <row r="33" spans="1:21" x14ac:dyDescent="0.25">
      <c r="A33" s="9" t="str">
        <f t="shared" si="0"/>
        <v>Defensoria Pública|2º quad. 2026</v>
      </c>
      <c r="B33" s="9" t="s">
        <v>20</v>
      </c>
      <c r="C33" s="9" t="s">
        <v>20</v>
      </c>
      <c r="D33" s="9" t="s">
        <v>59</v>
      </c>
      <c r="E33" s="9" t="s">
        <v>54</v>
      </c>
      <c r="F33" s="9">
        <v>2</v>
      </c>
      <c r="G33" s="9" t="s">
        <v>12</v>
      </c>
      <c r="H33" s="9" t="s">
        <v>56</v>
      </c>
      <c r="I33" s="15">
        <v>309862076.69</v>
      </c>
      <c r="J33" s="15">
        <v>41899183021.709999</v>
      </c>
      <c r="K33" s="10">
        <f t="shared" si="1"/>
        <v>7.3954204913600687E-3</v>
      </c>
      <c r="L33" s="10"/>
      <c r="M33" s="9" t="str">
        <f t="shared" si="2"/>
        <v>Não declarado</v>
      </c>
      <c r="N33" s="10"/>
      <c r="O33" s="10"/>
      <c r="P33" s="10"/>
      <c r="Q33" s="17"/>
      <c r="R33" s="17"/>
      <c r="S33" s="17"/>
      <c r="T33" s="9" t="str">
        <f t="shared" si="3"/>
        <v>Sem limite próprio na LRF</v>
      </c>
      <c r="U33" s="9" t="s">
        <v>60</v>
      </c>
    </row>
  </sheetData>
  <autoFilter ref="A1:U33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61</v>
      </c>
    </row>
    <row r="3" spans="1:2" ht="30" customHeight="1" x14ac:dyDescent="0.25">
      <c r="A3" s="18" t="s">
        <v>62</v>
      </c>
      <c r="B3" s="19" t="s">
        <v>63</v>
      </c>
    </row>
    <row r="4" spans="1:2" ht="30" customHeight="1" x14ac:dyDescent="0.25">
      <c r="A4" s="18" t="s">
        <v>64</v>
      </c>
      <c r="B4" s="19" t="s">
        <v>65</v>
      </c>
    </row>
    <row r="5" spans="1:2" ht="30" customHeight="1" x14ac:dyDescent="0.25">
      <c r="A5" s="18" t="s">
        <v>66</v>
      </c>
      <c r="B5" s="19" t="s">
        <v>67</v>
      </c>
    </row>
    <row r="6" spans="1:2" ht="30" customHeight="1" x14ac:dyDescent="0.25">
      <c r="A6" s="18" t="s">
        <v>68</v>
      </c>
      <c r="B6" s="19" t="s">
        <v>69</v>
      </c>
    </row>
    <row r="7" spans="1:2" ht="30" customHeight="1" x14ac:dyDescent="0.25">
      <c r="A7" s="18" t="s">
        <v>70</v>
      </c>
      <c r="B7" s="19" t="s">
        <v>71</v>
      </c>
    </row>
    <row r="8" spans="1:2" ht="60" customHeight="1" x14ac:dyDescent="0.25">
      <c r="A8" s="18" t="s">
        <v>72</v>
      </c>
      <c r="B8" s="19" t="s">
        <v>73</v>
      </c>
    </row>
    <row r="9" spans="1:2" ht="45" customHeight="1" x14ac:dyDescent="0.25">
      <c r="A9" s="18" t="s">
        <v>74</v>
      </c>
      <c r="B9" s="19" t="s">
        <v>75</v>
      </c>
    </row>
    <row r="10" spans="1:2" ht="15" customHeight="1" x14ac:dyDescent="0.25">
      <c r="A10" s="18" t="s">
        <v>76</v>
      </c>
      <c r="B10" s="19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2026-10-15T09:56:21Z</dcterms:created>
  <dcterms:modified xsi:type="dcterms:W3CDTF">2026-10-15T09:56:53Z</dcterms:modified>
</cp:coreProperties>
</file>