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7894FD6BFD16FA71A5FDA072A4C8551F97071E52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K30" i="2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M43" i="2" l="1"/>
  <c r="T43" i="2"/>
  <c r="M30" i="2"/>
  <c r="T30" i="2"/>
  <c r="M24" i="2"/>
  <c r="T24" i="2"/>
  <c r="T11" i="2"/>
  <c r="M11" i="2"/>
  <c r="T49" i="2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M33" i="2"/>
  <c r="T33" i="2"/>
  <c r="M32" i="2"/>
  <c r="T32" i="2"/>
  <c r="M31" i="2"/>
  <c r="T31" i="2"/>
  <c r="M29" i="2"/>
  <c r="T29" i="2"/>
  <c r="M28" i="2"/>
  <c r="T28" i="2"/>
  <c r="M27" i="2"/>
  <c r="T27" i="2"/>
  <c r="M26" i="2"/>
  <c r="T26" i="2"/>
  <c r="M25" i="2"/>
  <c r="T25" i="2"/>
  <c r="M23" i="2"/>
  <c r="T23" i="2"/>
  <c r="M22" i="2"/>
  <c r="T22" i="2"/>
  <c r="M21" i="2"/>
  <c r="T21" i="2"/>
  <c r="M20" i="2"/>
  <c r="T20" i="2"/>
  <c r="M19" i="2"/>
  <c r="T19" i="2"/>
  <c r="T18" i="2"/>
  <c r="M18" i="2"/>
  <c r="M17" i="2"/>
  <c r="T17" i="2"/>
  <c r="M16" i="2"/>
  <c r="T16" i="2"/>
  <c r="M15" i="2"/>
  <c r="T15" i="2"/>
  <c r="M14" i="2"/>
  <c r="T14" i="2"/>
  <c r="M13" i="2"/>
  <c r="T13" i="2"/>
  <c r="T12" i="2"/>
  <c r="M12" i="2"/>
  <c r="T10" i="2"/>
  <c r="M10" i="2"/>
  <c r="T9" i="2"/>
  <c r="L6" i="1" s="1"/>
  <c r="M9" i="2"/>
  <c r="M8" i="2"/>
  <c r="T8" i="2"/>
  <c r="T7" i="2"/>
  <c r="M7" i="2"/>
  <c r="M6" i="2"/>
  <c r="T6" i="2"/>
  <c r="M5" i="2"/>
  <c r="T5" i="2"/>
  <c r="T4" i="2"/>
  <c r="M4" i="2"/>
  <c r="T3" i="2"/>
  <c r="M3" i="2"/>
  <c r="T2" i="2"/>
  <c r="M2" i="2"/>
  <c r="J21" i="1"/>
  <c r="H20" i="1"/>
  <c r="I17" i="1"/>
  <c r="L11" i="1"/>
  <c r="H9" i="1"/>
  <c r="I8" i="1"/>
  <c r="J7" i="1"/>
  <c r="K6" i="1"/>
  <c r="H21" i="1"/>
  <c r="F18" i="1"/>
  <c r="F17" i="1"/>
  <c r="I11" i="1"/>
  <c r="D9" i="1"/>
  <c r="C8" i="1"/>
  <c r="D7" i="1"/>
  <c r="C6" i="1"/>
  <c r="E21" i="1"/>
  <c r="G18" i="1"/>
  <c r="G17" i="1"/>
  <c r="H11" i="1"/>
  <c r="K8" i="1"/>
  <c r="K7" i="1"/>
  <c r="F21" i="1"/>
  <c r="C21" i="1"/>
  <c r="F20" i="1"/>
  <c r="J17" i="1"/>
  <c r="D12" i="1"/>
  <c r="I9" i="1"/>
  <c r="H8" i="1"/>
  <c r="I7" i="1"/>
  <c r="J6" i="1"/>
  <c r="F6" i="1"/>
  <c r="G21" i="1"/>
  <c r="D21" i="1"/>
  <c r="J20" i="1"/>
  <c r="G20" i="1"/>
  <c r="D18" i="1"/>
  <c r="E17" i="1"/>
  <c r="J11" i="1"/>
  <c r="G9" i="1"/>
  <c r="J8" i="1"/>
  <c r="D8" i="1"/>
  <c r="F7" i="1"/>
  <c r="H6" i="1"/>
  <c r="I21" i="1"/>
  <c r="I20" i="1"/>
  <c r="C18" i="1"/>
  <c r="D17" i="1"/>
  <c r="G11" i="1"/>
  <c r="F9" i="1"/>
  <c r="G8" i="1"/>
  <c r="H7" i="1"/>
  <c r="I6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E18" i="1"/>
  <c r="H17" i="1"/>
  <c r="K11" i="1"/>
  <c r="E11" i="1"/>
  <c r="C9" i="1"/>
  <c r="E8" i="1"/>
  <c r="G7" i="1"/>
  <c r="G6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C12" i="1"/>
  <c r="F11" i="1"/>
  <c r="L8" i="1"/>
  <c r="L7" i="1"/>
  <c r="C7" i="1"/>
  <c r="D6" i="1"/>
  <c r="D11" i="1"/>
  <c r="C11" i="1"/>
  <c r="L10" i="1"/>
  <c r="K10" i="1"/>
  <c r="J10" i="1"/>
  <c r="I10" i="1"/>
  <c r="H10" i="1"/>
  <c r="G10" i="1"/>
  <c r="F10" i="1"/>
  <c r="E10" i="1"/>
  <c r="D10" i="1"/>
  <c r="C10" i="1"/>
  <c r="L9" i="1"/>
  <c r="K9" i="1"/>
  <c r="J9" i="1"/>
  <c r="E9" i="1"/>
  <c r="F8" i="1"/>
  <c r="E7" i="1"/>
  <c r="E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<sst xmlns="http://schemas.openxmlformats.org/spreadsheetml/2006/main" count="427" uniqueCount="83">
  <si>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Rondônia (RO)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</si>
  <si>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</si>
  <si>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</si>
  <si>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</si>
  <si>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</si>
  <si>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</si>
  <si>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</si>
  <si>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</si>
  <si>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</si>
  <si>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</si>
  <si>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</si>
  <si>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</si>
  <si>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</si>
  <si>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</si>
  <si>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</si>
  <si>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</si>
  <si>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</si>
  <si>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</si>
  <si>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</si>
  <si>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</si>
  <si>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</si>
  <si>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</si>
  <si>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</si>
  <si>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</si>
  <si>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</si>
  <si>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</si>
  <si>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</si>
  <si>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</si>
  <si>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</si>
  <si>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</si>
  <si>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</si>
  <si>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</si>
  <si>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</si>
  <si>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</si>
  <si>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</si>
  <si>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</si>
  <si>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</si>
  <si>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</si>
  <si>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</si>
  <si>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</si>
  <si>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</si>
  <si>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</si>
  <si>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</si>
  <si>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</si>
  <si>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</si>
  <si>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</si>
  <si>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</si>
  <si>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Rondônia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</si>
  <si>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</si>
  <si>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</si>
  <si>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</si>
  <si>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</si>
  <si>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</si>
  <si>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</si>
  <si>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</si>
  <si>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</si>
  <si>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</si>
  <si>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</si>
  <si>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</si>
  <si>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</si>
  <si>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Rondônia</t>
  </si>
  <si>
    <t>Tribunal de Justiça do Estado de Rondônia</t>
  </si>
  <si>
    <t>Tribunal de Contas do Estado de Rondônia</t>
  </si>
  <si>
    <t>Defensoria Pública do Estado de Rondônia</t>
  </si>
  <si>
    <t>Calculado (despesa líquida / RCL Ajustada do Executivo)</t>
  </si>
  <si>
    <t>Ministério Público do Estado de Rondônia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</si>
  <si>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</si>
  <si>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</si>
  <si>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</si>
  <si>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</si>
  <si>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Rondônia (RO).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</si>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</sst>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0.37859116684531863</v>
      </c>
      <c r="D6" s="7">
        <f>IFERROR(IF(INDEX(Dados!$K$2:$K$49,MATCH($A6&amp;"|"&amp;D$5,Dados!$A$2:$A$49,0))="","",INDEX(Dados!$K$2:$K$49,MATCH($A6&amp;"|"&amp;D$5,Dados!$A$2:$A$49,0))),"")</f>
        <v>0.37110181033789724</v>
      </c>
      <c r="E6" s="7">
        <f>IFERROR(IF(INDEX(Dados!$K$2:$K$49,MATCH($A6&amp;"|"&amp;E$5,Dados!$A$2:$A$49,0))="","",INDEX(Dados!$K$2:$K$49,MATCH($A6&amp;"|"&amp;E$5,Dados!$A$2:$A$49,0))),"")</f>
        <v>0.37407305569767801</v>
      </c>
      <c r="F6" s="7">
        <f>IFERROR(IF(INDEX(Dados!$K$2:$K$49,MATCH($A6&amp;"|"&amp;F$5,Dados!$A$2:$A$49,0))="","",INDEX(Dados!$K$2:$K$49,MATCH($A6&amp;"|"&amp;F$5,Dados!$A$2:$A$49,0))),"")</f>
        <v>0.37702497606085766</v>
      </c>
      <c r="G6" s="7">
        <f>IFERROR(IF(INDEX(Dados!$K$2:$K$49,MATCH($A6&amp;"|"&amp;G$5,Dados!$A$2:$A$49,0))="","",INDEX(Dados!$K$2:$K$49,MATCH($A6&amp;"|"&amp;G$5,Dados!$A$2:$A$49,0))),"")</f>
        <v>0.37553538088594851</v>
      </c>
      <c r="H6" s="7">
        <f>IFERROR(IF(INDEX(Dados!$K$2:$K$49,MATCH($A6&amp;"|"&amp;H$5,Dados!$A$2:$A$49,0))="","",INDEX(Dados!$K$2:$K$49,MATCH($A6&amp;"|"&amp;H$5,Dados!$A$2:$A$49,0))),"")</f>
        <v>0.38493287751172345</v>
      </c>
      <c r="I6" s="7">
        <f>IFERROR(IF(INDEX(Dados!$K$2:$K$49,MATCH($A6&amp;"|"&amp;I$5,Dados!$A$2:$A$49,0))="","",INDEX(Dados!$K$2:$K$49,MATCH($A6&amp;"|"&amp;I$5,Dados!$A$2:$A$49,0))),"")</f>
        <v>0.38816752989832276</v>
      </c>
      <c r="J6" s="7">
        <f>IFERROR(IF(INDEX(Dados!$K$2:$K$49,MATCH($A6&amp;"|"&amp;J$5,Dados!$A$2:$A$49,0))="","",INDEX(Dados!$K$2:$K$49,MATCH($A6&amp;"|"&amp;J$5,Dados!$A$2:$A$49,0))),"")</f>
        <v>0.37919780811590675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1.5509397066774481E-2</v>
      </c>
      <c r="D7" s="10">
        <f>IFERROR(IF(INDEX(Dados!$K$2:$K$49,MATCH($A7&amp;"|"&amp;D$5,Dados!$A$2:$A$49,0))="","",INDEX(Dados!$K$2:$K$49,MATCH($A7&amp;"|"&amp;D$5,Dados!$A$2:$A$49,0))),"")</f>
        <v>1.5495936127546885E-2</v>
      </c>
      <c r="E7" s="10">
        <f>IFERROR(IF(INDEX(Dados!$K$2:$K$49,MATCH($A7&amp;"|"&amp;E$5,Dados!$A$2:$A$49,0))="","",INDEX(Dados!$K$2:$K$49,MATCH($A7&amp;"|"&amp;E$5,Dados!$A$2:$A$49,0))),"")</f>
        <v>1.5520983630612923E-2</v>
      </c>
      <c r="F7" s="10">
        <f>IFERROR(IF(INDEX(Dados!$K$2:$K$49,MATCH($A7&amp;"|"&amp;F$5,Dados!$A$2:$A$49,0))="","",INDEX(Dados!$K$2:$K$49,MATCH($A7&amp;"|"&amp;F$5,Dados!$A$2:$A$49,0))),"")</f>
        <v>1.5599072002554597E-2</v>
      </c>
      <c r="G7" s="10">
        <f>IFERROR(IF(INDEX(Dados!$K$2:$K$49,MATCH($A7&amp;"|"&amp;G$5,Dados!$A$2:$A$49,0))="","",INDEX(Dados!$K$2:$K$49,MATCH($A7&amp;"|"&amp;G$5,Dados!$A$2:$A$49,0))),"")</f>
        <v>1.5699243308550451E-2</v>
      </c>
      <c r="H7" s="10">
        <f>IFERROR(IF(INDEX(Dados!$K$2:$K$49,MATCH($A7&amp;"|"&amp;H$5,Dados!$A$2:$A$49,0))="","",INDEX(Dados!$K$2:$K$49,MATCH($A7&amp;"|"&amp;H$5,Dados!$A$2:$A$49,0))),"")</f>
        <v>1.6760430008351937E-2</v>
      </c>
      <c r="I7" s="10">
        <f>IFERROR(IF(INDEX(Dados!$K$2:$K$49,MATCH($A7&amp;"|"&amp;I$5,Dados!$A$2:$A$49,0))="","",INDEX(Dados!$K$2:$K$49,MATCH($A7&amp;"|"&amp;I$5,Dados!$A$2:$A$49,0))),"")</f>
        <v>1.7308080004949589E-2</v>
      </c>
      <c r="J7" s="10">
        <f>IFERROR(IF(INDEX(Dados!$K$2:$K$49,MATCH($A7&amp;"|"&amp;J$5,Dados!$A$2:$A$49,0))="","",INDEX(Dados!$K$2:$K$49,MATCH($A7&amp;"|"&amp;J$5,Dados!$A$2:$A$49,0))),"")</f>
        <v>1.700601185426549E-2</v>
      </c>
      <c r="K7" s="10">
        <f>IFERROR(IF(INDEX(Dados!$N$2:$N$49,MATCH($A7&amp;"|"&amp;J$5,Dados!$A$2:$A$49,0))=0,"—",INDEX(Dados!$N$2:$N$49,MATCH($A7&amp;"|"&amp;J$5,Dados!$A$2:$A$49,0))),"—")</f>
        <v>1.9599999999999999E-2</v>
      </c>
      <c r="L7" s="9" t="str">
        <f>IFERROR(IF(INDEX(Dados!$T$2:$T$49,MATCH($A7&amp;"|"&amp;J$5,Dados!$A$2:$A$49,0))="","—",INDEX(Dados!$T$2:$T$49,MATCH($A7&amp;"|"&amp;J$5,Dados!$A$2:$A$49,0))),"—")</f>
        <v>Abaixo do limite de alerta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4.6912927654637074E-2</v>
      </c>
      <c r="D8" s="10">
        <f>IFERROR(IF(INDEX(Dados!$K$2:$K$49,MATCH($A8&amp;"|"&amp;D$5,Dados!$A$2:$A$49,0))="","",INDEX(Dados!$K$2:$K$49,MATCH($A8&amp;"|"&amp;D$5,Dados!$A$2:$A$49,0))),"")</f>
        <v>4.6988775972309084E-2</v>
      </c>
      <c r="E8" s="10">
        <f>IFERROR(IF(INDEX(Dados!$K$2:$K$49,MATCH($A8&amp;"|"&amp;E$5,Dados!$A$2:$A$49,0))="","",INDEX(Dados!$K$2:$K$49,MATCH($A8&amp;"|"&amp;E$5,Dados!$A$2:$A$49,0))),"")</f>
        <v>4.8280382381581624E-2</v>
      </c>
      <c r="F8" s="10">
        <f>IFERROR(IF(INDEX(Dados!$K$2:$K$49,MATCH($A8&amp;"|"&amp;F$5,Dados!$A$2:$A$49,0))="","",INDEX(Dados!$K$2:$K$49,MATCH($A8&amp;"|"&amp;F$5,Dados!$A$2:$A$49,0))),"")</f>
        <v>5.0333861593461295E-2</v>
      </c>
      <c r="G8" s="10">
        <f>IFERROR(IF(INDEX(Dados!$K$2:$K$49,MATCH($A8&amp;"|"&amp;G$5,Dados!$A$2:$A$49,0))="","",INDEX(Dados!$K$2:$K$49,MATCH($A8&amp;"|"&amp;G$5,Dados!$A$2:$A$49,0))),"")</f>
        <v>4.9360414092457748E-2</v>
      </c>
      <c r="H8" s="10">
        <f>IFERROR(IF(INDEX(Dados!$K$2:$K$49,MATCH($A8&amp;"|"&amp;H$5,Dados!$A$2:$A$49,0))="","",INDEX(Dados!$K$2:$K$49,MATCH($A8&amp;"|"&amp;H$5,Dados!$A$2:$A$49,0))),"")</f>
        <v>5.0691545984627329E-2</v>
      </c>
      <c r="I8" s="10">
        <f>IFERROR(IF(INDEX(Dados!$K$2:$K$49,MATCH($A8&amp;"|"&amp;I$5,Dados!$A$2:$A$49,0))="","",INDEX(Dados!$K$2:$K$49,MATCH($A8&amp;"|"&amp;I$5,Dados!$A$2:$A$49,0))),"")</f>
        <v>4.9549366200786128E-2</v>
      </c>
      <c r="J8" s="10">
        <f>IFERROR(IF(INDEX(Dados!$K$2:$K$49,MATCH($A8&amp;"|"&amp;J$5,Dados!$A$2:$A$49,0))="","",INDEX(Dados!$K$2:$K$49,MATCH($A8&amp;"|"&amp;J$5,Dados!$A$2:$A$49,0))),"")</f>
        <v>4.6917159876974625E-2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8.0716872693937115E-3</v>
      </c>
      <c r="D9" s="10">
        <f>IFERROR(IF(INDEX(Dados!$K$2:$K$49,MATCH($A9&amp;"|"&amp;D$5,Dados!$A$2:$A$49,0))="","",INDEX(Dados!$K$2:$K$49,MATCH($A9&amp;"|"&amp;D$5,Dados!$A$2:$A$49,0))),"")</f>
        <v>8.0333262128183206E-3</v>
      </c>
      <c r="E9" s="10">
        <f>IFERROR(IF(INDEX(Dados!$K$2:$K$49,MATCH($A9&amp;"|"&amp;E$5,Dados!$A$2:$A$49,0))="","",INDEX(Dados!$K$2:$K$49,MATCH($A9&amp;"|"&amp;E$5,Dados!$A$2:$A$49,0))),"")</f>
        <v>8.0860177089839089E-3</v>
      </c>
      <c r="F9" s="10">
        <f>IFERROR(IF(INDEX(Dados!$K$2:$K$49,MATCH($A9&amp;"|"&amp;F$5,Dados!$A$2:$A$49,0))="","",INDEX(Dados!$K$2:$K$49,MATCH($A9&amp;"|"&amp;F$5,Dados!$A$2:$A$49,0))),"")</f>
        <v>7.909939534180295E-3</v>
      </c>
      <c r="G9" s="10">
        <f>IFERROR(IF(INDEX(Dados!$K$2:$K$49,MATCH($A9&amp;"|"&amp;G$5,Dados!$A$2:$A$49,0))="","",INDEX(Dados!$K$2:$K$49,MATCH($A9&amp;"|"&amp;G$5,Dados!$A$2:$A$49,0))),"")</f>
        <v>7.7737034793786703E-3</v>
      </c>
      <c r="H9" s="10">
        <f>IFERROR(IF(INDEX(Dados!$K$2:$K$49,MATCH($A9&amp;"|"&amp;H$5,Dados!$A$2:$A$49,0))="","",INDEX(Dados!$K$2:$K$49,MATCH($A9&amp;"|"&amp;H$5,Dados!$A$2:$A$49,0))),"")</f>
        <v>7.6477819065379968E-3</v>
      </c>
      <c r="I9" s="10">
        <f>IFERROR(IF(INDEX(Dados!$K$2:$K$49,MATCH($A9&amp;"|"&amp;I$5,Dados!$A$2:$A$49,0))="","",INDEX(Dados!$K$2:$K$49,MATCH($A9&amp;"|"&amp;I$5,Dados!$A$2:$A$49,0))),"")</f>
        <v>7.5895040839537324E-3</v>
      </c>
      <c r="J9" s="10">
        <f>IFERROR(IF(INDEX(Dados!$K$2:$K$49,MATCH($A9&amp;"|"&amp;J$5,Dados!$A$2:$A$49,0))="","",INDEX(Dados!$K$2:$K$49,MATCH($A9&amp;"|"&amp;J$5,Dados!$A$2:$A$49,0))),"")</f>
        <v>7.177323338228148E-3</v>
      </c>
      <c r="K9" s="10">
        <f>IFERROR(IF(INDEX(Dados!$N$2:$N$49,MATCH($A9&amp;"|"&amp;J$5,Dados!$A$2:$A$49,0))=0,"—",INDEX(Dados!$N$2:$N$49,MATCH($A9&amp;"|"&amp;J$5,Dados!$A$2:$A$49,0))),"—")</f>
        <v>1.04E-2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6.8527628887824878E-3</v>
      </c>
      <c r="D10" s="10">
        <f>IFERROR(IF(INDEX(Dados!$K$2:$K$49,MATCH($A10&amp;"|"&amp;D$5,Dados!$A$2:$A$49,0))="","",INDEX(Dados!$K$2:$K$49,MATCH($A10&amp;"|"&amp;D$5,Dados!$A$2:$A$49,0))),"")</f>
        <v>6.8789868454245621E-3</v>
      </c>
      <c r="E10" s="10">
        <f>IFERROR(IF(INDEX(Dados!$K$2:$K$49,MATCH($A10&amp;"|"&amp;E$5,Dados!$A$2:$A$49,0))="","",INDEX(Dados!$K$2:$K$49,MATCH($A10&amp;"|"&amp;E$5,Dados!$A$2:$A$49,0))),"")</f>
        <v>7.1718499605528353E-3</v>
      </c>
      <c r="F10" s="10">
        <f>IFERROR(IF(INDEX(Dados!$K$2:$K$49,MATCH($A10&amp;"|"&amp;F$5,Dados!$A$2:$A$49,0))="","",INDEX(Dados!$K$2:$K$49,MATCH($A10&amp;"|"&amp;F$5,Dados!$A$2:$A$49,0))),"")</f>
        <v>7.0029740988126199E-3</v>
      </c>
      <c r="G10" s="10">
        <f>IFERROR(IF(INDEX(Dados!$K$2:$K$49,MATCH($A10&amp;"|"&amp;G$5,Dados!$A$2:$A$49,0))="","",INDEX(Dados!$K$2:$K$49,MATCH($A10&amp;"|"&amp;G$5,Dados!$A$2:$A$49,0))),"")</f>
        <v>7.2469885375194892E-3</v>
      </c>
      <c r="H10" s="10">
        <f>IFERROR(IF(INDEX(Dados!$K$2:$K$49,MATCH($A10&amp;"|"&amp;H$5,Dados!$A$2:$A$49,0))="","",INDEX(Dados!$K$2:$K$49,MATCH($A10&amp;"|"&amp;H$5,Dados!$A$2:$A$49,0))),"")</f>
        <v>7.5828798496883872E-3</v>
      </c>
      <c r="I10" s="10">
        <f>IFERROR(IF(INDEX(Dados!$K$2:$K$49,MATCH($A10&amp;"|"&amp;I$5,Dados!$A$2:$A$49,0))="","",INDEX(Dados!$K$2:$K$49,MATCH($A10&amp;"|"&amp;I$5,Dados!$A$2:$A$49,0))),"")</f>
        <v>7.7714883254929815E-3</v>
      </c>
      <c r="J10" s="10">
        <f>IFERROR(IF(INDEX(Dados!$K$2:$K$49,MATCH($A10&amp;"|"&amp;J$5,Dados!$A$2:$A$49,0))="","",INDEX(Dados!$K$2:$K$49,MATCH($A10&amp;"|"&amp;J$5,Dados!$A$2:$A$49,0))),"")</f>
        <v>7.0796477738971388E-3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1.3747479627668665E-2</v>
      </c>
      <c r="D11" s="10">
        <f>IFERROR(IF(INDEX(Dados!$K$2:$K$49,MATCH($A11&amp;"|"&amp;D$5,Dados!$A$2:$A$49,0))="","",INDEX(Dados!$K$2:$K$49,MATCH($A11&amp;"|"&amp;D$5,Dados!$A$2:$A$49,0))),"")</f>
        <v>1.3497224229022992E-2</v>
      </c>
      <c r="E11" s="10">
        <f>IFERROR(IF(INDEX(Dados!$K$2:$K$49,MATCH($A11&amp;"|"&amp;E$5,Dados!$A$2:$A$49,0))="","",INDEX(Dados!$K$2:$K$49,MATCH($A11&amp;"|"&amp;E$5,Dados!$A$2:$A$49,0))),"")</f>
        <v>1.3525172803785535E-2</v>
      </c>
      <c r="F11" s="10">
        <f>IFERROR(IF(INDEX(Dados!$K$2:$K$49,MATCH($A11&amp;"|"&amp;F$5,Dados!$A$2:$A$49,0))="","",INDEX(Dados!$K$2:$K$49,MATCH($A11&amp;"|"&amp;F$5,Dados!$A$2:$A$49,0))),"")</f>
        <v>1.3343604537579257E-2</v>
      </c>
      <c r="G11" s="10">
        <f>IFERROR(IF(INDEX(Dados!$K$2:$K$49,MATCH($A11&amp;"|"&amp;G$5,Dados!$A$2:$A$49,0))="","",INDEX(Dados!$K$2:$K$49,MATCH($A11&amp;"|"&amp;G$5,Dados!$A$2:$A$49,0))),"")</f>
        <v>1.3139130142490999E-2</v>
      </c>
      <c r="H11" s="10">
        <f>IFERROR(IF(INDEX(Dados!$K$2:$K$49,MATCH($A11&amp;"|"&amp;H$5,Dados!$A$2:$A$49,0))="","",INDEX(Dados!$K$2:$K$49,MATCH($A11&amp;"|"&amp;H$5,Dados!$A$2:$A$49,0))),"")</f>
        <v>1.3060731608008138E-2</v>
      </c>
      <c r="I11" s="10">
        <f>IFERROR(IF(INDEX(Dados!$K$2:$K$49,MATCH($A11&amp;"|"&amp;I$5,Dados!$A$2:$A$49,0))="","",INDEX(Dados!$K$2:$K$49,MATCH($A11&amp;"|"&amp;I$5,Dados!$A$2:$A$49,0))),"")</f>
        <v>1.3067558721257514E-2</v>
      </c>
      <c r="J11" s="10">
        <f>IFERROR(IF(INDEX(Dados!$K$2:$K$49,MATCH($A11&amp;"|"&amp;J$5,Dados!$A$2:$A$49,0))="","",INDEX(Dados!$K$2:$K$49,MATCH($A11&amp;"|"&amp;J$5,Dados!$A$2:$A$49,0))),"")</f>
        <v>1.2623770131850159E-2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13124.50510833</v>
      </c>
      <c r="D12" s="12">
        <f>IFERROR(INDEX(Dados!$J$2:$J$49,MATCH("Governo|"&amp;D$5,Dados!$A$2:$A$49,0))/1000000,"")</f>
        <v>13715.01726199</v>
      </c>
      <c r="E12" s="12">
        <f>IFERROR(INDEX(Dados!$J$2:$J$49,MATCH("Governo|"&amp;E$5,Dados!$A$2:$A$49,0))/1000000,"")</f>
        <v>14190.334424139999</v>
      </c>
      <c r="F12" s="12">
        <f>IFERROR(INDEX(Dados!$J$2:$J$49,MATCH("Governo|"&amp;F$5,Dados!$A$2:$A$49,0))/1000000,"")</f>
        <v>14631.65401074</v>
      </c>
      <c r="G12" s="12">
        <f>IFERROR(INDEX(Dados!$J$2:$J$49,MATCH("Governo|"&amp;G$5,Dados!$A$2:$A$49,0))/1000000,"")</f>
        <v>15275.356745340001</v>
      </c>
      <c r="H12" s="12">
        <f>IFERROR(INDEX(Dados!$J$2:$J$49,MATCH("Governo|"&amp;H$5,Dados!$A$2:$A$49,0))/1000000,"")</f>
        <v>15800.58090264</v>
      </c>
      <c r="I12" s="12">
        <f>IFERROR(INDEX(Dados!$J$2:$J$49,MATCH("Governo|"&amp;I$5,Dados!$A$2:$A$49,0))/1000000,"")</f>
        <v>16275.323813469999</v>
      </c>
      <c r="J12" s="12">
        <f>IFERROR(INDEX(Dados!$J$2:$J$49,MATCH("Governo|"&amp;J$5,Dados!$A$2:$A$49,0))/1000000,"")</f>
        <v>17349.092801319999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4968.8217032299999</v>
      </c>
      <c r="D16" s="13">
        <f>IFERROR(IF(INDEX(Dados!$I$2:$I$49,MATCH($A16&amp;"|"&amp;D$15,Dados!$A$2:$A$49,0))="","",INDEX(Dados!$I$2:$I$49,MATCH($A16&amp;"|"&amp;D$15,Dados!$A$2:$A$49,0))/1000000),"")</f>
        <v>5089.66773474</v>
      </c>
      <c r="E16" s="13">
        <f>IFERROR(IF(INDEX(Dados!$I$2:$I$49,MATCH($A16&amp;"|"&amp;E$15,Dados!$A$2:$A$49,0))="","",INDEX(Dados!$I$2:$I$49,MATCH($A16&amp;"|"&amp;E$15,Dados!$A$2:$A$49,0))/1000000),"")</f>
        <v>5308.2217594100002</v>
      </c>
      <c r="F16" s="13">
        <f>IFERROR(IF(INDEX(Dados!$I$2:$I$49,MATCH($A16&amp;"|"&amp;F$15,Dados!$A$2:$A$49,0))="","",INDEX(Dados!$I$2:$I$49,MATCH($A16&amp;"|"&amp;F$15,Dados!$A$2:$A$49,0))/1000000),"")</f>
        <v>5516.4990031300003</v>
      </c>
      <c r="G16" s="13">
        <f>IFERROR(IF(INDEX(Dados!$I$2:$I$49,MATCH($A16&amp;"|"&amp;G$15,Dados!$A$2:$A$49,0))="","",INDEX(Dados!$I$2:$I$49,MATCH($A16&amp;"|"&amp;G$15,Dados!$A$2:$A$49,0))/1000000),"")</f>
        <v>5736.4369135299994</v>
      </c>
      <c r="H16" s="13">
        <f>IFERROR(IF(INDEX(Dados!$I$2:$I$49,MATCH($A16&amp;"|"&amp;H$15,Dados!$A$2:$A$49,0))="","",INDEX(Dados!$I$2:$I$49,MATCH($A16&amp;"|"&amp;H$15,Dados!$A$2:$A$49,0))/1000000),"")</f>
        <v>6082.1630732100002</v>
      </c>
      <c r="I16" s="13">
        <f>IFERROR(IF(INDEX(Dados!$I$2:$I$49,MATCH($A16&amp;"|"&amp;I$15,Dados!$A$2:$A$49,0))="","",INDEX(Dados!$I$2:$I$49,MATCH($A16&amp;"|"&amp;I$15,Dados!$A$2:$A$49,0))/1000000),"")</f>
        <v>6317.5522429700004</v>
      </c>
      <c r="J16" s="13">
        <f>IFERROR(IF(INDEX(Dados!$I$2:$I$49,MATCH($A16&amp;"|"&amp;J$15,Dados!$A$2:$A$49,0))="","",INDEX(Dados!$I$2:$I$49,MATCH($A16&amp;"|"&amp;J$15,Dados!$A$2:$A$49,0))/1000000),"")</f>
        <v>6578.7379630600008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203.55316103000001</v>
      </c>
      <c r="D17" s="14">
        <f>IFERROR(IF(INDEX(Dados!$I$2:$I$49,MATCH($A17&amp;"|"&amp;D$15,Dados!$A$2:$A$49,0))="","",INDEX(Dados!$I$2:$I$49,MATCH($A17&amp;"|"&amp;D$15,Dados!$A$2:$A$49,0))/1000000),"")</f>
        <v>212.52703147999998</v>
      </c>
      <c r="E17" s="14">
        <f>IFERROR(IF(INDEX(Dados!$I$2:$I$49,MATCH($A17&amp;"|"&amp;E$15,Dados!$A$2:$A$49,0))="","",INDEX(Dados!$I$2:$I$49,MATCH($A17&amp;"|"&amp;E$15,Dados!$A$2:$A$49,0))/1000000),"")</f>
        <v>220.24794831</v>
      </c>
      <c r="F17" s="14">
        <f>IFERROR(IF(INDEX(Dados!$I$2:$I$49,MATCH($A17&amp;"|"&amp;F$15,Dados!$A$2:$A$49,0))="","",INDEX(Dados!$I$2:$I$49,MATCH($A17&amp;"|"&amp;F$15,Dados!$A$2:$A$49,0))/1000000),"")</f>
        <v>228.24022443000001</v>
      </c>
      <c r="G17" s="14">
        <f>IFERROR(IF(INDEX(Dados!$I$2:$I$49,MATCH($A17&amp;"|"&amp;G$15,Dados!$A$2:$A$49,0))="","",INDEX(Dados!$I$2:$I$49,MATCH($A17&amp;"|"&amp;G$15,Dados!$A$2:$A$49,0))/1000000),"")</f>
        <v>239.81154217</v>
      </c>
      <c r="H17" s="14">
        <f>IFERROR(IF(INDEX(Dados!$I$2:$I$49,MATCH($A17&amp;"|"&amp;H$15,Dados!$A$2:$A$49,0))="","",INDEX(Dados!$I$2:$I$49,MATCH($A17&amp;"|"&amp;H$15,Dados!$A$2:$A$49,0))/1000000),"")</f>
        <v>264.82453031</v>
      </c>
      <c r="I17" s="14">
        <f>IFERROR(IF(INDEX(Dados!$I$2:$I$49,MATCH($A17&amp;"|"&amp;I$15,Dados!$A$2:$A$49,0))="","",INDEX(Dados!$I$2:$I$49,MATCH($A17&amp;"|"&amp;I$15,Dados!$A$2:$A$49,0))/1000000),"")</f>
        <v>281.69460667000004</v>
      </c>
      <c r="J17" s="14">
        <f>IFERROR(IF(INDEX(Dados!$I$2:$I$49,MATCH($A17&amp;"|"&amp;J$15,Dados!$A$2:$A$49,0))="","",INDEX(Dados!$I$2:$I$49,MATCH($A17&amp;"|"&amp;J$15,Dados!$A$2:$A$49,0))/1000000),"")</f>
        <v>295.03887784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615.70895865</v>
      </c>
      <c r="D18" s="14">
        <f>IFERROR(IF(INDEX(Dados!$I$2:$I$49,MATCH($A18&amp;"|"&amp;D$15,Dados!$A$2:$A$49,0))="","",INDEX(Dados!$I$2:$I$49,MATCH($A18&amp;"|"&amp;D$15,Dados!$A$2:$A$49,0))/1000000),"")</f>
        <v>644.4518735800001</v>
      </c>
      <c r="E18" s="14">
        <f>IFERROR(IF(INDEX(Dados!$I$2:$I$49,MATCH($A18&amp;"|"&amp;E$15,Dados!$A$2:$A$49,0))="","",INDEX(Dados!$I$2:$I$49,MATCH($A18&amp;"|"&amp;E$15,Dados!$A$2:$A$49,0))/1000000),"")</f>
        <v>685.11477212</v>
      </c>
      <c r="F18" s="14">
        <f>IFERROR(IF(INDEX(Dados!$I$2:$I$49,MATCH($A18&amp;"|"&amp;F$15,Dados!$A$2:$A$49,0))="","",INDEX(Dados!$I$2:$I$49,MATCH($A18&amp;"|"&amp;F$15,Dados!$A$2:$A$49,0))/1000000),"")</f>
        <v>736.46764786000006</v>
      </c>
      <c r="G18" s="14">
        <f>IFERROR(IF(INDEX(Dados!$I$2:$I$49,MATCH($A18&amp;"|"&amp;G$15,Dados!$A$2:$A$49,0))="","",INDEX(Dados!$I$2:$I$49,MATCH($A18&amp;"|"&amp;G$15,Dados!$A$2:$A$49,0))/1000000),"")</f>
        <v>753.99793436000004</v>
      </c>
      <c r="H18" s="14">
        <f>IFERROR(IF(INDEX(Dados!$I$2:$I$49,MATCH($A18&amp;"|"&amp;H$15,Dados!$A$2:$A$49,0))="","",INDEX(Dados!$I$2:$I$49,MATCH($A18&amp;"|"&amp;H$15,Dados!$A$2:$A$49,0))/1000000),"")</f>
        <v>800.95587340999998</v>
      </c>
      <c r="I18" s="14">
        <f>IFERROR(IF(INDEX(Dados!$I$2:$I$49,MATCH($A18&amp;"|"&amp;I$15,Dados!$A$2:$A$49,0))="","",INDEX(Dados!$I$2:$I$49,MATCH($A18&amp;"|"&amp;I$15,Dados!$A$2:$A$49,0))/1000000),"")</f>
        <v>806.43197966999992</v>
      </c>
      <c r="J18" s="14">
        <f>IFERROR(IF(INDEX(Dados!$I$2:$I$49,MATCH($A18&amp;"|"&amp;J$15,Dados!$A$2:$A$49,0))="","",INDEX(Dados!$I$2:$I$49,MATCH($A18&amp;"|"&amp;J$15,Dados!$A$2:$A$49,0))/1000000),"")</f>
        <v>813.97016067999994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105.9369008</v>
      </c>
      <c r="D19" s="14">
        <f>IFERROR(IF(INDEX(Dados!$I$2:$I$49,MATCH($A19&amp;"|"&amp;D$15,Dados!$A$2:$A$49,0))="","",INDEX(Dados!$I$2:$I$49,MATCH($A19&amp;"|"&amp;D$15,Dados!$A$2:$A$49,0))/1000000),"")</f>
        <v>110.17720768000001</v>
      </c>
      <c r="E19" s="14">
        <f>IFERROR(IF(INDEX(Dados!$I$2:$I$49,MATCH($A19&amp;"|"&amp;E$15,Dados!$A$2:$A$49,0))="","",INDEX(Dados!$I$2:$I$49,MATCH($A19&amp;"|"&amp;E$15,Dados!$A$2:$A$49,0))/1000000),"")</f>
        <v>114.74329545000001</v>
      </c>
      <c r="F19" s="14">
        <f>IFERROR(IF(INDEX(Dados!$I$2:$I$49,MATCH($A19&amp;"|"&amp;F$15,Dados!$A$2:$A$49,0))="","",INDEX(Dados!$I$2:$I$49,MATCH($A19&amp;"|"&amp;F$15,Dados!$A$2:$A$49,0))/1000000),"")</f>
        <v>115.73549851</v>
      </c>
      <c r="G19" s="14">
        <f>IFERROR(IF(INDEX(Dados!$I$2:$I$49,MATCH($A19&amp;"|"&amp;G$15,Dados!$A$2:$A$49,0))="","",INDEX(Dados!$I$2:$I$49,MATCH($A19&amp;"|"&amp;G$15,Dados!$A$2:$A$49,0))/1000000),"")</f>
        <v>118.74609387999999</v>
      </c>
      <c r="H19" s="14">
        <f>IFERROR(IF(INDEX(Dados!$I$2:$I$49,MATCH($A19&amp;"|"&amp;H$15,Dados!$A$2:$A$49,0))="","",INDEX(Dados!$I$2:$I$49,MATCH($A19&amp;"|"&amp;H$15,Dados!$A$2:$A$49,0))/1000000),"")</f>
        <v>120.83939674</v>
      </c>
      <c r="I19" s="14">
        <f>IFERROR(IF(INDEX(Dados!$I$2:$I$49,MATCH($A19&amp;"|"&amp;I$15,Dados!$A$2:$A$49,0))="","",INDEX(Dados!$I$2:$I$49,MATCH($A19&amp;"|"&amp;I$15,Dados!$A$2:$A$49,0))/1000000),"")</f>
        <v>123.52163655</v>
      </c>
      <c r="J19" s="14">
        <f>IFERROR(IF(INDEX(Dados!$I$2:$I$49,MATCH($A19&amp;"|"&amp;J$15,Dados!$A$2:$A$49,0))="","",INDEX(Dados!$I$2:$I$49,MATCH($A19&amp;"|"&amp;J$15,Dados!$A$2:$A$49,0))/1000000),"")</f>
        <v>124.52004866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89.939121540000002</v>
      </c>
      <c r="D20" s="14">
        <f>IFERROR(IF(INDEX(Dados!$I$2:$I$49,MATCH($A20&amp;"|"&amp;D$15,Dados!$A$2:$A$49,0))="","",INDEX(Dados!$I$2:$I$49,MATCH($A20&amp;"|"&amp;D$15,Dados!$A$2:$A$49,0))/1000000),"")</f>
        <v>94.345423330000003</v>
      </c>
      <c r="E20" s="14">
        <f>IFERROR(IF(INDEX(Dados!$I$2:$I$49,MATCH($A20&amp;"|"&amp;E$15,Dados!$A$2:$A$49,0))="","",INDEX(Dados!$I$2:$I$49,MATCH($A20&amp;"|"&amp;E$15,Dados!$A$2:$A$49,0))/1000000),"")</f>
        <v>101.77094937999999</v>
      </c>
      <c r="F20" s="14">
        <f>IFERROR(IF(INDEX(Dados!$I$2:$I$49,MATCH($A20&amp;"|"&amp;F$15,Dados!$A$2:$A$49,0))="","",INDEX(Dados!$I$2:$I$49,MATCH($A20&amp;"|"&amp;F$15,Dados!$A$2:$A$49,0))/1000000),"")</f>
        <v>102.46509406</v>
      </c>
      <c r="G20" s="14">
        <f>IFERROR(IF(INDEX(Dados!$I$2:$I$49,MATCH($A20&amp;"|"&amp;G$15,Dados!$A$2:$A$49,0))="","",INDEX(Dados!$I$2:$I$49,MATCH($A20&amp;"|"&amp;G$15,Dados!$A$2:$A$49,0))/1000000),"")</f>
        <v>110.70033524</v>
      </c>
      <c r="H20" s="14">
        <f>IFERROR(IF(INDEX(Dados!$I$2:$I$49,MATCH($A20&amp;"|"&amp;H$15,Dados!$A$2:$A$49,0))="","",INDEX(Dados!$I$2:$I$49,MATCH($A20&amp;"|"&amp;H$15,Dados!$A$2:$A$49,0))/1000000),"")</f>
        <v>119.81390654</v>
      </c>
      <c r="I20" s="14">
        <f>IFERROR(IF(INDEX(Dados!$I$2:$I$49,MATCH($A20&amp;"|"&amp;I$15,Dados!$A$2:$A$49,0))="","",INDEX(Dados!$I$2:$I$49,MATCH($A20&amp;"|"&amp;I$15,Dados!$A$2:$A$49,0))/1000000),"")</f>
        <v>126.48348901</v>
      </c>
      <c r="J20" s="14">
        <f>IFERROR(IF(INDEX(Dados!$I$2:$I$49,MATCH($A20&amp;"|"&amp;J$15,Dados!$A$2:$A$49,0))="","",INDEX(Dados!$I$2:$I$49,MATCH($A20&amp;"|"&amp;J$15,Dados!$A$2:$A$49,0))/1000000),"")</f>
        <v>122.82546623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180.42886659999999</v>
      </c>
      <c r="D21" s="14">
        <f>IFERROR(IF(INDEX(Dados!$I$2:$I$49,MATCH($A21&amp;"|"&amp;D$15,Dados!$A$2:$A$49,0))="","",INDEX(Dados!$I$2:$I$49,MATCH($A21&amp;"|"&amp;D$15,Dados!$A$2:$A$49,0))/1000000),"")</f>
        <v>185.11466328999998</v>
      </c>
      <c r="E21" s="14">
        <f>IFERROR(IF(INDEX(Dados!$I$2:$I$49,MATCH($A21&amp;"|"&amp;E$15,Dados!$A$2:$A$49,0))="","",INDEX(Dados!$I$2:$I$49,MATCH($A21&amp;"|"&amp;E$15,Dados!$A$2:$A$49,0))/1000000),"")</f>
        <v>191.92672522999999</v>
      </c>
      <c r="F21" s="14">
        <f>IFERROR(IF(INDEX(Dados!$I$2:$I$49,MATCH($A21&amp;"|"&amp;F$15,Dados!$A$2:$A$49,0))="","",INDEX(Dados!$I$2:$I$49,MATCH($A21&amp;"|"&amp;F$15,Dados!$A$2:$A$49,0))/1000000),"")</f>
        <v>195.23900484999999</v>
      </c>
      <c r="G21" s="14">
        <f>IFERROR(IF(INDEX(Dados!$I$2:$I$49,MATCH($A21&amp;"|"&amp;G$15,Dados!$A$2:$A$49,0))="","",INDEX(Dados!$I$2:$I$49,MATCH($A21&amp;"|"&amp;G$15,Dados!$A$2:$A$49,0))/1000000),"")</f>
        <v>200.70490025000001</v>
      </c>
      <c r="H21" s="14">
        <f>IFERROR(IF(INDEX(Dados!$I$2:$I$49,MATCH($A21&amp;"|"&amp;H$15,Dados!$A$2:$A$49,0))="","",INDEX(Dados!$I$2:$I$49,MATCH($A21&amp;"|"&amp;H$15,Dados!$A$2:$A$49,0))/1000000),"")</f>
        <v>206.36714641999998</v>
      </c>
      <c r="I21" s="14">
        <f>IFERROR(IF(INDEX(Dados!$I$2:$I$49,MATCH($A21&amp;"|"&amp;I$15,Dados!$A$2:$A$49,0))="","",INDEX(Dados!$I$2:$I$49,MATCH($A21&amp;"|"&amp;I$15,Dados!$A$2:$A$49,0))/1000000),"")</f>
        <v>212.67874963999998</v>
      </c>
      <c r="J21" s="14">
        <f>IFERROR(IF(INDEX(Dados!$I$2:$I$49,MATCH($A21&amp;"|"&amp;J$15,Dados!$A$2:$A$49,0))="","",INDEX(Dados!$I$2:$I$49,MATCH($A21&amp;"|"&amp;J$15,Dados!$A$2:$A$49,0))/1000000),"")</f>
        <v>219.01095952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4968821703.2299995</v>
      </c>
      <c r="J2" s="15">
        <v>13124505108.33</v>
      </c>
      <c r="K2" s="10">
        <f t="shared" ref="K2:K49" si="1">IF(OR(I2="",J2="",J2=0),"",I2/J2)</f>
        <v>0.37859116684531863</v>
      </c>
      <c r="L2" s="16">
        <v>0.37859999999999999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6431007503.0799999</v>
      </c>
      <c r="R2" s="15">
        <v>6109457127.9300003</v>
      </c>
      <c r="S2" s="15">
        <v>5787906752.7700005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5089667734.7399998</v>
      </c>
      <c r="J3" s="15">
        <v>13715017261.99</v>
      </c>
      <c r="K3" s="10">
        <f t="shared" si="1"/>
        <v>0.37110181033789724</v>
      </c>
      <c r="L3" s="16">
        <v>0.37109999999999999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6720358458.3800001</v>
      </c>
      <c r="R3" s="15">
        <v>6384340535.46</v>
      </c>
      <c r="S3" s="15">
        <v>6048322612.54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5308221759.4099998</v>
      </c>
      <c r="J4" s="15">
        <v>14190334424.139999</v>
      </c>
      <c r="K4" s="10">
        <f t="shared" si="1"/>
        <v>0.37407305569767801</v>
      </c>
      <c r="L4" s="16">
        <v>0.37409999999999999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6953263867.8299999</v>
      </c>
      <c r="R4" s="15">
        <v>6605600674.4399996</v>
      </c>
      <c r="S4" s="15">
        <v>6257937481.0500002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5516499003.1300001</v>
      </c>
      <c r="J5" s="15">
        <v>14631654010.74</v>
      </c>
      <c r="K5" s="10">
        <f t="shared" si="1"/>
        <v>0.37702497606085766</v>
      </c>
      <c r="L5" s="16">
        <v>0.377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7169510465.2600002</v>
      </c>
      <c r="R5" s="15">
        <v>6811034942</v>
      </c>
      <c r="S5" s="15">
        <v>6452559418.7299995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5736436913.5299997</v>
      </c>
      <c r="J6" s="15">
        <v>15275356745.34</v>
      </c>
      <c r="K6" s="10">
        <f t="shared" si="1"/>
        <v>0.37553538088594851</v>
      </c>
      <c r="L6" s="16">
        <v>0.37549999999999989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7484924805.2200003</v>
      </c>
      <c r="R6" s="15">
        <v>7110678564.96</v>
      </c>
      <c r="S6" s="15">
        <v>6736432324.6999998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6082163073.21</v>
      </c>
      <c r="J7" s="15">
        <v>15800580902.639999</v>
      </c>
      <c r="K7" s="10">
        <f t="shared" si="1"/>
        <v>0.38493287751172345</v>
      </c>
      <c r="L7" s="16">
        <v>0.38490000000000002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7742284642.29</v>
      </c>
      <c r="R7" s="15">
        <v>7355170410.1800003</v>
      </c>
      <c r="S7" s="15">
        <v>6968056178.0600004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6317552242.9700003</v>
      </c>
      <c r="J8" s="15">
        <v>16275323813.469999</v>
      </c>
      <c r="K8" s="10">
        <f t="shared" si="1"/>
        <v>0.38816752989832276</v>
      </c>
      <c r="L8" s="16">
        <v>0.38819999999999999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7974908668.6000004</v>
      </c>
      <c r="R8" s="15">
        <v>7576163235.1700001</v>
      </c>
      <c r="S8" s="15">
        <v>7177417801.7399998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6578737963.0600004</v>
      </c>
      <c r="J9" s="15">
        <v>17349092801.32</v>
      </c>
      <c r="K9" s="10">
        <f t="shared" si="1"/>
        <v>0.37919780811590675</v>
      </c>
      <c r="L9" s="16">
        <v>0.37919999999999998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8501055472.6499996</v>
      </c>
      <c r="R9" s="15">
        <v>8076002699.0200005</v>
      </c>
      <c r="S9" s="15">
        <v>7650949925.3900003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203553161.03</v>
      </c>
      <c r="J10" s="15">
        <v>13124505108.33</v>
      </c>
      <c r="K10" s="10">
        <f t="shared" si="1"/>
        <v>1.5509397066774481E-2</v>
      </c>
      <c r="L10" s="16">
        <v>1.55E-2</v>
      </c>
      <c r="M10" s="9" t="str">
        <f t="shared" si="2"/>
        <v>Sim</v>
      </c>
      <c r="N10" s="16">
        <v>1.9599999999999999E-2</v>
      </c>
      <c r="O10" s="16">
        <v>1.8599999999999998E-2</v>
      </c>
      <c r="P10" s="16">
        <v>1.7600000000000001E-2</v>
      </c>
      <c r="Q10" s="15">
        <v>257240300.12</v>
      </c>
      <c r="R10" s="15">
        <v>244378285.11000001</v>
      </c>
      <c r="S10" s="15">
        <v>231516270.11000001</v>
      </c>
      <c r="T10" s="9" t="str">
        <f t="shared" si="3"/>
        <v>Abaixo do limite de alerta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212527031.47999999</v>
      </c>
      <c r="J11" s="15">
        <v>13715017261.99</v>
      </c>
      <c r="K11" s="10">
        <f t="shared" si="1"/>
        <v>1.5495936127546885E-2</v>
      </c>
      <c r="L11" s="16">
        <v>1.55E-2</v>
      </c>
      <c r="M11" s="9" t="str">
        <f t="shared" si="2"/>
        <v>Sim</v>
      </c>
      <c r="N11" s="16">
        <v>1.9599999999999999E-2</v>
      </c>
      <c r="O11" s="16">
        <v>1.8599999999999998E-2</v>
      </c>
      <c r="P11" s="16">
        <v>1.7600000000000001E-2</v>
      </c>
      <c r="Q11" s="15">
        <v>268814338.33999997</v>
      </c>
      <c r="R11" s="15">
        <v>255373621.41999999</v>
      </c>
      <c r="S11" s="15">
        <v>241932904.50999999</v>
      </c>
      <c r="T11" s="9" t="str">
        <f t="shared" si="3"/>
        <v>Abaixo do limite de alerta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220247948.31</v>
      </c>
      <c r="J12" s="15">
        <v>14190334424.139999</v>
      </c>
      <c r="K12" s="10">
        <f t="shared" si="1"/>
        <v>1.5520983630612923E-2</v>
      </c>
      <c r="L12" s="16">
        <v>1.55E-2</v>
      </c>
      <c r="M12" s="9" t="str">
        <f t="shared" si="2"/>
        <v>Sim</v>
      </c>
      <c r="N12" s="16">
        <v>1.9599999999999999E-2</v>
      </c>
      <c r="O12" s="16">
        <v>1.8599999999999998E-2</v>
      </c>
      <c r="P12" s="16">
        <v>1.7600000000000001E-2</v>
      </c>
      <c r="Q12" s="15">
        <v>278130554.70999998</v>
      </c>
      <c r="R12" s="15">
        <v>264224026.97</v>
      </c>
      <c r="S12" s="15">
        <v>250317499.24000001</v>
      </c>
      <c r="T12" s="9" t="str">
        <f t="shared" si="3"/>
        <v>Abaixo do limite de alerta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228240224.43000001</v>
      </c>
      <c r="J13" s="15">
        <v>14631654010.74</v>
      </c>
      <c r="K13" s="10">
        <f t="shared" si="1"/>
        <v>1.5599072002554597E-2</v>
      </c>
      <c r="L13" s="16">
        <v>1.5599999999999999E-2</v>
      </c>
      <c r="M13" s="9" t="str">
        <f t="shared" si="2"/>
        <v>Sim</v>
      </c>
      <c r="N13" s="16">
        <v>1.9599999999999999E-2</v>
      </c>
      <c r="O13" s="16">
        <v>1.8599999999999998E-2</v>
      </c>
      <c r="P13" s="16">
        <v>1.7600000000000001E-2</v>
      </c>
      <c r="Q13" s="15">
        <v>286780418.61000001</v>
      </c>
      <c r="R13" s="15">
        <v>272441397.68000001</v>
      </c>
      <c r="S13" s="15">
        <v>258102376.75</v>
      </c>
      <c r="T13" s="9" t="str">
        <f t="shared" si="3"/>
        <v>Abaixo do limite de alerta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239811542.16999999</v>
      </c>
      <c r="J14" s="15">
        <v>15275356745.34</v>
      </c>
      <c r="K14" s="10">
        <f t="shared" si="1"/>
        <v>1.5699243308550451E-2</v>
      </c>
      <c r="L14" s="16">
        <v>1.5699999999999999E-2</v>
      </c>
      <c r="M14" s="9" t="str">
        <f t="shared" si="2"/>
        <v>Sim</v>
      </c>
      <c r="N14" s="16">
        <v>1.9599999999999999E-2</v>
      </c>
      <c r="O14" s="16">
        <v>1.8599999999999998E-2</v>
      </c>
      <c r="P14" s="16">
        <v>1.7600000000000001E-2</v>
      </c>
      <c r="Q14" s="15">
        <v>299396992.20999998</v>
      </c>
      <c r="R14" s="15">
        <v>284427142.60000002</v>
      </c>
      <c r="S14" s="15">
        <v>269457292.99000001</v>
      </c>
      <c r="T14" s="9" t="str">
        <f t="shared" si="3"/>
        <v>Abaixo do limite de alerta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264824530.31</v>
      </c>
      <c r="J15" s="15">
        <v>15800580902.639999</v>
      </c>
      <c r="K15" s="10">
        <f t="shared" si="1"/>
        <v>1.6760430008351937E-2</v>
      </c>
      <c r="L15" s="16">
        <v>1.6799999999999999E-2</v>
      </c>
      <c r="M15" s="9" t="str">
        <f t="shared" si="2"/>
        <v>Sim</v>
      </c>
      <c r="N15" s="16">
        <v>1.9599999999999999E-2</v>
      </c>
      <c r="O15" s="16">
        <v>1.8599999999999998E-2</v>
      </c>
      <c r="P15" s="16">
        <v>1.7600000000000001E-2</v>
      </c>
      <c r="Q15" s="15">
        <v>309691385.69</v>
      </c>
      <c r="R15" s="15">
        <v>294206816.41000003</v>
      </c>
      <c r="S15" s="15">
        <v>278722247.12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281694606.67000002</v>
      </c>
      <c r="J16" s="15">
        <v>16275323813.469999</v>
      </c>
      <c r="K16" s="10">
        <f t="shared" si="1"/>
        <v>1.7308080004949589E-2</v>
      </c>
      <c r="L16" s="16">
        <v>1.7299999999999999E-2</v>
      </c>
      <c r="M16" s="9" t="str">
        <f t="shared" si="2"/>
        <v>Sim</v>
      </c>
      <c r="N16" s="16">
        <v>1.9599999999999999E-2</v>
      </c>
      <c r="O16" s="16">
        <v>1.8599999999999998E-2</v>
      </c>
      <c r="P16" s="16">
        <v>1.7600000000000001E-2</v>
      </c>
      <c r="Q16" s="15">
        <v>318996346.74000001</v>
      </c>
      <c r="R16" s="15">
        <v>303046529.39999998</v>
      </c>
      <c r="S16" s="15">
        <v>287096712.06999999</v>
      </c>
      <c r="T16" s="9" t="str">
        <f t="shared" si="3"/>
        <v>Abaixo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295038877.83999997</v>
      </c>
      <c r="J17" s="15">
        <v>17349092801.32</v>
      </c>
      <c r="K17" s="10">
        <f t="shared" si="1"/>
        <v>1.700601185426549E-2</v>
      </c>
      <c r="L17" s="16">
        <v>1.7000000000000001E-2</v>
      </c>
      <c r="M17" s="9" t="str">
        <f t="shared" si="2"/>
        <v>Sim</v>
      </c>
      <c r="N17" s="16">
        <v>1.9599999999999999E-2</v>
      </c>
      <c r="O17" s="16">
        <v>1.8599999999999998E-2</v>
      </c>
      <c r="P17" s="16">
        <v>1.7600000000000001E-2</v>
      </c>
      <c r="Q17" s="15">
        <v>340042218.91000003</v>
      </c>
      <c r="R17" s="15">
        <v>323040107.95999998</v>
      </c>
      <c r="S17" s="15">
        <v>306037997.01999998</v>
      </c>
      <c r="T17" s="9" t="str">
        <f t="shared" si="3"/>
        <v>Abaixo do limite de alerta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615708958.64999998</v>
      </c>
      <c r="J18" s="15">
        <v>13124505108.33</v>
      </c>
      <c r="K18" s="10">
        <f t="shared" si="1"/>
        <v>4.6912927654637074E-2</v>
      </c>
      <c r="L18" s="16">
        <v>4.6899999999999997E-2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787470306.5</v>
      </c>
      <c r="R18" s="15">
        <v>748096791.17999995</v>
      </c>
      <c r="S18" s="15">
        <v>708723275.85000002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644451873.58000004</v>
      </c>
      <c r="J19" s="15">
        <v>13715017261.99</v>
      </c>
      <c r="K19" s="10">
        <f t="shared" si="1"/>
        <v>4.6988775972309084E-2</v>
      </c>
      <c r="L19" s="16">
        <v>4.7E-2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822901035.72000003</v>
      </c>
      <c r="R19" s="15">
        <v>781755983.92999995</v>
      </c>
      <c r="S19" s="15">
        <v>740610932.14999998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685114772.12</v>
      </c>
      <c r="J20" s="15">
        <v>14190334424.139999</v>
      </c>
      <c r="K20" s="10">
        <f t="shared" si="1"/>
        <v>4.8280382381581624E-2</v>
      </c>
      <c r="L20" s="16">
        <v>4.8300000000000003E-2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851420065.44000006</v>
      </c>
      <c r="R20" s="15">
        <v>808849062.16999996</v>
      </c>
      <c r="S20" s="15">
        <v>766278058.89999998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736467647.86000001</v>
      </c>
      <c r="J21" s="15">
        <v>14631654010.74</v>
      </c>
      <c r="K21" s="10">
        <f t="shared" si="1"/>
        <v>5.0333861593461295E-2</v>
      </c>
      <c r="L21" s="16">
        <v>5.0299999999999997E-2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877899240.63999999</v>
      </c>
      <c r="R21" s="15">
        <v>834004278.61000001</v>
      </c>
      <c r="S21" s="15">
        <v>790109316.58000004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753997934.36000001</v>
      </c>
      <c r="J22" s="15">
        <v>15275356745.34</v>
      </c>
      <c r="K22" s="10">
        <f t="shared" si="1"/>
        <v>4.9360414092457748E-2</v>
      </c>
      <c r="L22" s="16">
        <v>4.9400000000000013E-2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916521404.72000003</v>
      </c>
      <c r="R22" s="15">
        <v>870695334.48000002</v>
      </c>
      <c r="S22" s="15">
        <v>824869264.25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800955873.40999997</v>
      </c>
      <c r="J23" s="15">
        <v>15800580902.639999</v>
      </c>
      <c r="K23" s="10">
        <f t="shared" si="1"/>
        <v>5.0691545984627329E-2</v>
      </c>
      <c r="L23" s="16">
        <v>5.0700000000000002E-2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948034854.15999997</v>
      </c>
      <c r="R23" s="15">
        <v>900633111.45000005</v>
      </c>
      <c r="S23" s="15">
        <v>853231368.74000001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806431979.66999996</v>
      </c>
      <c r="J24" s="15">
        <v>16275323813.469999</v>
      </c>
      <c r="K24" s="10">
        <f t="shared" si="1"/>
        <v>4.9549366200786128E-2</v>
      </c>
      <c r="L24" s="16">
        <v>4.9500000000000002E-2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976519428.79999995</v>
      </c>
      <c r="R24" s="15">
        <v>927693457.36000001</v>
      </c>
      <c r="S24" s="15">
        <v>878867485.91999996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813970160.67999995</v>
      </c>
      <c r="J25" s="15">
        <v>17349092801.32</v>
      </c>
      <c r="K25" s="10">
        <f t="shared" si="1"/>
        <v>4.6917159876974625E-2</v>
      </c>
      <c r="L25" s="16">
        <v>4.6899999999999997E-2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1040945568.08</v>
      </c>
      <c r="R25" s="15">
        <v>988898289.67999995</v>
      </c>
      <c r="S25" s="15">
        <v>936851011.26999998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105936900.8</v>
      </c>
      <c r="J26" s="15">
        <v>13124505108.33</v>
      </c>
      <c r="K26" s="10">
        <f t="shared" si="1"/>
        <v>8.0716872693937115E-3</v>
      </c>
      <c r="L26" s="16">
        <v>8.1000000000000013E-3</v>
      </c>
      <c r="M26" s="9" t="str">
        <f t="shared" si="2"/>
        <v>Sim</v>
      </c>
      <c r="N26" s="16">
        <v>1.04E-2</v>
      </c>
      <c r="O26" s="16">
        <v>9.8999999999999991E-3</v>
      </c>
      <c r="P26" s="16">
        <v>9.3999999999999986E-3</v>
      </c>
      <c r="Q26" s="15">
        <v>136494853.12</v>
      </c>
      <c r="R26" s="15">
        <v>129670110.45999999</v>
      </c>
      <c r="S26" s="15">
        <v>122845367.81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110177207.68000001</v>
      </c>
      <c r="J27" s="15">
        <v>13715017261.99</v>
      </c>
      <c r="K27" s="10">
        <f t="shared" si="1"/>
        <v>8.0333262128183206E-3</v>
      </c>
      <c r="L27" s="16">
        <v>8.0000000000000002E-3</v>
      </c>
      <c r="M27" s="9" t="str">
        <f t="shared" si="2"/>
        <v>Sim</v>
      </c>
      <c r="N27" s="16">
        <v>1.04E-2</v>
      </c>
      <c r="O27" s="16">
        <v>9.8999999999999991E-3</v>
      </c>
      <c r="P27" s="16">
        <v>9.3999999999999986E-3</v>
      </c>
      <c r="Q27" s="15">
        <v>142636179.52000001</v>
      </c>
      <c r="R27" s="15">
        <v>135504370.53999999</v>
      </c>
      <c r="S27" s="15">
        <v>128372561.56999999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114743295.45</v>
      </c>
      <c r="J28" s="15">
        <v>14190334424.139999</v>
      </c>
      <c r="K28" s="10">
        <f t="shared" si="1"/>
        <v>8.0860177089839089E-3</v>
      </c>
      <c r="L28" s="16">
        <v>8.1000000000000013E-3</v>
      </c>
      <c r="M28" s="9" t="str">
        <f t="shared" si="2"/>
        <v>Sim</v>
      </c>
      <c r="N28" s="16">
        <v>1.04E-2</v>
      </c>
      <c r="O28" s="16">
        <v>9.8999999999999991E-3</v>
      </c>
      <c r="P28" s="16">
        <v>9.3999999999999986E-3</v>
      </c>
      <c r="Q28" s="15">
        <v>147579478.00999999</v>
      </c>
      <c r="R28" s="15">
        <v>140200504.11000001</v>
      </c>
      <c r="S28" s="15">
        <v>132821530.20999999</v>
      </c>
      <c r="T28" s="9" t="str">
        <f t="shared" si="3"/>
        <v>Abaixo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115735498.51000001</v>
      </c>
      <c r="J29" s="15">
        <v>14631654010.74</v>
      </c>
      <c r="K29" s="10">
        <f t="shared" si="1"/>
        <v>7.909939534180295E-3</v>
      </c>
      <c r="L29" s="16">
        <v>7.9000000000000008E-3</v>
      </c>
      <c r="M29" s="9" t="str">
        <f t="shared" si="2"/>
        <v>Sim</v>
      </c>
      <c r="N29" s="16">
        <v>1.04E-2</v>
      </c>
      <c r="O29" s="16">
        <v>9.8999999999999991E-3</v>
      </c>
      <c r="P29" s="16">
        <v>9.3999999999999986E-3</v>
      </c>
      <c r="Q29" s="15">
        <v>152169201.71000001</v>
      </c>
      <c r="R29" s="15">
        <v>144560741.62</v>
      </c>
      <c r="S29" s="15">
        <v>136952281.53999999</v>
      </c>
      <c r="T29" s="9" t="str">
        <f t="shared" si="3"/>
        <v>Abaixo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118746093.88</v>
      </c>
      <c r="J30" s="15">
        <v>15275356745.34</v>
      </c>
      <c r="K30" s="10">
        <f t="shared" si="1"/>
        <v>7.7737034793786703E-3</v>
      </c>
      <c r="L30" s="16">
        <v>7.8000000000000014E-3</v>
      </c>
      <c r="M30" s="9" t="str">
        <f t="shared" si="2"/>
        <v>Sim</v>
      </c>
      <c r="N30" s="16">
        <v>1.04E-2</v>
      </c>
      <c r="O30" s="16">
        <v>9.8999999999999991E-3</v>
      </c>
      <c r="P30" s="16">
        <v>9.3999999999999986E-3</v>
      </c>
      <c r="Q30" s="15">
        <v>158863710.13999999</v>
      </c>
      <c r="R30" s="15">
        <v>150920524.63</v>
      </c>
      <c r="S30" s="15">
        <v>142977339.13</v>
      </c>
      <c r="T30" s="9" t="str">
        <f t="shared" si="3"/>
        <v>Abaixo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120839396.73999999</v>
      </c>
      <c r="J31" s="15">
        <v>15800580902.639999</v>
      </c>
      <c r="K31" s="10">
        <f t="shared" si="1"/>
        <v>7.6477819065379968E-3</v>
      </c>
      <c r="L31" s="16">
        <v>7.6E-3</v>
      </c>
      <c r="M31" s="9" t="str">
        <f t="shared" si="2"/>
        <v>Sim</v>
      </c>
      <c r="N31" s="16">
        <v>1.04E-2</v>
      </c>
      <c r="O31" s="16">
        <v>9.8999999999999991E-3</v>
      </c>
      <c r="P31" s="16">
        <v>9.3999999999999986E-3</v>
      </c>
      <c r="Q31" s="15">
        <v>164326041.38999999</v>
      </c>
      <c r="R31" s="15">
        <v>156109739.31999999</v>
      </c>
      <c r="S31" s="15">
        <v>147893437.25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123521636.55</v>
      </c>
      <c r="J32" s="15">
        <v>16275323813.469999</v>
      </c>
      <c r="K32" s="10">
        <f t="shared" si="1"/>
        <v>7.5895040839537324E-3</v>
      </c>
      <c r="L32" s="16">
        <v>7.6E-3</v>
      </c>
      <c r="M32" s="9" t="str">
        <f t="shared" si="2"/>
        <v>Sim</v>
      </c>
      <c r="N32" s="16">
        <v>1.04E-2</v>
      </c>
      <c r="O32" s="16">
        <v>9.8999999999999991E-3</v>
      </c>
      <c r="P32" s="16">
        <v>9.3999999999999986E-3</v>
      </c>
      <c r="Q32" s="15">
        <v>169263367.66</v>
      </c>
      <c r="R32" s="15">
        <v>160800199.28</v>
      </c>
      <c r="S32" s="15">
        <v>152337030.88999999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124520048.66</v>
      </c>
      <c r="J33" s="15">
        <v>17349092801.32</v>
      </c>
      <c r="K33" s="10">
        <f t="shared" si="1"/>
        <v>7.177323338228148E-3</v>
      </c>
      <c r="L33" s="16">
        <v>7.1999999999999998E-3</v>
      </c>
      <c r="M33" s="9" t="str">
        <f t="shared" si="2"/>
        <v>Sim</v>
      </c>
      <c r="N33" s="16">
        <v>1.04E-2</v>
      </c>
      <c r="O33" s="16">
        <v>9.8999999999999991E-3</v>
      </c>
      <c r="P33" s="16">
        <v>9.3999999999999986E-3</v>
      </c>
      <c r="Q33" s="15">
        <v>180430565.13</v>
      </c>
      <c r="R33" s="15">
        <v>171409036.87</v>
      </c>
      <c r="S33" s="15">
        <v>162387508.62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89939121.540000007</v>
      </c>
      <c r="J34" s="15">
        <v>13124505108.33</v>
      </c>
      <c r="K34" s="10">
        <f t="shared" si="1"/>
        <v>6.8527628887824878E-3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94345423.329999998</v>
      </c>
      <c r="J35" s="15">
        <v>13715017261.99</v>
      </c>
      <c r="K35" s="10">
        <f t="shared" si="1"/>
        <v>6.8789868454245621E-3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101770949.38</v>
      </c>
      <c r="J36" s="15">
        <v>14190334424.139999</v>
      </c>
      <c r="K36" s="10">
        <f t="shared" si="1"/>
        <v>7.1718499605528353E-3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102465094.06</v>
      </c>
      <c r="J37" s="15">
        <v>14631654010.74</v>
      </c>
      <c r="K37" s="10">
        <f t="shared" si="1"/>
        <v>7.0029740988126199E-3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110700335.23999999</v>
      </c>
      <c r="J38" s="15">
        <v>15275356745.34</v>
      </c>
      <c r="K38" s="10">
        <f t="shared" si="1"/>
        <v>7.2469885375194892E-3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119813906.54000001</v>
      </c>
      <c r="J39" s="15">
        <v>15800580902.639999</v>
      </c>
      <c r="K39" s="10">
        <f t="shared" si="1"/>
        <v>7.5828798496883872E-3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126483489.01000001</v>
      </c>
      <c r="J40" s="15">
        <v>16275323813.469999</v>
      </c>
      <c r="K40" s="10">
        <f t="shared" si="1"/>
        <v>7.7714883254929815E-3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122825466.23</v>
      </c>
      <c r="J41" s="15">
        <v>17349092801.32</v>
      </c>
      <c r="K41" s="10">
        <f t="shared" si="1"/>
        <v>7.0796477738971388E-3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180428866.59999999</v>
      </c>
      <c r="J42" s="15">
        <v>13124505108.33</v>
      </c>
      <c r="K42" s="10">
        <f t="shared" si="1"/>
        <v>1.3747479627668665E-2</v>
      </c>
      <c r="L42" s="16">
        <v>1.37E-2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262490102.16999999</v>
      </c>
      <c r="R42" s="15">
        <v>249365597.06</v>
      </c>
      <c r="S42" s="15">
        <v>236241091.94999999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185114663.28999999</v>
      </c>
      <c r="J43" s="15">
        <v>13715017261.99</v>
      </c>
      <c r="K43" s="10">
        <f t="shared" si="1"/>
        <v>1.3497224229022992E-2</v>
      </c>
      <c r="L43" s="16">
        <v>1.35E-2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274300345.24000001</v>
      </c>
      <c r="R43" s="15">
        <v>260585327.97999999</v>
      </c>
      <c r="S43" s="15">
        <v>246870310.72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191926725.22999999</v>
      </c>
      <c r="J44" s="15">
        <v>14190334424.139999</v>
      </c>
      <c r="K44" s="10">
        <f t="shared" si="1"/>
        <v>1.3525172803785535E-2</v>
      </c>
      <c r="L44" s="16">
        <v>1.35E-2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283806688.48000002</v>
      </c>
      <c r="R44" s="15">
        <v>269616354.06</v>
      </c>
      <c r="S44" s="15">
        <v>255426019.63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195239004.84999999</v>
      </c>
      <c r="J45" s="15">
        <v>14631654010.74</v>
      </c>
      <c r="K45" s="10">
        <f t="shared" si="1"/>
        <v>1.3343604537579257E-2</v>
      </c>
      <c r="L45" s="16">
        <v>1.3299999999999999E-2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292633080.20999998</v>
      </c>
      <c r="R45" s="15">
        <v>278001426.19999999</v>
      </c>
      <c r="S45" s="15">
        <v>263369772.19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200704900.25</v>
      </c>
      <c r="J46" s="15">
        <v>15275356745.34</v>
      </c>
      <c r="K46" s="10">
        <f t="shared" si="1"/>
        <v>1.3139130142490999E-2</v>
      </c>
      <c r="L46" s="16">
        <v>1.3100000000000001E-2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305507134.91000003</v>
      </c>
      <c r="R46" s="15">
        <v>290231778.16000003</v>
      </c>
      <c r="S46" s="15">
        <v>274956421.42000002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206367146.41999999</v>
      </c>
      <c r="J47" s="15">
        <v>15800580902.639999</v>
      </c>
      <c r="K47" s="10">
        <f t="shared" si="1"/>
        <v>1.3060731608008138E-2</v>
      </c>
      <c r="L47" s="16">
        <v>1.3100000000000001E-2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316011618.05000001</v>
      </c>
      <c r="R47" s="15">
        <v>300211037.14999998</v>
      </c>
      <c r="S47" s="15">
        <v>284410456.25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212678749.63999999</v>
      </c>
      <c r="J48" s="15">
        <v>16275323813.469999</v>
      </c>
      <c r="K48" s="10">
        <f t="shared" si="1"/>
        <v>1.3067558721257514E-2</v>
      </c>
      <c r="L48" s="16">
        <v>1.3100000000000001E-2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325506476.26999998</v>
      </c>
      <c r="R48" s="15">
        <v>309231152.45999998</v>
      </c>
      <c r="S48" s="15">
        <v>292955828.63999999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219010959.52000001</v>
      </c>
      <c r="J49" s="15">
        <v>17349092801.32</v>
      </c>
      <c r="K49" s="10">
        <f t="shared" si="1"/>
        <v>1.2623770131850159E-2</v>
      </c>
      <c r="L49" s="16">
        <v>1.26E-2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346981856.02999997</v>
      </c>
      <c r="R49" s="15">
        <v>329632763.23000002</v>
      </c>
      <c r="S49" s="15">
        <v>312283670.43000001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2026-10-15T10:08:08Z</dcterms:created>
  <dcterms:modified xsi:type="dcterms:W3CDTF">2026-10-15T10:08:39Z</dcterms:modified>
</cp:coreProperties>
</file>