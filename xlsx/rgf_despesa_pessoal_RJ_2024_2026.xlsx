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CB888C7FED3539B133E57272A4C8551FC78F7C07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E20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M24" i="2"/>
  <c r="T24" i="2"/>
  <c r="T2" i="2"/>
  <c r="M2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M32" i="2"/>
  <c r="T32" i="2"/>
  <c r="T31" i="2"/>
  <c r="M31" i="2"/>
  <c r="T29" i="2"/>
  <c r="M29" i="2"/>
  <c r="T28" i="2"/>
  <c r="M28" i="2"/>
  <c r="T27" i="2"/>
  <c r="M27" i="2"/>
  <c r="M26" i="2"/>
  <c r="T26" i="2"/>
  <c r="T25" i="2"/>
  <c r="L8" i="1" s="1"/>
  <c r="M25" i="2"/>
  <c r="T23" i="2"/>
  <c r="M23" i="2"/>
  <c r="M22" i="2"/>
  <c r="T22" i="2"/>
  <c r="M21" i="2"/>
  <c r="T21" i="2"/>
  <c r="M20" i="2"/>
  <c r="T20" i="2"/>
  <c r="T19" i="2"/>
  <c r="M19" i="2"/>
  <c r="T18" i="2"/>
  <c r="M18" i="2"/>
  <c r="T17" i="2"/>
  <c r="L7" i="1" s="1"/>
  <c r="M17" i="2"/>
  <c r="T16" i="2"/>
  <c r="M16" i="2"/>
  <c r="M15" i="2"/>
  <c r="T15" i="2"/>
  <c r="T14" i="2"/>
  <c r="M14" i="2"/>
  <c r="T13" i="2"/>
  <c r="M13" i="2"/>
  <c r="T12" i="2"/>
  <c r="M12" i="2"/>
  <c r="T11" i="2"/>
  <c r="M11" i="2"/>
  <c r="T10" i="2"/>
  <c r="M10" i="2"/>
  <c r="M9" i="2"/>
  <c r="T9" i="2"/>
  <c r="L6" i="1" s="1"/>
  <c r="M8" i="2"/>
  <c r="T8" i="2"/>
  <c r="T7" i="2"/>
  <c r="M7" i="2"/>
  <c r="T6" i="2"/>
  <c r="M6" i="2"/>
  <c r="H20" i="1"/>
  <c r="C21" i="1"/>
  <c r="E21" i="1"/>
  <c r="G21" i="1"/>
  <c r="F20" i="1"/>
  <c r="I21" i="1"/>
  <c r="D20" i="1"/>
  <c r="F21" i="1"/>
  <c r="J21" i="1"/>
  <c r="H21" i="1"/>
  <c r="D21" i="1"/>
  <c r="J20" i="1"/>
  <c r="I20" i="1"/>
  <c r="G20" i="1"/>
  <c r="J19" i="1"/>
  <c r="I19" i="1"/>
  <c r="G19" i="1"/>
  <c r="H19" i="1"/>
  <c r="C20" i="1"/>
  <c r="T5" i="2"/>
  <c r="M5" i="2"/>
  <c r="T4" i="2"/>
  <c r="M4" i="2"/>
  <c r="M3" i="2"/>
  <c r="T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<sst xmlns="http://schemas.openxmlformats.org/spreadsheetml/2006/main" count="427" uniqueCount="83">
  <si>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Rio de Janeiro (RJ)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</si>
  <si>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</si>
  <si>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</si>
  <si>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</si>
  <si>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</si>
  <si>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</si>
  <si>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</si>
  <si>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</si>
  <si>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</si>
  <si>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</si>
  <si>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</si>
  <si>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</si>
  <si>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</si>
  <si>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</si>
  <si>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</si>
  <si>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</si>
  <si>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</si>
  <si>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</si>
  <si>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</si>
  <si>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</si>
  <si>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</si>
  <si>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</si>
  <si>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</si>
  <si>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</si>
  <si>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</si>
  <si>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</si>
  <si>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</si>
  <si>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</si>
  <si>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</si>
  <si>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</si>
  <si>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</si>
  <si>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</si>
  <si>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</si>
  <si>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</si>
  <si>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</si>
  <si>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</si>
  <si>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</si>
  <si>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</si>
  <si>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</si>
  <si>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</si>
  <si>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</si>
  <si>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</si>
  <si>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</si>
  <si>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</si>
  <si>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</si>
  <si>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</si>
  <si>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</si>
  <si>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Rio de Janeiro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</si>
  <si>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</si>
  <si>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</si>
  <si>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</si>
  <si>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</si>
  <si>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</si>
  <si>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</si>
  <si>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</si>
  <si>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</si>
  <si>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</si>
  <si>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</si>
  <si>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</si>
  <si>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</si>
  <si>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Rio de Janeiro</t>
  </si>
  <si>
    <t>Tribunal de Justiça do Estado do Rio de Janeiro</t>
  </si>
  <si>
    <t>Tribunal de Contas do Estado do Rio de Janeiro</t>
  </si>
  <si>
    <t>Defensoria Pública do Estado do Rio de Janeiro</t>
  </si>
  <si>
    <t>Calculado (despesa líquida / RCL Ajustada do Executivo)</t>
  </si>
  <si>
    <t>Ministério Público do Estado do Rio de Janeiro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</si>
  <si>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</si>
  <si>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</si>
  <si>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</si>
  <si>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</si>
  <si>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Rio de Janeiro (RJ).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</si>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</sst>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0.47050560275483605</v>
      </c>
      <c r="D6" s="7">
        <f>IFERROR(IF(INDEX(Dados!$K$2:$K$49,MATCH($A6&amp;"|"&amp;D$5,Dados!$A$2:$A$49,0))="","",INDEX(Dados!$K$2:$K$49,MATCH($A6&amp;"|"&amp;D$5,Dados!$A$2:$A$49,0))),"")</f>
        <v>0.48023667630488159</v>
      </c>
      <c r="E6" s="7">
        <f>IFERROR(IF(INDEX(Dados!$K$2:$K$49,MATCH($A6&amp;"|"&amp;E$5,Dados!$A$2:$A$49,0))="","",INDEX(Dados!$K$2:$K$49,MATCH($A6&amp;"|"&amp;E$5,Dados!$A$2:$A$49,0))),"")</f>
        <v>0.46763749166592605</v>
      </c>
      <c r="F6" s="7">
        <f>IFERROR(IF(INDEX(Dados!$K$2:$K$49,MATCH($A6&amp;"|"&amp;F$5,Dados!$A$2:$A$49,0))="","",INDEX(Dados!$K$2:$K$49,MATCH($A6&amp;"|"&amp;F$5,Dados!$A$2:$A$49,0))),"")</f>
        <v>0.45234708377751676</v>
      </c>
      <c r="G6" s="7">
        <f>IFERROR(IF(INDEX(Dados!$K$2:$K$49,MATCH($A6&amp;"|"&amp;G$5,Dados!$A$2:$A$49,0))="","",INDEX(Dados!$K$2:$K$49,MATCH($A6&amp;"|"&amp;G$5,Dados!$A$2:$A$49,0))),"")</f>
        <v>0.4449483437400536</v>
      </c>
      <c r="H6" s="7">
        <f>IFERROR(IF(INDEX(Dados!$K$2:$K$49,MATCH($A6&amp;"|"&amp;H$5,Dados!$A$2:$A$49,0))="","",INDEX(Dados!$K$2:$K$49,MATCH($A6&amp;"|"&amp;H$5,Dados!$A$2:$A$49,0))),"")</f>
        <v>0.45737154759596321</v>
      </c>
      <c r="I6" s="7">
        <f>IFERROR(IF(INDEX(Dados!$K$2:$K$49,MATCH($A6&amp;"|"&amp;I$5,Dados!$A$2:$A$49,0))="","",INDEX(Dados!$K$2:$K$49,MATCH($A6&amp;"|"&amp;I$5,Dados!$A$2:$A$49,0))),"")</f>
        <v>0.46711155132216103</v>
      </c>
      <c r="J6" s="7">
        <f>IFERROR(IF(INDEX(Dados!$K$2:$K$49,MATCH($A6&amp;"|"&amp;J$5,Dados!$A$2:$A$49,0))="","",INDEX(Dados!$K$2:$K$49,MATCH($A6&amp;"|"&amp;J$5,Dados!$A$2:$A$49,0))),"")</f>
        <v>0.45422712850064695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8.8797171837798825E-3</v>
      </c>
      <c r="D7" s="10">
        <f>IFERROR(IF(INDEX(Dados!$K$2:$K$49,MATCH($A7&amp;"|"&amp;D$5,Dados!$A$2:$A$49,0))="","",INDEX(Dados!$K$2:$K$49,MATCH($A7&amp;"|"&amp;D$5,Dados!$A$2:$A$49,0))),"")</f>
        <v>9.0985411207334457E-3</v>
      </c>
      <c r="E7" s="10">
        <f>IFERROR(IF(INDEX(Dados!$K$2:$K$49,MATCH($A7&amp;"|"&amp;E$5,Dados!$A$2:$A$49,0))="","",INDEX(Dados!$K$2:$K$49,MATCH($A7&amp;"|"&amp;E$5,Dados!$A$2:$A$49,0))),"")</f>
        <v>1.0270115268618107E-2</v>
      </c>
      <c r="F7" s="10">
        <f>IFERROR(IF(INDEX(Dados!$K$2:$K$49,MATCH($A7&amp;"|"&amp;F$5,Dados!$A$2:$A$49,0))="","",INDEX(Dados!$K$2:$K$49,MATCH($A7&amp;"|"&amp;F$5,Dados!$A$2:$A$49,0))),"")</f>
        <v>9.5801316441631226E-3</v>
      </c>
      <c r="G7" s="10">
        <f>IFERROR(IF(INDEX(Dados!$K$2:$K$49,MATCH($A7&amp;"|"&amp;G$5,Dados!$A$2:$A$49,0))="","",INDEX(Dados!$K$2:$K$49,MATCH($A7&amp;"|"&amp;G$5,Dados!$A$2:$A$49,0))),"")</f>
        <v>8.6971212447295772E-3</v>
      </c>
      <c r="H7" s="10">
        <f>IFERROR(IF(INDEX(Dados!$K$2:$K$49,MATCH($A7&amp;"|"&amp;H$5,Dados!$A$2:$A$49,0))="","",INDEX(Dados!$K$2:$K$49,MATCH($A7&amp;"|"&amp;H$5,Dados!$A$2:$A$49,0))),"")</f>
        <v>8.1833431306519953E-3</v>
      </c>
      <c r="I7" s="10">
        <f>IFERROR(IF(INDEX(Dados!$K$2:$K$49,MATCH($A7&amp;"|"&amp;I$5,Dados!$A$2:$A$49,0))="","",INDEX(Dados!$K$2:$K$49,MATCH($A7&amp;"|"&amp;I$5,Dados!$A$2:$A$49,0))),"")</f>
        <v>8.0768153229146857E-3</v>
      </c>
      <c r="J7" s="10">
        <f>IFERROR(IF(INDEX(Dados!$K$2:$K$49,MATCH($A7&amp;"|"&amp;J$5,Dados!$A$2:$A$49,0))="","",INDEX(Dados!$K$2:$K$49,MATCH($A7&amp;"|"&amp;J$5,Dados!$A$2:$A$49,0))),"")</f>
        <v>8.2671167498628174E-3</v>
      </c>
      <c r="K7" s="10">
        <f>IFERROR(IF(INDEX(Dados!$N$2:$N$49,MATCH($A7&amp;"|"&amp;J$5,Dados!$A$2:$A$49,0))=0,"—",INDEX(Dados!$N$2:$N$49,MATCH($A7&amp;"|"&amp;J$5,Dados!$A$2:$A$49,0))),"—")</f>
        <v>1.6799999999999999E-2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4.5821460360699784E-2</v>
      </c>
      <c r="D8" s="10">
        <f>IFERROR(IF(INDEX(Dados!$K$2:$K$49,MATCH($A8&amp;"|"&amp;D$5,Dados!$A$2:$A$49,0))="","",INDEX(Dados!$K$2:$K$49,MATCH($A8&amp;"|"&amp;D$5,Dados!$A$2:$A$49,0))),"")</f>
        <v>4.6558274336664977E-2</v>
      </c>
      <c r="E8" s="10">
        <f>IFERROR(IF(INDEX(Dados!$K$2:$K$49,MATCH($A8&amp;"|"&amp;E$5,Dados!$A$2:$A$49,0))="","",INDEX(Dados!$K$2:$K$49,MATCH($A8&amp;"|"&amp;E$5,Dados!$A$2:$A$49,0))),"")</f>
        <v>4.8608709501496879E-2</v>
      </c>
      <c r="F8" s="10">
        <f>IFERROR(IF(INDEX(Dados!$K$2:$K$49,MATCH($A8&amp;"|"&amp;F$5,Dados!$A$2:$A$49,0))="","",INDEX(Dados!$K$2:$K$49,MATCH($A8&amp;"|"&amp;F$5,Dados!$A$2:$A$49,0))),"")</f>
        <v>4.4654929696905502E-2</v>
      </c>
      <c r="G8" s="10">
        <f>IFERROR(IF(INDEX(Dados!$K$2:$K$49,MATCH($A8&amp;"|"&amp;G$5,Dados!$A$2:$A$49,0))="","",INDEX(Dados!$K$2:$K$49,MATCH($A8&amp;"|"&amp;G$5,Dados!$A$2:$A$49,0))),"")</f>
        <v>4.4380053530829564E-2</v>
      </c>
      <c r="H8" s="10">
        <f>IFERROR(IF(INDEX(Dados!$K$2:$K$49,MATCH($A8&amp;"|"&amp;H$5,Dados!$A$2:$A$49,0))="","",INDEX(Dados!$K$2:$K$49,MATCH($A8&amp;"|"&amp;H$5,Dados!$A$2:$A$49,0))),"")</f>
        <v>4.4570601688912796E-2</v>
      </c>
      <c r="I8" s="10">
        <f>IFERROR(IF(INDEX(Dados!$K$2:$K$49,MATCH($A8&amp;"|"&amp;I$5,Dados!$A$2:$A$49,0))="","",INDEX(Dados!$K$2:$K$49,MATCH($A8&amp;"|"&amp;I$5,Dados!$A$2:$A$49,0))),"")</f>
        <v>4.5274365783748077E-2</v>
      </c>
      <c r="J8" s="10">
        <f>IFERROR(IF(INDEX(Dados!$K$2:$K$49,MATCH($A8&amp;"|"&amp;J$5,Dados!$A$2:$A$49,0))="","",INDEX(Dados!$K$2:$K$49,MATCH($A8&amp;"|"&amp;J$5,Dados!$A$2:$A$49,0))),"")</f>
        <v>4.4520520641371908E-2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6.506645591542618E-3</v>
      </c>
      <c r="D9" s="10">
        <f>IFERROR(IF(INDEX(Dados!$K$2:$K$49,MATCH($A9&amp;"|"&amp;D$5,Dados!$A$2:$A$49,0))="","",INDEX(Dados!$K$2:$K$49,MATCH($A9&amp;"|"&amp;D$5,Dados!$A$2:$A$49,0))),"")</f>
        <v>7.2945210420137761E-3</v>
      </c>
      <c r="E9" s="10">
        <f>IFERROR(IF(INDEX(Dados!$K$2:$K$49,MATCH($A9&amp;"|"&amp;E$5,Dados!$A$2:$A$49,0))="","",INDEX(Dados!$K$2:$K$49,MATCH($A9&amp;"|"&amp;E$5,Dados!$A$2:$A$49,0))),"")</f>
        <v>7.4582653104427136E-3</v>
      </c>
      <c r="F9" s="10">
        <f>IFERROR(IF(INDEX(Dados!$K$2:$K$49,MATCH($A9&amp;"|"&amp;F$5,Dados!$A$2:$A$49,0))="","",INDEX(Dados!$K$2:$K$49,MATCH($A9&amp;"|"&amp;F$5,Dados!$A$2:$A$49,0))),"")</f>
        <v>7.3533667616959624E-3</v>
      </c>
      <c r="G9" s="10">
        <f>IFERROR(IF(INDEX(Dados!$K$2:$K$49,MATCH($A9&amp;"|"&amp;G$5,Dados!$A$2:$A$49,0))="","",INDEX(Dados!$K$2:$K$49,MATCH($A9&amp;"|"&amp;G$5,Dados!$A$2:$A$49,0))),"")</f>
        <v>6.9030830197381616E-3</v>
      </c>
      <c r="H9" s="10">
        <f>IFERROR(IF(INDEX(Dados!$K$2:$K$49,MATCH($A9&amp;"|"&amp;H$5,Dados!$A$2:$A$49,0))="","",INDEX(Dados!$K$2:$K$49,MATCH($A9&amp;"|"&amp;H$5,Dados!$A$2:$A$49,0))),"")</f>
        <v>7.6989137200196723E-3</v>
      </c>
      <c r="I9" s="10">
        <f>IFERROR(IF(INDEX(Dados!$K$2:$K$49,MATCH($A9&amp;"|"&amp;I$5,Dados!$A$2:$A$49,0))="","",INDEX(Dados!$K$2:$K$49,MATCH($A9&amp;"|"&amp;I$5,Dados!$A$2:$A$49,0))),"")</f>
        <v>7.7837130114498613E-3</v>
      </c>
      <c r="J9" s="10">
        <f>IFERROR(IF(INDEX(Dados!$K$2:$K$49,MATCH($A9&amp;"|"&amp;J$5,Dados!$A$2:$A$49,0))="","",INDEX(Dados!$K$2:$K$49,MATCH($A9&amp;"|"&amp;J$5,Dados!$A$2:$A$49,0))),"")</f>
        <v>8.5234020508087819E-3</v>
      </c>
      <c r="K9" s="10">
        <f>IFERROR(IF(INDEX(Dados!$N$2:$N$49,MATCH($A9&amp;"|"&amp;J$5,Dados!$A$2:$A$49,0))=0,"—",INDEX(Dados!$N$2:$N$49,MATCH($A9&amp;"|"&amp;J$5,Dados!$A$2:$A$49,0))),"—")</f>
        <v>1.3100000000000001E-2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1.0791288283581654E-2</v>
      </c>
      <c r="D10" s="10">
        <f>IFERROR(IF(INDEX(Dados!$K$2:$K$49,MATCH($A10&amp;"|"&amp;D$5,Dados!$A$2:$A$49,0))="","",INDEX(Dados!$K$2:$K$49,MATCH($A10&amp;"|"&amp;D$5,Dados!$A$2:$A$49,0))),"")</f>
        <v>1.08873586510777E-2</v>
      </c>
      <c r="E10" s="10">
        <f>IFERROR(IF(INDEX(Dados!$K$2:$K$49,MATCH($A10&amp;"|"&amp;E$5,Dados!$A$2:$A$49,0))="","",INDEX(Dados!$K$2:$K$49,MATCH($A10&amp;"|"&amp;E$5,Dados!$A$2:$A$49,0))),"")</f>
        <v>1.0937279413097909E-2</v>
      </c>
      <c r="F10" s="10">
        <f>IFERROR(IF(INDEX(Dados!$K$2:$K$49,MATCH($A10&amp;"|"&amp;F$5,Dados!$A$2:$A$49,0))="","",INDEX(Dados!$K$2:$K$49,MATCH($A10&amp;"|"&amp;F$5,Dados!$A$2:$A$49,0))),"")</f>
        <v>1.110906079069349E-2</v>
      </c>
      <c r="G10" s="10">
        <f>IFERROR(IF(INDEX(Dados!$K$2:$K$49,MATCH($A10&amp;"|"&amp;G$5,Dados!$A$2:$A$49,0))="","",INDEX(Dados!$K$2:$K$49,MATCH($A10&amp;"|"&amp;G$5,Dados!$A$2:$A$49,0))),"")</f>
        <v>1.1417099987096169E-2</v>
      </c>
      <c r="H10" s="10">
        <f>IFERROR(IF(INDEX(Dados!$K$2:$K$49,MATCH($A10&amp;"|"&amp;H$5,Dados!$A$2:$A$49,0))="","",INDEX(Dados!$K$2:$K$49,MATCH($A10&amp;"|"&amp;H$5,Dados!$A$2:$A$49,0))),"")</f>
        <v>1.2585605459507734E-2</v>
      </c>
      <c r="I10" s="10">
        <f>IFERROR(IF(INDEX(Dados!$K$2:$K$49,MATCH($A10&amp;"|"&amp;I$5,Dados!$A$2:$A$49,0))="","",INDEX(Dados!$K$2:$K$49,MATCH($A10&amp;"|"&amp;I$5,Dados!$A$2:$A$49,0))),"")</f>
        <v>1.317612449407859E-2</v>
      </c>
      <c r="J10" s="10">
        <f>IFERROR(IF(INDEX(Dados!$K$2:$K$49,MATCH($A10&amp;"|"&amp;J$5,Dados!$A$2:$A$49,0))="","",INDEX(Dados!$K$2:$K$49,MATCH($A10&amp;"|"&amp;J$5,Dados!$A$2:$A$49,0))),"")</f>
        <v>1.2723827159233593E-2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1.6244709792529646E-2</v>
      </c>
      <c r="D11" s="10">
        <f>IFERROR(IF(INDEX(Dados!$K$2:$K$49,MATCH($A11&amp;"|"&amp;D$5,Dados!$A$2:$A$49,0))="","",INDEX(Dados!$K$2:$K$49,MATCH($A11&amp;"|"&amp;D$5,Dados!$A$2:$A$49,0))),"")</f>
        <v>1.6428085449809168E-2</v>
      </c>
      <c r="E11" s="10">
        <f>IFERROR(IF(INDEX(Dados!$K$2:$K$49,MATCH($A11&amp;"|"&amp;E$5,Dados!$A$2:$A$49,0))="","",INDEX(Dados!$K$2:$K$49,MATCH($A11&amp;"|"&amp;E$5,Dados!$A$2:$A$49,0))),"")</f>
        <v>1.648996843120739E-2</v>
      </c>
      <c r="F11" s="10">
        <f>IFERROR(IF(INDEX(Dados!$K$2:$K$49,MATCH($A11&amp;"|"&amp;F$5,Dados!$A$2:$A$49,0))="","",INDEX(Dados!$K$2:$K$49,MATCH($A11&amp;"|"&amp;F$5,Dados!$A$2:$A$49,0))),"")</f>
        <v>1.5662772453448669E-2</v>
      </c>
      <c r="G11" s="10">
        <f>IFERROR(IF(INDEX(Dados!$K$2:$K$49,MATCH($A11&amp;"|"&amp;G$5,Dados!$A$2:$A$49,0))="","",INDEX(Dados!$K$2:$K$49,MATCH($A11&amp;"|"&amp;G$5,Dados!$A$2:$A$49,0))),"")</f>
        <v>1.5256505303459103E-2</v>
      </c>
      <c r="H11" s="10">
        <f>IFERROR(IF(INDEX(Dados!$K$2:$K$49,MATCH($A11&amp;"|"&amp;H$5,Dados!$A$2:$A$49,0))="","",INDEX(Dados!$K$2:$K$49,MATCH($A11&amp;"|"&amp;H$5,Dados!$A$2:$A$49,0))),"")</f>
        <v>1.5467403722612827E-2</v>
      </c>
      <c r="I11" s="10">
        <f>IFERROR(IF(INDEX(Dados!$K$2:$K$49,MATCH($A11&amp;"|"&amp;I$5,Dados!$A$2:$A$49,0))="","",INDEX(Dados!$K$2:$K$49,MATCH($A11&amp;"|"&amp;I$5,Dados!$A$2:$A$49,0))),"")</f>
        <v>1.6456095850160283E-2</v>
      </c>
      <c r="J11" s="10">
        <f>IFERROR(IF(INDEX(Dados!$K$2:$K$49,MATCH($A11&amp;"|"&amp;J$5,Dados!$A$2:$A$49,0))="","",INDEX(Dados!$K$2:$K$49,MATCH($A11&amp;"|"&amp;J$5,Dados!$A$2:$A$49,0))),"")</f>
        <v>1.5552028995145616E-2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89354.294233530003</v>
      </c>
      <c r="D12" s="12">
        <f>IFERROR(INDEX(Dados!$J$2:$J$49,MATCH("Governo|"&amp;D$5,Dados!$A$2:$A$49,0))/1000000,"")</f>
        <v>91274.590655799999</v>
      </c>
      <c r="E12" s="12">
        <f>IFERROR(INDEX(Dados!$J$2:$J$49,MATCH("Governo|"&amp;E$5,Dados!$A$2:$A$49,0))/1000000,"")</f>
        <v>92709.06822822</v>
      </c>
      <c r="F12" s="12">
        <f>IFERROR(INDEX(Dados!$J$2:$J$49,MATCH("Governo|"&amp;F$5,Dados!$A$2:$A$49,0))/1000000,"")</f>
        <v>97236.097158179997</v>
      </c>
      <c r="G12" s="12">
        <f>IFERROR(INDEX(Dados!$J$2:$J$49,MATCH("Governo|"&amp;G$5,Dados!$A$2:$A$49,0))/1000000,"")</f>
        <v>100456.46285539</v>
      </c>
      <c r="H12" s="12">
        <f>IFERROR(INDEX(Dados!$J$2:$J$49,MATCH("Governo|"&amp;H$5,Dados!$A$2:$A$49,0))/1000000,"")</f>
        <v>100484.88351783001</v>
      </c>
      <c r="I12" s="12">
        <f>IFERROR(INDEX(Dados!$J$2:$J$49,MATCH("Governo|"&amp;I$5,Dados!$A$2:$A$49,0))/1000000,"")</f>
        <v>100776.08955855999</v>
      </c>
      <c r="J12" s="12">
        <f>IFERROR(INDEX(Dados!$J$2:$J$49,MATCH("Governo|"&amp;J$5,Dados!$A$2:$A$49,0))/1000000,"")</f>
        <v>106555.75684286999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42041.696067080004</v>
      </c>
      <c r="D16" s="13">
        <f>IFERROR(IF(INDEX(Dados!$I$2:$I$49,MATCH($A16&amp;"|"&amp;D$15,Dados!$A$2:$A$49,0))="","",INDEX(Dados!$I$2:$I$49,MATCH($A16&amp;"|"&amp;D$15,Dados!$A$2:$A$49,0))/1000000),"")</f>
        <v>43833.40604763</v>
      </c>
      <c r="E16" s="13">
        <f>IFERROR(IF(INDEX(Dados!$I$2:$I$49,MATCH($A16&amp;"|"&amp;E$15,Dados!$A$2:$A$49,0))="","",INDEX(Dados!$I$2:$I$49,MATCH($A16&amp;"|"&amp;E$15,Dados!$A$2:$A$49,0))/1000000),"")</f>
        <v>43354.23612093</v>
      </c>
      <c r="F16" s="13">
        <f>IFERROR(IF(INDEX(Dados!$I$2:$I$49,MATCH($A16&amp;"|"&amp;F$15,Dados!$A$2:$A$49,0))="","",INDEX(Dados!$I$2:$I$49,MATCH($A16&amp;"|"&amp;F$15,Dados!$A$2:$A$49,0))/1000000),"")</f>
        <v>43984.464987410007</v>
      </c>
      <c r="G16" s="13">
        <f>IFERROR(IF(INDEX(Dados!$I$2:$I$49,MATCH($A16&amp;"|"&amp;G$15,Dados!$A$2:$A$49,0))="","",INDEX(Dados!$I$2:$I$49,MATCH($A16&amp;"|"&amp;G$15,Dados!$A$2:$A$49,0))/1000000),"")</f>
        <v>44697.936765489998</v>
      </c>
      <c r="H16" s="13">
        <f>IFERROR(IF(INDEX(Dados!$I$2:$I$49,MATCH($A16&amp;"|"&amp;H$15,Dados!$A$2:$A$49,0))="","",INDEX(Dados!$I$2:$I$49,MATCH($A16&amp;"|"&amp;H$15,Dados!$A$2:$A$49,0))/1000000),"")</f>
        <v>45958.926684550002</v>
      </c>
      <c r="I16" s="13">
        <f>IFERROR(IF(INDEX(Dados!$I$2:$I$49,MATCH($A16&amp;"|"&amp;I$15,Dados!$A$2:$A$49,0))="","",INDEX(Dados!$I$2:$I$49,MATCH($A16&amp;"|"&amp;I$15,Dados!$A$2:$A$49,0))/1000000),"")</f>
        <v>47073.675529879998</v>
      </c>
      <c r="J16" s="13">
        <f>IFERROR(IF(INDEX(Dados!$I$2:$I$49,MATCH($A16&amp;"|"&amp;J$15,Dados!$A$2:$A$49,0))="","",INDEX(Dados!$I$2:$I$49,MATCH($A16&amp;"|"&amp;J$15,Dados!$A$2:$A$49,0))/1000000),"")</f>
        <v>48400.515455949993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793.44086195</v>
      </c>
      <c r="D17" s="14">
        <f>IFERROR(IF(INDEX(Dados!$I$2:$I$49,MATCH($A17&amp;"|"&amp;D$15,Dados!$A$2:$A$49,0))="","",INDEX(Dados!$I$2:$I$49,MATCH($A17&amp;"|"&amp;D$15,Dados!$A$2:$A$49,0))/1000000),"")</f>
        <v>830.46561636000001</v>
      </c>
      <c r="E17" s="14">
        <f>IFERROR(IF(INDEX(Dados!$I$2:$I$49,MATCH($A17&amp;"|"&amp;E$15,Dados!$A$2:$A$49,0))="","",INDEX(Dados!$I$2:$I$49,MATCH($A17&amp;"|"&amp;E$15,Dados!$A$2:$A$49,0))/1000000),"")</f>
        <v>952.13281714999994</v>
      </c>
      <c r="F17" s="14">
        <f>IFERROR(IF(INDEX(Dados!$I$2:$I$49,MATCH($A17&amp;"|"&amp;F$15,Dados!$A$2:$A$49,0))="","",INDEX(Dados!$I$2:$I$49,MATCH($A17&amp;"|"&amp;F$15,Dados!$A$2:$A$49,0))/1000000),"")</f>
        <v>931.53461134000008</v>
      </c>
      <c r="G17" s="14">
        <f>IFERROR(IF(INDEX(Dados!$I$2:$I$49,MATCH($A17&amp;"|"&amp;G$15,Dados!$A$2:$A$49,0))="","",INDEX(Dados!$I$2:$I$49,MATCH($A17&amp;"|"&amp;G$15,Dados!$A$2:$A$49,0))/1000000),"")</f>
        <v>873.68203727000002</v>
      </c>
      <c r="H17" s="14">
        <f>IFERROR(IF(INDEX(Dados!$I$2:$I$49,MATCH($A17&amp;"|"&amp;H$15,Dados!$A$2:$A$49,0))="","",INDEX(Dados!$I$2:$I$49,MATCH($A17&amp;"|"&amp;H$15,Dados!$A$2:$A$49,0))/1000000),"")</f>
        <v>822.30228126999998</v>
      </c>
      <c r="I17" s="14">
        <f>IFERROR(IF(INDEX(Dados!$I$2:$I$49,MATCH($A17&amp;"|"&amp;I$15,Dados!$A$2:$A$49,0))="","",INDEX(Dados!$I$2:$I$49,MATCH($A17&amp;"|"&amp;I$15,Dados!$A$2:$A$49,0))/1000000),"")</f>
        <v>813.94986433000008</v>
      </c>
      <c r="J17" s="14">
        <f>IFERROR(IF(INDEX(Dados!$I$2:$I$49,MATCH($A17&amp;"|"&amp;J$15,Dados!$A$2:$A$49,0))="","",INDEX(Dados!$I$2:$I$49,MATCH($A17&amp;"|"&amp;J$15,Dados!$A$2:$A$49,0))/1000000),"")</f>
        <v>880.9088821900001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4094.3442512800002</v>
      </c>
      <c r="D18" s="14">
        <f>IFERROR(IF(INDEX(Dados!$I$2:$I$49,MATCH($A18&amp;"|"&amp;D$15,Dados!$A$2:$A$49,0))="","",INDEX(Dados!$I$2:$I$49,MATCH($A18&amp;"|"&amp;D$15,Dados!$A$2:$A$49,0))/1000000),"")</f>
        <v>4249.5874317199996</v>
      </c>
      <c r="E18" s="14">
        <f>IFERROR(IF(INDEX(Dados!$I$2:$I$49,MATCH($A18&amp;"|"&amp;E$15,Dados!$A$2:$A$49,0))="","",INDEX(Dados!$I$2:$I$49,MATCH($A18&amp;"|"&amp;E$15,Dados!$A$2:$A$49,0))/1000000),"")</f>
        <v>4506.4681656599996</v>
      </c>
      <c r="F18" s="14">
        <f>IFERROR(IF(INDEX(Dados!$I$2:$I$49,MATCH($A18&amp;"|"&amp;F$15,Dados!$A$2:$A$49,0))="","",INDEX(Dados!$I$2:$I$49,MATCH($A18&amp;"|"&amp;F$15,Dados!$A$2:$A$49,0))/1000000),"")</f>
        <v>4342.0710826000004</v>
      </c>
      <c r="G18" s="14">
        <f>IFERROR(IF(INDEX(Dados!$I$2:$I$49,MATCH($A18&amp;"|"&amp;G$15,Dados!$A$2:$A$49,0))="","",INDEX(Dados!$I$2:$I$49,MATCH($A18&amp;"|"&amp;G$15,Dados!$A$2:$A$49,0))/1000000),"")</f>
        <v>4458.2631990399996</v>
      </c>
      <c r="H18" s="14">
        <f>IFERROR(IF(INDEX(Dados!$I$2:$I$49,MATCH($A18&amp;"|"&amp;H$15,Dados!$A$2:$A$49,0))="","",INDEX(Dados!$I$2:$I$49,MATCH($A18&amp;"|"&amp;H$15,Dados!$A$2:$A$49,0))/1000000),"")</f>
        <v>4478.6717190299996</v>
      </c>
      <c r="I18" s="14">
        <f>IFERROR(IF(INDEX(Dados!$I$2:$I$49,MATCH($A18&amp;"|"&amp;I$15,Dados!$A$2:$A$49,0))="","",INDEX(Dados!$I$2:$I$49,MATCH($A18&amp;"|"&amp;I$15,Dados!$A$2:$A$49,0))/1000000),"")</f>
        <v>4562.5735409300005</v>
      </c>
      <c r="J18" s="14">
        <f>IFERROR(IF(INDEX(Dados!$I$2:$I$49,MATCH($A18&amp;"|"&amp;J$15,Dados!$A$2:$A$49,0))="","",INDEX(Dados!$I$2:$I$49,MATCH($A18&amp;"|"&amp;J$15,Dados!$A$2:$A$49,0))/1000000),"")</f>
        <v>4743.9177719799991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581.39672466000002</v>
      </c>
      <c r="D19" s="14">
        <f>IFERROR(IF(INDEX(Dados!$I$2:$I$49,MATCH($A19&amp;"|"&amp;D$15,Dados!$A$2:$A$49,0))="","",INDEX(Dados!$I$2:$I$49,MATCH($A19&amp;"|"&amp;D$15,Dados!$A$2:$A$49,0))/1000000),"")</f>
        <v>665.80442214000004</v>
      </c>
      <c r="E19" s="14">
        <f>IFERROR(IF(INDEX(Dados!$I$2:$I$49,MATCH($A19&amp;"|"&amp;E$15,Dados!$A$2:$A$49,0))="","",INDEX(Dados!$I$2:$I$49,MATCH($A19&amp;"|"&amp;E$15,Dados!$A$2:$A$49,0))/1000000),"")</f>
        <v>691.44882753000002</v>
      </c>
      <c r="F19" s="14">
        <f>IFERROR(IF(INDEX(Dados!$I$2:$I$49,MATCH($A19&amp;"|"&amp;F$15,Dados!$A$2:$A$49,0))="","",INDEX(Dados!$I$2:$I$49,MATCH($A19&amp;"|"&amp;F$15,Dados!$A$2:$A$49,0))/1000000),"")</f>
        <v>715.01268488000005</v>
      </c>
      <c r="G19" s="14">
        <f>IFERROR(IF(INDEX(Dados!$I$2:$I$49,MATCH($A19&amp;"|"&amp;G$15,Dados!$A$2:$A$49,0))="","",INDEX(Dados!$I$2:$I$49,MATCH($A19&amp;"|"&amp;G$15,Dados!$A$2:$A$49,0))/1000000),"")</f>
        <v>693.45930296000006</v>
      </c>
      <c r="H19" s="14">
        <f>IFERROR(IF(INDEX(Dados!$I$2:$I$49,MATCH($A19&amp;"|"&amp;H$15,Dados!$A$2:$A$49,0))="","",INDEX(Dados!$I$2:$I$49,MATCH($A19&amp;"|"&amp;H$15,Dados!$A$2:$A$49,0))/1000000),"")</f>
        <v>773.62444836999998</v>
      </c>
      <c r="I19" s="14">
        <f>IFERROR(IF(INDEX(Dados!$I$2:$I$49,MATCH($A19&amp;"|"&amp;I$15,Dados!$A$2:$A$49,0))="","",INDEX(Dados!$I$2:$I$49,MATCH($A19&amp;"|"&amp;I$15,Dados!$A$2:$A$49,0))/1000000),"")</f>
        <v>784.41215953999995</v>
      </c>
      <c r="J19" s="14">
        <f>IFERROR(IF(INDEX(Dados!$I$2:$I$49,MATCH($A19&amp;"|"&amp;J$15,Dados!$A$2:$A$49,0))="","",INDEX(Dados!$I$2:$I$49,MATCH($A19&amp;"|"&amp;J$15,Dados!$A$2:$A$49,0))/1000000),"")</f>
        <v>908.21755639999992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964.24794845000008</v>
      </c>
      <c r="D20" s="14">
        <f>IFERROR(IF(INDEX(Dados!$I$2:$I$49,MATCH($A20&amp;"|"&amp;D$15,Dados!$A$2:$A$49,0))="","",INDEX(Dados!$I$2:$I$49,MATCH($A20&amp;"|"&amp;D$15,Dados!$A$2:$A$49,0))/1000000),"")</f>
        <v>993.73920420000002</v>
      </c>
      <c r="E20" s="14">
        <f>IFERROR(IF(INDEX(Dados!$I$2:$I$49,MATCH($A20&amp;"|"&amp;E$15,Dados!$A$2:$A$49,0))="","",INDEX(Dados!$I$2:$I$49,MATCH($A20&amp;"|"&amp;E$15,Dados!$A$2:$A$49,0))/1000000),"")</f>
        <v>1013.98498334</v>
      </c>
      <c r="F20" s="14">
        <f>IFERROR(IF(INDEX(Dados!$I$2:$I$49,MATCH($A20&amp;"|"&amp;F$15,Dados!$A$2:$A$49,0))="","",INDEX(Dados!$I$2:$I$49,MATCH($A20&amp;"|"&amp;F$15,Dados!$A$2:$A$49,0))/1000000),"")</f>
        <v>1080.2017143800001</v>
      </c>
      <c r="G20" s="14">
        <f>IFERROR(IF(INDEX(Dados!$I$2:$I$49,MATCH($A20&amp;"|"&amp;G$15,Dados!$A$2:$A$49,0))="","",INDEX(Dados!$I$2:$I$49,MATCH($A20&amp;"|"&amp;G$15,Dados!$A$2:$A$49,0))/1000000),"")</f>
        <v>1146.92148077</v>
      </c>
      <c r="H20" s="14">
        <f>IFERROR(IF(INDEX(Dados!$I$2:$I$49,MATCH($A20&amp;"|"&amp;H$15,Dados!$A$2:$A$49,0))="","",INDEX(Dados!$I$2:$I$49,MATCH($A20&amp;"|"&amp;H$15,Dados!$A$2:$A$49,0))/1000000),"")</f>
        <v>1264.6630986</v>
      </c>
      <c r="I20" s="14">
        <f>IFERROR(IF(INDEX(Dados!$I$2:$I$49,MATCH($A20&amp;"|"&amp;I$15,Dados!$A$2:$A$49,0))="","",INDEX(Dados!$I$2:$I$49,MATCH($A20&amp;"|"&amp;I$15,Dados!$A$2:$A$49,0))/1000000),"")</f>
        <v>1327.83830205</v>
      </c>
      <c r="J20" s="14">
        <f>IFERROR(IF(INDEX(Dados!$I$2:$I$49,MATCH($A20&amp;"|"&amp;J$15,Dados!$A$2:$A$49,0))="","",INDEX(Dados!$I$2:$I$49,MATCH($A20&amp;"|"&amp;J$15,Dados!$A$2:$A$49,0))/1000000),"")</f>
        <v>1355.7970328900001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1451.53457854</v>
      </c>
      <c r="D21" s="14">
        <f>IFERROR(IF(INDEX(Dados!$I$2:$I$49,MATCH($A21&amp;"|"&amp;D$15,Dados!$A$2:$A$49,0))="","",INDEX(Dados!$I$2:$I$49,MATCH($A21&amp;"|"&amp;D$15,Dados!$A$2:$A$49,0))/1000000),"")</f>
        <v>1499.46677469</v>
      </c>
      <c r="E21" s="14">
        <f>IFERROR(IF(INDEX(Dados!$I$2:$I$49,MATCH($A21&amp;"|"&amp;E$15,Dados!$A$2:$A$49,0))="","",INDEX(Dados!$I$2:$I$49,MATCH($A21&amp;"|"&amp;E$15,Dados!$A$2:$A$49,0))/1000000),"")</f>
        <v>1528.7696083699998</v>
      </c>
      <c r="F21" s="14">
        <f>IFERROR(IF(INDEX(Dados!$I$2:$I$49,MATCH($A21&amp;"|"&amp;F$15,Dados!$A$2:$A$49,0))="","",INDEX(Dados!$I$2:$I$49,MATCH($A21&amp;"|"&amp;F$15,Dados!$A$2:$A$49,0))/1000000),"")</f>
        <v>1522.9868640499999</v>
      </c>
      <c r="G21" s="14">
        <f>IFERROR(IF(INDEX(Dados!$I$2:$I$49,MATCH($A21&amp;"|"&amp;G$15,Dados!$A$2:$A$49,0))="","",INDEX(Dados!$I$2:$I$49,MATCH($A21&amp;"|"&amp;G$15,Dados!$A$2:$A$49,0))/1000000),"")</f>
        <v>1532.61455832</v>
      </c>
      <c r="H21" s="14">
        <f>IFERROR(IF(INDEX(Dados!$I$2:$I$49,MATCH($A21&amp;"|"&amp;H$15,Dados!$A$2:$A$49,0))="","",INDEX(Dados!$I$2:$I$49,MATCH($A21&amp;"|"&amp;H$15,Dados!$A$2:$A$49,0))/1000000),"")</f>
        <v>1554.2402613900001</v>
      </c>
      <c r="I21" s="14">
        <f>IFERROR(IF(INDEX(Dados!$I$2:$I$49,MATCH($A21&amp;"|"&amp;I$15,Dados!$A$2:$A$49,0))="","",INDEX(Dados!$I$2:$I$49,MATCH($A21&amp;"|"&amp;I$15,Dados!$A$2:$A$49,0))/1000000),"")</f>
        <v>1658.3809891800001</v>
      </c>
      <c r="J21" s="14">
        <f>IFERROR(IF(INDEX(Dados!$I$2:$I$49,MATCH($A21&amp;"|"&amp;J$15,Dados!$A$2:$A$49,0))="","",INDEX(Dados!$I$2:$I$49,MATCH($A21&amp;"|"&amp;J$15,Dados!$A$2:$A$49,0))/1000000),"")</f>
        <v>1657.15822002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42041696067.080002</v>
      </c>
      <c r="J2" s="15">
        <v>89354294233.529999</v>
      </c>
      <c r="K2" s="10">
        <f t="shared" ref="K2:K49" si="1">IF(OR(I2="",J2="",J2=0),"",I2/J2)</f>
        <v>0.47050560275483605</v>
      </c>
      <c r="L2" s="16">
        <v>0.47049999999999997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43783604174.43</v>
      </c>
      <c r="R2" s="15">
        <v>41594423965.709999</v>
      </c>
      <c r="S2" s="15">
        <v>39405243756.989998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prudencial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43833406047.629997</v>
      </c>
      <c r="J3" s="15">
        <v>91274590655.800003</v>
      </c>
      <c r="K3" s="10">
        <f t="shared" si="1"/>
        <v>0.48023667630488159</v>
      </c>
      <c r="L3" s="16">
        <v>0.48020000000000002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44724549421.339996</v>
      </c>
      <c r="R3" s="15">
        <v>42488321950.269997</v>
      </c>
      <c r="S3" s="15">
        <v>40252094479.209999</v>
      </c>
      <c r="T3" s="9" t="str">
        <f t="shared" si="3"/>
        <v>Acima do limite prudencial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43354236120.93</v>
      </c>
      <c r="J4" s="15">
        <v>92709068228.220001</v>
      </c>
      <c r="K4" s="10">
        <f t="shared" si="1"/>
        <v>0.46763749166592605</v>
      </c>
      <c r="L4" s="16">
        <v>0.46760000000000002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45427443431.830002</v>
      </c>
      <c r="R4" s="15">
        <v>43156071260.239998</v>
      </c>
      <c r="S4" s="15">
        <v>40884699088.650002</v>
      </c>
      <c r="T4" s="9" t="str">
        <f t="shared" si="3"/>
        <v>Acima do limite prudencial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43984464987.410004</v>
      </c>
      <c r="J5" s="15">
        <v>97236097158.179993</v>
      </c>
      <c r="K5" s="10">
        <f t="shared" si="1"/>
        <v>0.45234708377751676</v>
      </c>
      <c r="L5" s="16">
        <v>0.45229999999999998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47645687607.510002</v>
      </c>
      <c r="R5" s="15">
        <v>45263403227.129997</v>
      </c>
      <c r="S5" s="15">
        <v>42881118846.760002</v>
      </c>
      <c r="T5" s="9" t="str">
        <f t="shared" si="3"/>
        <v>Acima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44697936765.489998</v>
      </c>
      <c r="J6" s="15">
        <v>100456462855.39</v>
      </c>
      <c r="K6" s="10">
        <f t="shared" si="1"/>
        <v>0.4449483437400536</v>
      </c>
      <c r="L6" s="16">
        <v>0.44490000000000002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49223666799.139999</v>
      </c>
      <c r="R6" s="15">
        <v>46762483459.18</v>
      </c>
      <c r="S6" s="15">
        <v>44301300119.230003</v>
      </c>
      <c r="T6" s="9" t="str">
        <f t="shared" si="3"/>
        <v>Acima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45958926684.550003</v>
      </c>
      <c r="J7" s="15">
        <v>100484883517.83</v>
      </c>
      <c r="K7" s="10">
        <f t="shared" si="1"/>
        <v>0.45737154759596321</v>
      </c>
      <c r="L7" s="16">
        <v>0.45739999999999997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49237592923.739998</v>
      </c>
      <c r="R7" s="15">
        <v>46775713277.550003</v>
      </c>
      <c r="S7" s="15">
        <v>44313833631.370003</v>
      </c>
      <c r="T7" s="9" t="str">
        <f t="shared" si="3"/>
        <v>Acima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47073675529.879997</v>
      </c>
      <c r="J8" s="15">
        <v>100776089558.56</v>
      </c>
      <c r="K8" s="10">
        <f t="shared" si="1"/>
        <v>0.46711155132216103</v>
      </c>
      <c r="L8" s="16">
        <v>0.46710000000000002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49380283883.690002</v>
      </c>
      <c r="R8" s="15">
        <v>46911269689.510002</v>
      </c>
      <c r="S8" s="15">
        <v>44442255495.32</v>
      </c>
      <c r="T8" s="9" t="str">
        <f t="shared" si="3"/>
        <v>Acima do limite prudencial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48400515455.949997</v>
      </c>
      <c r="J9" s="15">
        <v>106555756842.87</v>
      </c>
      <c r="K9" s="10">
        <f t="shared" si="1"/>
        <v>0.45422712850064695</v>
      </c>
      <c r="L9" s="16">
        <v>0.45419999999999999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52212320853</v>
      </c>
      <c r="R9" s="15">
        <v>49601704810.349998</v>
      </c>
      <c r="S9" s="15">
        <v>46991088767.699997</v>
      </c>
      <c r="T9" s="9" t="str">
        <f t="shared" si="3"/>
        <v>Acima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793440861.95000005</v>
      </c>
      <c r="J10" s="15">
        <v>89354294233.529999</v>
      </c>
      <c r="K10" s="10">
        <f t="shared" si="1"/>
        <v>8.8797171837798825E-3</v>
      </c>
      <c r="L10" s="16">
        <v>8.8999999999999999E-3</v>
      </c>
      <c r="M10" s="9" t="str">
        <f t="shared" si="2"/>
        <v>Sim</v>
      </c>
      <c r="N10" s="16">
        <v>1.6799999999999999E-2</v>
      </c>
      <c r="O10" s="16">
        <v>1.6E-2</v>
      </c>
      <c r="P10" s="16">
        <v>1.5100000000000001E-2</v>
      </c>
      <c r="Q10" s="15">
        <v>1504726314.8900001</v>
      </c>
      <c r="R10" s="15">
        <v>1429489999.1500001</v>
      </c>
      <c r="S10" s="15">
        <v>1354253683.4000001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830465616.36000001</v>
      </c>
      <c r="J11" s="15">
        <v>91274590655.809998</v>
      </c>
      <c r="K11" s="10">
        <f t="shared" si="1"/>
        <v>9.0985411207334457E-3</v>
      </c>
      <c r="L11" s="16">
        <v>9.1000000000000004E-3</v>
      </c>
      <c r="M11" s="9" t="str">
        <f t="shared" si="2"/>
        <v>Sim</v>
      </c>
      <c r="N11" s="16">
        <v>1.6799999999999999E-2</v>
      </c>
      <c r="O11" s="16">
        <v>1.6E-2</v>
      </c>
      <c r="P11" s="16">
        <v>1.5100000000000001E-2</v>
      </c>
      <c r="Q11" s="15">
        <v>1533413123.02</v>
      </c>
      <c r="R11" s="15">
        <v>1456742466.8699999</v>
      </c>
      <c r="S11" s="15">
        <v>1380071810.72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952132817.14999998</v>
      </c>
      <c r="J12" s="15">
        <v>92709068228.220001</v>
      </c>
      <c r="K12" s="10">
        <f t="shared" si="1"/>
        <v>1.0270115268618107E-2</v>
      </c>
      <c r="L12" s="16">
        <v>1.03E-2</v>
      </c>
      <c r="M12" s="9" t="str">
        <f t="shared" si="2"/>
        <v>Sim</v>
      </c>
      <c r="N12" s="16">
        <v>1.6799999999999999E-2</v>
      </c>
      <c r="O12" s="16">
        <v>1.6E-2</v>
      </c>
      <c r="P12" s="16">
        <v>1.5100000000000001E-2</v>
      </c>
      <c r="Q12" s="15">
        <v>1557512346.23</v>
      </c>
      <c r="R12" s="15">
        <v>1479636728.9200001</v>
      </c>
      <c r="S12" s="15">
        <v>1401761111.6099999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931534611.34000003</v>
      </c>
      <c r="J13" s="15">
        <v>97236097158.179993</v>
      </c>
      <c r="K13" s="10">
        <f t="shared" si="1"/>
        <v>9.5801316441631226E-3</v>
      </c>
      <c r="L13" s="16">
        <v>9.5999999999999992E-3</v>
      </c>
      <c r="M13" s="9" t="str">
        <f t="shared" si="2"/>
        <v>Sim</v>
      </c>
      <c r="N13" s="16">
        <v>1.6799999999999999E-2</v>
      </c>
      <c r="O13" s="16">
        <v>1.6E-2</v>
      </c>
      <c r="P13" s="16">
        <v>1.5100000000000001E-2</v>
      </c>
      <c r="Q13" s="15">
        <v>1633566432.26</v>
      </c>
      <c r="R13" s="15">
        <v>1551888110.6500001</v>
      </c>
      <c r="S13" s="15">
        <v>1470209789.03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873682037.26999998</v>
      </c>
      <c r="J14" s="15">
        <v>100456462855.39</v>
      </c>
      <c r="K14" s="10">
        <f t="shared" si="1"/>
        <v>8.6971212447295772E-3</v>
      </c>
      <c r="L14" s="16">
        <v>8.6999999999999994E-3</v>
      </c>
      <c r="M14" s="9" t="str">
        <f t="shared" si="2"/>
        <v>Sim</v>
      </c>
      <c r="N14" s="16">
        <v>1.6799999999999999E-2</v>
      </c>
      <c r="O14" s="16">
        <v>1.6E-2</v>
      </c>
      <c r="P14" s="16">
        <v>1.5100000000000001E-2</v>
      </c>
      <c r="Q14" s="15">
        <v>1687668575.97</v>
      </c>
      <c r="R14" s="15">
        <v>1603285147.1700001</v>
      </c>
      <c r="S14" s="15">
        <v>1518901718.3699999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822302281.26999998</v>
      </c>
      <c r="J15" s="15">
        <v>100484883517.83</v>
      </c>
      <c r="K15" s="10">
        <f t="shared" si="1"/>
        <v>8.1833431306519953E-3</v>
      </c>
      <c r="L15" s="16">
        <v>8.199999999999999E-3</v>
      </c>
      <c r="M15" s="9" t="str">
        <f t="shared" si="2"/>
        <v>Sim</v>
      </c>
      <c r="N15" s="16">
        <v>1.6799999999999999E-2</v>
      </c>
      <c r="O15" s="16">
        <v>1.6E-2</v>
      </c>
      <c r="P15" s="16">
        <v>1.5100000000000001E-2</v>
      </c>
      <c r="Q15" s="15">
        <v>1688146043.0999999</v>
      </c>
      <c r="R15" s="15">
        <v>1603738740.95</v>
      </c>
      <c r="S15" s="15">
        <v>1519331438.79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813949864.33000004</v>
      </c>
      <c r="J16" s="15">
        <v>100776089558.56</v>
      </c>
      <c r="K16" s="10">
        <f t="shared" si="1"/>
        <v>8.0768153229146857E-3</v>
      </c>
      <c r="L16" s="16">
        <v>8.1000000000000013E-3</v>
      </c>
      <c r="M16" s="9" t="str">
        <f t="shared" si="2"/>
        <v>Sim</v>
      </c>
      <c r="N16" s="16">
        <v>1.6799999999999999E-2</v>
      </c>
      <c r="O16" s="16">
        <v>1.6E-2</v>
      </c>
      <c r="P16" s="16">
        <v>1.5100000000000001E-2</v>
      </c>
      <c r="Q16" s="15">
        <v>1693038304.5799999</v>
      </c>
      <c r="R16" s="15">
        <v>1608386389.3499999</v>
      </c>
      <c r="S16" s="15">
        <v>1523734474.1199999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880908882.19000006</v>
      </c>
      <c r="J17" s="15">
        <v>106555756842.87</v>
      </c>
      <c r="K17" s="10">
        <f t="shared" si="1"/>
        <v>8.2671167498628174E-3</v>
      </c>
      <c r="L17" s="16">
        <v>8.3000000000000001E-3</v>
      </c>
      <c r="M17" s="9" t="str">
        <f t="shared" si="2"/>
        <v>Sim</v>
      </c>
      <c r="N17" s="16">
        <v>1.6799999999999999E-2</v>
      </c>
      <c r="O17" s="16">
        <v>1.6E-2</v>
      </c>
      <c r="P17" s="16">
        <v>1.5100000000000001E-2</v>
      </c>
      <c r="Q17" s="15">
        <v>1794398945.23</v>
      </c>
      <c r="R17" s="15">
        <v>1704678997.97</v>
      </c>
      <c r="S17" s="15">
        <v>1614959050.71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4094344251.2800002</v>
      </c>
      <c r="J18" s="15">
        <v>89354294233.529999</v>
      </c>
      <c r="K18" s="10">
        <f t="shared" si="1"/>
        <v>4.5821460360699784E-2</v>
      </c>
      <c r="L18" s="16">
        <v>4.58E-2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5361257654.0100002</v>
      </c>
      <c r="R18" s="15">
        <v>5093194771.3100004</v>
      </c>
      <c r="S18" s="15">
        <v>4825131888.6099997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4249587431.7199998</v>
      </c>
      <c r="J19" s="15">
        <v>91274590655.809998</v>
      </c>
      <c r="K19" s="10">
        <f t="shared" si="1"/>
        <v>4.6558274336664977E-2</v>
      </c>
      <c r="L19" s="16">
        <v>4.6600000000000003E-2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5476475439.3500004</v>
      </c>
      <c r="R19" s="15">
        <v>5202651667.3800001</v>
      </c>
      <c r="S19" s="15">
        <v>4928827895.4200001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4506468165.6599998</v>
      </c>
      <c r="J20" s="15">
        <v>92709068228.220001</v>
      </c>
      <c r="K20" s="10">
        <f t="shared" si="1"/>
        <v>4.8608709501496879E-2</v>
      </c>
      <c r="L20" s="16">
        <v>4.8599999999999997E-2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5562544093.6899996</v>
      </c>
      <c r="R20" s="15">
        <v>5284416889.0100002</v>
      </c>
      <c r="S20" s="15">
        <v>5006289684.3199997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4342071082.6000004</v>
      </c>
      <c r="J21" s="15">
        <v>97236097158.179993</v>
      </c>
      <c r="K21" s="10">
        <f t="shared" si="1"/>
        <v>4.4654929696905502E-2</v>
      </c>
      <c r="L21" s="16">
        <v>4.4699999999999997E-2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5834165829.4899998</v>
      </c>
      <c r="R21" s="15">
        <v>5542457538.0200005</v>
      </c>
      <c r="S21" s="15">
        <v>5250749246.54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4458263199.04</v>
      </c>
      <c r="J22" s="15">
        <v>100456462855.39</v>
      </c>
      <c r="K22" s="10">
        <f t="shared" si="1"/>
        <v>4.4380053530829564E-2</v>
      </c>
      <c r="L22" s="16">
        <v>4.4400000000000002E-2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6027387771.3199997</v>
      </c>
      <c r="R22" s="15">
        <v>5726018382.75</v>
      </c>
      <c r="S22" s="15">
        <v>5424648994.1899996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4478671719.0299997</v>
      </c>
      <c r="J23" s="15">
        <v>100484883517.83</v>
      </c>
      <c r="K23" s="10">
        <f t="shared" si="1"/>
        <v>4.4570601688912796E-2</v>
      </c>
      <c r="L23" s="16">
        <v>4.4600000000000001E-2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6029093011.0699997</v>
      </c>
      <c r="R23" s="15">
        <v>5727638360.5200005</v>
      </c>
      <c r="S23" s="15">
        <v>5426183709.96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4562573540.9300003</v>
      </c>
      <c r="J24" s="15">
        <v>100776089558.56</v>
      </c>
      <c r="K24" s="10">
        <f t="shared" si="1"/>
        <v>4.5274365783748077E-2</v>
      </c>
      <c r="L24" s="16">
        <v>4.53E-2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6046565373.5100002</v>
      </c>
      <c r="R24" s="15">
        <v>5744237104.8299999</v>
      </c>
      <c r="S24" s="15">
        <v>5441908836.1599998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4743917771.9799995</v>
      </c>
      <c r="J25" s="15">
        <v>106555756842.87</v>
      </c>
      <c r="K25" s="10">
        <f t="shared" si="1"/>
        <v>4.4520520641371908E-2</v>
      </c>
      <c r="L25" s="16">
        <v>4.4499999999999998E-2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6393345410.5699997</v>
      </c>
      <c r="R25" s="15">
        <v>6073678140.04</v>
      </c>
      <c r="S25" s="15">
        <v>5754010869.5100002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581396724.65999997</v>
      </c>
      <c r="J26" s="15">
        <v>89354294233.529999</v>
      </c>
      <c r="K26" s="10">
        <f t="shared" si="1"/>
        <v>6.506645591542618E-3</v>
      </c>
      <c r="L26" s="16">
        <v>6.5000000000000006E-3</v>
      </c>
      <c r="M26" s="9" t="str">
        <f t="shared" si="2"/>
        <v>Sim</v>
      </c>
      <c r="N26" s="16">
        <v>1.32E-2</v>
      </c>
      <c r="O26" s="16">
        <v>1.2500000000000001E-2</v>
      </c>
      <c r="P26" s="16">
        <v>1.1900000000000001E-2</v>
      </c>
      <c r="Q26" s="15">
        <v>1175902512.1099999</v>
      </c>
      <c r="R26" s="15">
        <v>1117107386.5</v>
      </c>
      <c r="S26" s="15">
        <v>1058312260.9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665804422.13999999</v>
      </c>
      <c r="J27" s="15">
        <v>91274590655.809998</v>
      </c>
      <c r="K27" s="10">
        <f t="shared" si="1"/>
        <v>7.2945210420137761E-3</v>
      </c>
      <c r="L27" s="16">
        <v>7.3000000000000001E-3</v>
      </c>
      <c r="M27" s="9" t="str">
        <f t="shared" si="2"/>
        <v>Sim</v>
      </c>
      <c r="N27" s="16">
        <v>1.32E-2</v>
      </c>
      <c r="O27" s="16">
        <v>1.2500000000000001E-2</v>
      </c>
      <c r="P27" s="16">
        <v>1.1900000000000001E-2</v>
      </c>
      <c r="Q27" s="15">
        <v>1201173613.03</v>
      </c>
      <c r="R27" s="15">
        <v>1141114932.3800001</v>
      </c>
      <c r="S27" s="15">
        <v>1081056251.73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691448827.52999997</v>
      </c>
      <c r="J28" s="15">
        <v>92709068228.220001</v>
      </c>
      <c r="K28" s="10">
        <f t="shared" si="1"/>
        <v>7.4582653104427136E-3</v>
      </c>
      <c r="L28" s="16">
        <v>7.4999999999999997E-3</v>
      </c>
      <c r="M28" s="9" t="str">
        <f t="shared" si="2"/>
        <v>Sim</v>
      </c>
      <c r="N28" s="16">
        <v>1.32E-2</v>
      </c>
      <c r="O28" s="16">
        <v>1.2500000000000001E-2</v>
      </c>
      <c r="P28" s="16">
        <v>1.1900000000000001E-2</v>
      </c>
      <c r="Q28" s="15">
        <v>1220051337.8800001</v>
      </c>
      <c r="R28" s="15">
        <v>1159048770.99</v>
      </c>
      <c r="S28" s="15">
        <v>1098046204.0899999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715012684.88</v>
      </c>
      <c r="J29" s="15">
        <v>97236097158.179993</v>
      </c>
      <c r="K29" s="10">
        <f t="shared" si="1"/>
        <v>7.3533667616959624E-3</v>
      </c>
      <c r="L29" s="16">
        <v>7.4000000000000003E-3</v>
      </c>
      <c r="M29" s="9" t="str">
        <f t="shared" si="2"/>
        <v>Sim</v>
      </c>
      <c r="N29" s="16">
        <v>1.32E-2</v>
      </c>
      <c r="O29" s="16">
        <v>1.2500000000000001E-2</v>
      </c>
      <c r="P29" s="16">
        <v>1.1900000000000001E-2</v>
      </c>
      <c r="Q29" s="15">
        <v>1279627038.5999999</v>
      </c>
      <c r="R29" s="15">
        <v>1215645686.6700001</v>
      </c>
      <c r="S29" s="15">
        <v>1151664334.74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693459302.96000004</v>
      </c>
      <c r="J30" s="15">
        <v>100456462855.39</v>
      </c>
      <c r="K30" s="10">
        <f t="shared" si="1"/>
        <v>6.9030830197381616E-3</v>
      </c>
      <c r="L30" s="16">
        <v>6.8999999999999999E-3</v>
      </c>
      <c r="M30" s="9" t="str">
        <f t="shared" si="2"/>
        <v>Sim</v>
      </c>
      <c r="N30" s="16">
        <v>1.32E-2</v>
      </c>
      <c r="O30" s="16">
        <v>1.2500000000000001E-2</v>
      </c>
      <c r="P30" s="16">
        <v>1.1900000000000001E-2</v>
      </c>
      <c r="Q30" s="15">
        <v>1322007051.1800001</v>
      </c>
      <c r="R30" s="15">
        <v>1255906698.6199999</v>
      </c>
      <c r="S30" s="15">
        <v>1189806346.0599999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773624448.37</v>
      </c>
      <c r="J31" s="15">
        <v>100484883517.83</v>
      </c>
      <c r="K31" s="10">
        <f t="shared" si="1"/>
        <v>7.6989137200196723E-3</v>
      </c>
      <c r="L31" s="16">
        <v>7.7000000000000002E-3</v>
      </c>
      <c r="M31" s="9" t="str">
        <f t="shared" si="2"/>
        <v>Sim</v>
      </c>
      <c r="N31" s="16">
        <v>1.32E-2</v>
      </c>
      <c r="O31" s="16">
        <v>1.2500000000000001E-2</v>
      </c>
      <c r="P31" s="16">
        <v>1.1900000000000001E-2</v>
      </c>
      <c r="Q31" s="15">
        <v>1322381067.0999999</v>
      </c>
      <c r="R31" s="15">
        <v>1256262013.75</v>
      </c>
      <c r="S31" s="15">
        <v>1190142960.3900001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784412159.53999996</v>
      </c>
      <c r="J32" s="15">
        <v>100776089558.56</v>
      </c>
      <c r="K32" s="10">
        <f t="shared" si="1"/>
        <v>7.7837130114498613E-3</v>
      </c>
      <c r="L32" s="16">
        <v>7.8000000000000014E-3</v>
      </c>
      <c r="M32" s="9" t="str">
        <f t="shared" si="2"/>
        <v>Sim</v>
      </c>
      <c r="N32" s="16">
        <v>1.3100000000000001E-2</v>
      </c>
      <c r="O32" s="16">
        <v>1.24E-2</v>
      </c>
      <c r="P32" s="16">
        <v>1.18E-2</v>
      </c>
      <c r="Q32" s="15">
        <v>1326213338.5899999</v>
      </c>
      <c r="R32" s="15">
        <v>1259902671.6600001</v>
      </c>
      <c r="S32" s="15">
        <v>1193592004.73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908217556.39999998</v>
      </c>
      <c r="J33" s="15">
        <v>106555756842.87</v>
      </c>
      <c r="K33" s="10">
        <f t="shared" si="1"/>
        <v>8.5234020508087819E-3</v>
      </c>
      <c r="L33" s="16">
        <v>8.5000000000000006E-3</v>
      </c>
      <c r="M33" s="9" t="str">
        <f t="shared" si="2"/>
        <v>Sim</v>
      </c>
      <c r="N33" s="16">
        <v>1.3100000000000001E-2</v>
      </c>
      <c r="O33" s="16">
        <v>1.24E-2</v>
      </c>
      <c r="P33" s="16">
        <v>1.18E-2</v>
      </c>
      <c r="Q33" s="15">
        <v>1402273760.05</v>
      </c>
      <c r="R33" s="15">
        <v>1332160072.05</v>
      </c>
      <c r="S33" s="15">
        <v>1262046384.05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964247948.45000005</v>
      </c>
      <c r="J34" s="15">
        <v>89354294233.529999</v>
      </c>
      <c r="K34" s="10">
        <f t="shared" si="1"/>
        <v>1.0791288283581654E-2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993739204.20000005</v>
      </c>
      <c r="J35" s="15">
        <v>91274590655.800003</v>
      </c>
      <c r="K35" s="10">
        <f t="shared" si="1"/>
        <v>1.08873586510777E-2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1013984983.34</v>
      </c>
      <c r="J36" s="15">
        <v>92709068228.220001</v>
      </c>
      <c r="K36" s="10">
        <f t="shared" si="1"/>
        <v>1.0937279413097909E-2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1080201714.3800001</v>
      </c>
      <c r="J37" s="15">
        <v>97236097158.179993</v>
      </c>
      <c r="K37" s="10">
        <f t="shared" si="1"/>
        <v>1.110906079069349E-2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1146921480.77</v>
      </c>
      <c r="J38" s="15">
        <v>100456462855.39</v>
      </c>
      <c r="K38" s="10">
        <f t="shared" si="1"/>
        <v>1.1417099987096169E-2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1264663098.5999999</v>
      </c>
      <c r="J39" s="15">
        <v>100484883517.83</v>
      </c>
      <c r="K39" s="10">
        <f t="shared" si="1"/>
        <v>1.2585605459507734E-2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1327838302.05</v>
      </c>
      <c r="J40" s="15">
        <v>100776089558.56</v>
      </c>
      <c r="K40" s="10">
        <f t="shared" si="1"/>
        <v>1.317612449407859E-2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1355797032.8900001</v>
      </c>
      <c r="J41" s="15">
        <v>106555756842.87</v>
      </c>
      <c r="K41" s="10">
        <f t="shared" si="1"/>
        <v>1.2723827159233593E-2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1451534578.54</v>
      </c>
      <c r="J42" s="15">
        <v>89354294233.529999</v>
      </c>
      <c r="K42" s="10">
        <f t="shared" si="1"/>
        <v>1.6244709792529646E-2</v>
      </c>
      <c r="L42" s="16">
        <v>1.6199999999999999E-2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1787085884.6700001</v>
      </c>
      <c r="R42" s="15">
        <v>1697731590.4400001</v>
      </c>
      <c r="S42" s="15">
        <v>1608377296.2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1499466774.6900001</v>
      </c>
      <c r="J43" s="15">
        <v>91274590655.809998</v>
      </c>
      <c r="K43" s="10">
        <f t="shared" si="1"/>
        <v>1.6428085449809168E-2</v>
      </c>
      <c r="L43" s="16">
        <v>1.6400000000000001E-2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1825491813.1199999</v>
      </c>
      <c r="R43" s="15">
        <v>1734217222.46</v>
      </c>
      <c r="S43" s="15">
        <v>1642942631.8099999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1528769608.3699999</v>
      </c>
      <c r="J44" s="15">
        <v>92709068228.220001</v>
      </c>
      <c r="K44" s="10">
        <f t="shared" si="1"/>
        <v>1.648996843120739E-2</v>
      </c>
      <c r="L44" s="16">
        <v>1.6500000000000001E-2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1854181364.5599999</v>
      </c>
      <c r="R44" s="15">
        <v>1761472296.3299999</v>
      </c>
      <c r="S44" s="15">
        <v>1668763228.0999999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1522986864.05</v>
      </c>
      <c r="J45" s="15">
        <v>97236097158.179993</v>
      </c>
      <c r="K45" s="10">
        <f t="shared" si="1"/>
        <v>1.5662772453448669E-2</v>
      </c>
      <c r="L45" s="16">
        <v>1.5699999999999999E-2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1944721943.1600001</v>
      </c>
      <c r="R45" s="15">
        <v>1847485846</v>
      </c>
      <c r="S45" s="15">
        <v>1750249748.8399999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1532614558.3199999</v>
      </c>
      <c r="J46" s="15">
        <v>100456462855.39</v>
      </c>
      <c r="K46" s="10">
        <f t="shared" si="1"/>
        <v>1.5256505303459103E-2</v>
      </c>
      <c r="L46" s="16">
        <v>1.5299999999999999E-2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2009129257.1099999</v>
      </c>
      <c r="R46" s="15">
        <v>1908672794.25</v>
      </c>
      <c r="S46" s="15">
        <v>1808216331.4000001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1554240261.3900001</v>
      </c>
      <c r="J47" s="15">
        <v>100484883517.83</v>
      </c>
      <c r="K47" s="10">
        <f t="shared" si="1"/>
        <v>1.5467403722612827E-2</v>
      </c>
      <c r="L47" s="16">
        <v>1.55E-2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2009697670.3599999</v>
      </c>
      <c r="R47" s="15">
        <v>1909212786.8399999</v>
      </c>
      <c r="S47" s="15">
        <v>1808727903.3199999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1658380989.1800001</v>
      </c>
      <c r="J48" s="15">
        <v>100776089558.56</v>
      </c>
      <c r="K48" s="10">
        <f t="shared" si="1"/>
        <v>1.6456095850160283E-2</v>
      </c>
      <c r="L48" s="16">
        <v>1.6500000000000001E-2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2015521791.1700001</v>
      </c>
      <c r="R48" s="15">
        <v>1914745701.6099999</v>
      </c>
      <c r="S48" s="15">
        <v>1813969612.05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1657158220.02</v>
      </c>
      <c r="J49" s="15">
        <v>106555756842.87</v>
      </c>
      <c r="K49" s="10">
        <f t="shared" si="1"/>
        <v>1.5552028995145616E-2</v>
      </c>
      <c r="L49" s="16">
        <v>1.5599999999999999E-2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2131115136.8599999</v>
      </c>
      <c r="R49" s="15">
        <v>2024559380.02</v>
      </c>
      <c r="S49" s="15">
        <v>1918003623.1700001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30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2026-10-15T09:56:25Z</dcterms:created>
  <dcterms:modified xsi:type="dcterms:W3CDTF">2026-10-15T09:57:10Z</dcterms:modified>
</cp:coreProperties>
</file>