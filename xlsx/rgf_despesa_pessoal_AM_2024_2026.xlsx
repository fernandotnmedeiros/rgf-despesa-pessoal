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0992963FD10F6A64BCF3E872A4C8551F77010CC2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F12" i="1"/>
  <c r="E12" i="1"/>
  <c r="D12" i="1"/>
  <c r="C12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M43" i="2" l="1"/>
  <c r="T43" i="2"/>
  <c r="M30" i="2"/>
  <c r="T30" i="2"/>
  <c r="T24" i="2"/>
  <c r="M24" i="2"/>
  <c r="T49" i="2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C20" i="1"/>
  <c r="G20" i="1"/>
  <c r="J20" i="1"/>
  <c r="E21" i="1"/>
  <c r="C10" i="1"/>
  <c r="G21" i="1"/>
  <c r="J21" i="1"/>
  <c r="E20" i="1"/>
  <c r="I21" i="1"/>
  <c r="D20" i="1"/>
  <c r="F20" i="1"/>
  <c r="H20" i="1"/>
  <c r="I20" i="1"/>
  <c r="D21" i="1"/>
  <c r="F21" i="1"/>
  <c r="H21" i="1"/>
  <c r="C21" i="1"/>
  <c r="D10" i="1"/>
  <c r="E10" i="1"/>
  <c r="E11" i="1"/>
  <c r="F11" i="1"/>
  <c r="G11" i="1"/>
  <c r="H11" i="1"/>
  <c r="J11" i="1"/>
  <c r="K11" i="1"/>
  <c r="L11" i="1"/>
  <c r="I11" i="1"/>
  <c r="T33" i="2"/>
  <c r="L9" i="1" s="1"/>
  <c r="M33" i="2"/>
  <c r="M32" i="2"/>
  <c r="T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M23" i="2"/>
  <c r="T23" i="2"/>
  <c r="T22" i="2"/>
  <c r="M22" i="2"/>
  <c r="T21" i="2"/>
  <c r="M21" i="2"/>
  <c r="T20" i="2"/>
  <c r="M20" i="2"/>
  <c r="M19" i="2"/>
  <c r="T19" i="2"/>
  <c r="T18" i="2"/>
  <c r="M18" i="2"/>
  <c r="T17" i="2"/>
  <c r="L7" i="1" s="1"/>
  <c r="M17" i="2"/>
  <c r="T16" i="2"/>
  <c r="M16" i="2"/>
  <c r="T15" i="2"/>
  <c r="M15" i="2"/>
  <c r="M14" i="2"/>
  <c r="T14" i="2"/>
  <c r="T13" i="2"/>
  <c r="M13" i="2"/>
  <c r="T12" i="2"/>
  <c r="M12" i="2"/>
  <c r="T11" i="2"/>
  <c r="M11" i="2"/>
  <c r="T10" i="2"/>
  <c r="M10" i="2"/>
  <c r="T9" i="2"/>
  <c r="L6" i="1" s="1"/>
  <c r="M9" i="2"/>
  <c r="M8" i="2"/>
  <c r="T8" i="2"/>
  <c r="T7" i="2"/>
  <c r="M7" i="2"/>
  <c r="M6" i="2"/>
  <c r="T6" i="2"/>
  <c r="G12" i="1"/>
  <c r="H10" i="1"/>
  <c r="G10" i="1"/>
  <c r="F10" i="1"/>
  <c r="T5" i="2"/>
  <c r="M5" i="2"/>
  <c r="M4" i="2"/>
  <c r="T4" i="2"/>
  <c r="M3" i="2"/>
  <c r="T3" i="2"/>
  <c r="T2" i="2"/>
  <c r="M2" i="2"/>
  <c r="G16" i="1"/>
  <c r="F16" i="1"/>
  <c r="E16" i="1"/>
  <c r="D16" i="1"/>
  <c r="C16" i="1"/>
  <c r="J12" i="1"/>
  <c r="D11" i="1"/>
  <c r="C11" i="1"/>
  <c r="L10" i="1"/>
  <c r="K10" i="1"/>
  <c r="J10" i="1"/>
  <c r="I10" i="1"/>
  <c r="I12" i="1"/>
  <c r="H12" i="1"/>
  <c r="J16" i="1"/>
  <c r="I16" i="1"/>
  <c r="H16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<sst xmlns="http://schemas.openxmlformats.org/spreadsheetml/2006/main" count="427" uniqueCount="83">
  <si>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Amazonas (AM)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</si>
  <si>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</si>
  <si>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</si>
  <si>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</si>
  <si>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</si>
  <si>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</si>
  <si>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</si>
  <si>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</si>
  <si>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</si>
  <si>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</si>
  <si>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</si>
  <si>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</si>
  <si>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</si>
  <si>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</si>
  <si>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</si>
  <si>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</si>
  <si>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</si>
  <si>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</si>
  <si>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</si>
  <si>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</si>
  <si>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</si>
  <si>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</si>
  <si>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</si>
  <si>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</si>
  <si>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</si>
  <si>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</si>
  <si>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</si>
  <si>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</si>
  <si>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</si>
  <si>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</si>
  <si>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</si>
  <si>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</si>
  <si>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</si>
  <si>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</si>
  <si>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</si>
  <si>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</si>
  <si>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</si>
  <si>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</si>
  <si>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</si>
  <si>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</si>
  <si>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</si>
  <si>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</si>
  <si>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</si>
  <si>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</si>
  <si>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</si>
  <si>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</si>
  <si>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</si>
  <si>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Amazonas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</si>
  <si>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</si>
  <si>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</si>
  <si>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</si>
  <si>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</si>
  <si>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</si>
  <si>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</si>
  <si>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</si>
  <si>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</si>
  <si>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</si>
  <si>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</si>
  <si>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</si>
  <si>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</si>
  <si>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Amazonas</t>
  </si>
  <si>
    <t>Tribunal de Justiça do Estado do Amazonas</t>
  </si>
  <si>
    <t>Tribunal de Contas do Estado do Amazonas</t>
  </si>
  <si>
    <t>Defensoria Pública do Estado do Amazonas</t>
  </si>
  <si>
    <t>Calculado (despesa líquida / RCL Ajustada do Executivo)</t>
  </si>
  <si>
    <t>Ministério Público do Estado do Amazonas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</si>
  <si>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</si>
  <si>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</si>
  <si>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</si>
  <si>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</si>
  <si>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Amazonas (AM).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</si>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</sst>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0.39653150785183383</v>
      </c>
      <c r="D6" s="7">
        <f>IFERROR(IF(INDEX(Dados!$K$2:$K$49,MATCH($A6&amp;"|"&amp;D$5,Dados!$A$2:$A$49,0))="","",INDEX(Dados!$K$2:$K$49,MATCH($A6&amp;"|"&amp;D$5,Dados!$A$2:$A$49,0))),"")</f>
        <v>0.40326022529155009</v>
      </c>
      <c r="E6" s="7">
        <f>IFERROR(IF(INDEX(Dados!$K$2:$K$49,MATCH($A6&amp;"|"&amp;E$5,Dados!$A$2:$A$49,0))="","",INDEX(Dados!$K$2:$K$49,MATCH($A6&amp;"|"&amp;E$5,Dados!$A$2:$A$49,0))),"")</f>
        <v>0.38765992612877731</v>
      </c>
      <c r="F6" s="7">
        <f>IFERROR(IF(INDEX(Dados!$K$2:$K$49,MATCH($A6&amp;"|"&amp;F$5,Dados!$A$2:$A$49,0))="","",INDEX(Dados!$K$2:$K$49,MATCH($A6&amp;"|"&amp;F$5,Dados!$A$2:$A$49,0))),"")</f>
        <v>0.38278513489574328</v>
      </c>
      <c r="G6" s="7">
        <f>IFERROR(IF(INDEX(Dados!$K$2:$K$49,MATCH($A6&amp;"|"&amp;G$5,Dados!$A$2:$A$49,0))="","",INDEX(Dados!$K$2:$K$49,MATCH($A6&amp;"|"&amp;G$5,Dados!$A$2:$A$49,0))),"")</f>
        <v>0.38073200664425694</v>
      </c>
      <c r="H6" s="7">
        <f>IFERROR(IF(INDEX(Dados!$K$2:$K$49,MATCH($A6&amp;"|"&amp;H$5,Dados!$A$2:$A$49,0))="","",INDEX(Dados!$K$2:$K$49,MATCH($A6&amp;"|"&amp;H$5,Dados!$A$2:$A$49,0))),"")</f>
        <v>0.38094837873428489</v>
      </c>
      <c r="I6" s="7">
        <f>IFERROR(IF(INDEX(Dados!$K$2:$K$49,MATCH($A6&amp;"|"&amp;I$5,Dados!$A$2:$A$49,0))="","",INDEX(Dados!$K$2:$K$49,MATCH($A6&amp;"|"&amp;I$5,Dados!$A$2:$A$49,0))),"")</f>
        <v>0.38709526085432705</v>
      </c>
      <c r="J6" s="7">
        <f>IFERROR(IF(INDEX(Dados!$K$2:$K$49,MATCH($A6&amp;"|"&amp;J$5,Dados!$A$2:$A$49,0))="","",INDEX(Dados!$K$2:$K$49,MATCH($A6&amp;"|"&amp;J$5,Dados!$A$2:$A$49,0))),"")</f>
        <v>0.3946837349088993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1.3470257968512646E-2</v>
      </c>
      <c r="D7" s="10">
        <f>IFERROR(IF(INDEX(Dados!$K$2:$K$49,MATCH($A7&amp;"|"&amp;D$5,Dados!$A$2:$A$49,0))="","",INDEX(Dados!$K$2:$K$49,MATCH($A7&amp;"|"&amp;D$5,Dados!$A$2:$A$49,0))),"")</f>
        <v>1.3381837281837573E-2</v>
      </c>
      <c r="E7" s="10">
        <f>IFERROR(IF(INDEX(Dados!$K$2:$K$49,MATCH($A7&amp;"|"&amp;E$5,Dados!$A$2:$A$49,0))="","",INDEX(Dados!$K$2:$K$49,MATCH($A7&amp;"|"&amp;E$5,Dados!$A$2:$A$49,0))),"")</f>
        <v>1.0442954130122169E-2</v>
      </c>
      <c r="F7" s="10">
        <f>IFERROR(IF(INDEX(Dados!$K$2:$K$49,MATCH($A7&amp;"|"&amp;F$5,Dados!$A$2:$A$49,0))="","",INDEX(Dados!$K$2:$K$49,MATCH($A7&amp;"|"&amp;F$5,Dados!$A$2:$A$49,0))),"")</f>
        <v>1.2146272949977003E-2</v>
      </c>
      <c r="G7" s="10">
        <f>IFERROR(IF(INDEX(Dados!$K$2:$K$49,MATCH($A7&amp;"|"&amp;G$5,Dados!$A$2:$A$49,0))="","",INDEX(Dados!$K$2:$K$49,MATCH($A7&amp;"|"&amp;G$5,Dados!$A$2:$A$49,0))),"")</f>
        <v>1.1917926527106259E-2</v>
      </c>
      <c r="H7" s="10">
        <f>IFERROR(IF(INDEX(Dados!$K$2:$K$49,MATCH($A7&amp;"|"&amp;H$5,Dados!$A$2:$A$49,0))="","",INDEX(Dados!$K$2:$K$49,MATCH($A7&amp;"|"&amp;H$5,Dados!$A$2:$A$49,0))),"")</f>
        <v>1.0673300823210708E-2</v>
      </c>
      <c r="I7" s="10">
        <f>IFERROR(IF(INDEX(Dados!$K$2:$K$49,MATCH($A7&amp;"|"&amp;I$5,Dados!$A$2:$A$49,0))="","",INDEX(Dados!$K$2:$K$49,MATCH($A7&amp;"|"&amp;I$5,Dados!$A$2:$A$49,0))),"")</f>
        <v>1.2349671939603936E-2</v>
      </c>
      <c r="J7" s="10">
        <f>IFERROR(IF(INDEX(Dados!$K$2:$K$49,MATCH($A7&amp;"|"&amp;J$5,Dados!$A$2:$A$49,0))="","",INDEX(Dados!$K$2:$K$49,MATCH($A7&amp;"|"&amp;J$5,Dados!$A$2:$A$49,0))),"")</f>
        <v>1.2208940873264315E-2</v>
      </c>
      <c r="K7" s="10">
        <f>IFERROR(IF(INDEX(Dados!$N$2:$N$49,MATCH($A7&amp;"|"&amp;J$5,Dados!$A$2:$A$49,0))=0,"—",INDEX(Dados!$N$2:$N$49,MATCH($A7&amp;"|"&amp;J$5,Dados!$A$2:$A$49,0))),"—")</f>
        <v>1.5699999999999999E-2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3.4767917406532269E-2</v>
      </c>
      <c r="D8" s="10">
        <f>IFERROR(IF(INDEX(Dados!$K$2:$K$49,MATCH($A8&amp;"|"&amp;D$5,Dados!$A$2:$A$49,0))="","",INDEX(Dados!$K$2:$K$49,MATCH($A8&amp;"|"&amp;D$5,Dados!$A$2:$A$49,0))),"")</f>
        <v>3.5094625985408988E-2</v>
      </c>
      <c r="E8" s="10">
        <f>IFERROR(IF(INDEX(Dados!$K$2:$K$49,MATCH($A8&amp;"|"&amp;E$5,Dados!$A$2:$A$49,0))="","",INDEX(Dados!$K$2:$K$49,MATCH($A8&amp;"|"&amp;E$5,Dados!$A$2:$A$49,0))),"")</f>
        <v>3.5246582394662773E-2</v>
      </c>
      <c r="F8" s="10">
        <f>IFERROR(IF(INDEX(Dados!$K$2:$K$49,MATCH($A8&amp;"|"&amp;F$5,Dados!$A$2:$A$49,0))="","",INDEX(Dados!$K$2:$K$49,MATCH($A8&amp;"|"&amp;F$5,Dados!$A$2:$A$49,0))),"")</f>
        <v>3.4741094043442916E-2</v>
      </c>
      <c r="G8" s="10">
        <f>IFERROR(IF(INDEX(Dados!$K$2:$K$49,MATCH($A8&amp;"|"&amp;G$5,Dados!$A$2:$A$49,0))="","",INDEX(Dados!$K$2:$K$49,MATCH($A8&amp;"|"&amp;G$5,Dados!$A$2:$A$49,0))),"")</f>
        <v>3.4251915479615078E-2</v>
      </c>
      <c r="H8" s="10">
        <f>IFERROR(IF(INDEX(Dados!$K$2:$K$49,MATCH($A8&amp;"|"&amp;H$5,Dados!$A$2:$A$49,0))="","",INDEX(Dados!$K$2:$K$49,MATCH($A8&amp;"|"&amp;H$5,Dados!$A$2:$A$49,0))),"")</f>
        <v>3.4803564799666654E-2</v>
      </c>
      <c r="I8" s="10">
        <f>IFERROR(IF(INDEX(Dados!$K$2:$K$49,MATCH($A8&amp;"|"&amp;I$5,Dados!$A$2:$A$49,0))="","",INDEX(Dados!$K$2:$K$49,MATCH($A8&amp;"|"&amp;I$5,Dados!$A$2:$A$49,0))),"")</f>
        <v>3.5277851790424579E-2</v>
      </c>
      <c r="J8" s="10">
        <f>IFERROR(IF(INDEX(Dados!$K$2:$K$49,MATCH($A8&amp;"|"&amp;J$5,Dados!$A$2:$A$49,0))="","",INDEX(Dados!$K$2:$K$49,MATCH($A8&amp;"|"&amp;J$5,Dados!$A$2:$A$49,0))),"")</f>
        <v>3.5629164139673403E-2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1.261649710084474E-2</v>
      </c>
      <c r="D9" s="10">
        <f>IFERROR(IF(INDEX(Dados!$K$2:$K$49,MATCH($A9&amp;"|"&amp;D$5,Dados!$A$2:$A$49,0))="","",INDEX(Dados!$K$2:$K$49,MATCH($A9&amp;"|"&amp;D$5,Dados!$A$2:$A$49,0))),"")</f>
        <v>1.3020677922082566E-2</v>
      </c>
      <c r="E9" s="10">
        <f>IFERROR(IF(INDEX(Dados!$K$2:$K$49,MATCH($A9&amp;"|"&amp;E$5,Dados!$A$2:$A$49,0))="","",INDEX(Dados!$K$2:$K$49,MATCH($A9&amp;"|"&amp;E$5,Dados!$A$2:$A$49,0))),"")</f>
        <v>1.2401217767982222E-2</v>
      </c>
      <c r="F9" s="10">
        <f>IFERROR(IF(INDEX(Dados!$K$2:$K$49,MATCH($A9&amp;"|"&amp;F$5,Dados!$A$2:$A$49,0))="","",INDEX(Dados!$K$2:$K$49,MATCH($A9&amp;"|"&amp;F$5,Dados!$A$2:$A$49,0))),"")</f>
        <v>1.3664883207709595E-2</v>
      </c>
      <c r="G9" s="10">
        <f>IFERROR(IF(INDEX(Dados!$K$2:$K$49,MATCH($A9&amp;"|"&amp;G$5,Dados!$A$2:$A$49,0))="","",INDEX(Dados!$K$2:$K$49,MATCH($A9&amp;"|"&amp;G$5,Dados!$A$2:$A$49,0))),"")</f>
        <v>1.3157449337197029E-2</v>
      </c>
      <c r="H9" s="10">
        <f>IFERROR(IF(INDEX(Dados!$K$2:$K$49,MATCH($A9&amp;"|"&amp;H$5,Dados!$A$2:$A$49,0))="","",INDEX(Dados!$K$2:$K$49,MATCH($A9&amp;"|"&amp;H$5,Dados!$A$2:$A$49,0))),"")</f>
        <v>1.0761122941045207E-2</v>
      </c>
      <c r="I9" s="10">
        <f>IFERROR(IF(INDEX(Dados!$K$2:$K$49,MATCH($A9&amp;"|"&amp;I$5,Dados!$A$2:$A$49,0))="","",INDEX(Dados!$K$2:$K$49,MATCH($A9&amp;"|"&amp;I$5,Dados!$A$2:$A$49,0))),"")</f>
        <v>1.1000319549155405E-2</v>
      </c>
      <c r="J9" s="10">
        <f>IFERROR(IF(INDEX(Dados!$K$2:$K$49,MATCH($A9&amp;"|"&amp;J$5,Dados!$A$2:$A$49,0))="","",INDEX(Dados!$K$2:$K$49,MATCH($A9&amp;"|"&amp;J$5,Dados!$A$2:$A$49,0))),"")</f>
        <v>1.1065867729278566E-2</v>
      </c>
      <c r="K9" s="10">
        <f>IFERROR(IF(INDEX(Dados!$N$2:$N$49,MATCH($A9&amp;"|"&amp;J$5,Dados!$A$2:$A$49,0))=0,"—",INDEX(Dados!$N$2:$N$49,MATCH($A9&amp;"|"&amp;J$5,Dados!$A$2:$A$49,0))),"—")</f>
        <v>1.43E-2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6.1217751112046248E-3</v>
      </c>
      <c r="D10" s="10">
        <f>IFERROR(IF(INDEX(Dados!$K$2:$K$49,MATCH($A10&amp;"|"&amp;D$5,Dados!$A$2:$A$49,0))="","",INDEX(Dados!$K$2:$K$49,MATCH($A10&amp;"|"&amp;D$5,Dados!$A$2:$A$49,0))),"")</f>
        <v>6.0005841279335568E-3</v>
      </c>
      <c r="E10" s="10">
        <f>IFERROR(IF(INDEX(Dados!$K$2:$K$49,MATCH($A10&amp;"|"&amp;E$5,Dados!$A$2:$A$49,0))="","",INDEX(Dados!$K$2:$K$49,MATCH($A10&amp;"|"&amp;E$5,Dados!$A$2:$A$49,0))),"")</f>
        <v>5.895266893430692E-3</v>
      </c>
      <c r="F10" s="10">
        <f>IFERROR(IF(INDEX(Dados!$K$2:$K$49,MATCH($A10&amp;"|"&amp;F$5,Dados!$A$2:$A$49,0))="","",INDEX(Dados!$K$2:$K$49,MATCH($A10&amp;"|"&amp;F$5,Dados!$A$2:$A$49,0))),"")</f>
        <v>5.9862577145621014E-3</v>
      </c>
      <c r="G10" s="10">
        <f>IFERROR(IF(INDEX(Dados!$K$2:$K$49,MATCH($A10&amp;"|"&amp;G$5,Dados!$A$2:$A$49,0))="","",INDEX(Dados!$K$2:$K$49,MATCH($A10&amp;"|"&amp;G$5,Dados!$A$2:$A$49,0))),"")</f>
        <v>6.06311868335531E-3</v>
      </c>
      <c r="H10" s="10">
        <f>IFERROR(IF(INDEX(Dados!$K$2:$K$49,MATCH($A10&amp;"|"&amp;H$5,Dados!$A$2:$A$49,0))="","",INDEX(Dados!$K$2:$K$49,MATCH($A10&amp;"|"&amp;H$5,Dados!$A$2:$A$49,0))),"")</f>
        <v>5.952075005462661E-3</v>
      </c>
      <c r="I10" s="10">
        <f>IFERROR(IF(INDEX(Dados!$K$2:$K$49,MATCH($A10&amp;"|"&amp;I$5,Dados!$A$2:$A$49,0))="","",INDEX(Dados!$K$2:$K$49,MATCH($A10&amp;"|"&amp;I$5,Dados!$A$2:$A$49,0))),"")</f>
        <v>6.2132914658495917E-3</v>
      </c>
      <c r="J10" s="10">
        <f>IFERROR(IF(INDEX(Dados!$K$2:$K$49,MATCH($A10&amp;"|"&amp;J$5,Dados!$A$2:$A$49,0))="","",INDEX(Dados!$K$2:$K$49,MATCH($A10&amp;"|"&amp;J$5,Dados!$A$2:$A$49,0))),"")</f>
        <v>6.4516626125390233E-3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1.3046573167805131E-2</v>
      </c>
      <c r="D11" s="10">
        <f>IFERROR(IF(INDEX(Dados!$K$2:$K$49,MATCH($A11&amp;"|"&amp;D$5,Dados!$A$2:$A$49,0))="","",INDEX(Dados!$K$2:$K$49,MATCH($A11&amp;"|"&amp;D$5,Dados!$A$2:$A$49,0))),"")</f>
        <v>1.2953447977821936E-2</v>
      </c>
      <c r="E11" s="10">
        <f>IFERROR(IF(INDEX(Dados!$K$2:$K$49,MATCH($A11&amp;"|"&amp;E$5,Dados!$A$2:$A$49,0))="","",INDEX(Dados!$K$2:$K$49,MATCH($A11&amp;"|"&amp;E$5,Dados!$A$2:$A$49,0))),"")</f>
        <v>1.2341132937816225E-2</v>
      </c>
      <c r="F11" s="10">
        <f>IFERROR(IF(INDEX(Dados!$K$2:$K$49,MATCH($A11&amp;"|"&amp;F$5,Dados!$A$2:$A$49,0))="","",INDEX(Dados!$K$2:$K$49,MATCH($A11&amp;"|"&amp;F$5,Dados!$A$2:$A$49,0))),"")</f>
        <v>1.2248966219433454E-2</v>
      </c>
      <c r="G11" s="10">
        <f>IFERROR(IF(INDEX(Dados!$K$2:$K$49,MATCH($A11&amp;"|"&amp;G$5,Dados!$A$2:$A$49,0))="","",INDEX(Dados!$K$2:$K$49,MATCH($A11&amp;"|"&amp;G$5,Dados!$A$2:$A$49,0))),"")</f>
        <v>1.1997729337033651E-2</v>
      </c>
      <c r="H11" s="10">
        <f>IFERROR(IF(INDEX(Dados!$K$2:$K$49,MATCH($A11&amp;"|"&amp;H$5,Dados!$A$2:$A$49,0))="","",INDEX(Dados!$K$2:$K$49,MATCH($A11&amp;"|"&amp;H$5,Dados!$A$2:$A$49,0))),"")</f>
        <v>1.1868068697391638E-2</v>
      </c>
      <c r="I11" s="10">
        <f>IFERROR(IF(INDEX(Dados!$K$2:$K$49,MATCH($A11&amp;"|"&amp;I$5,Dados!$A$2:$A$49,0))="","",INDEX(Dados!$K$2:$K$49,MATCH($A11&amp;"|"&amp;I$5,Dados!$A$2:$A$49,0))),"")</f>
        <v>1.1830223203049136E-2</v>
      </c>
      <c r="J11" s="10">
        <f>IFERROR(IF(INDEX(Dados!$K$2:$K$49,MATCH($A11&amp;"|"&amp;J$5,Dados!$A$2:$A$49,0))="","",INDEX(Dados!$K$2:$K$49,MATCH($A11&amp;"|"&amp;J$5,Dados!$A$2:$A$49,0))),"")</f>
        <v>1.2185890436418132E-2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23817.377336049998</v>
      </c>
      <c r="D12" s="12">
        <f>IFERROR(INDEX(Dados!$J$2:$J$49,MATCH("Governo|"&amp;D$5,Dados!$A$2:$A$49,0))/1000000,"")</f>
        <v>24712.536776159999</v>
      </c>
      <c r="E12" s="12">
        <f>IFERROR(INDEX(Dados!$J$2:$J$49,MATCH("Governo|"&amp;E$5,Dados!$A$2:$A$49,0))/1000000,"")</f>
        <v>26423.983318480001</v>
      </c>
      <c r="F12" s="12">
        <f>IFERROR(INDEX(Dados!$J$2:$J$49,MATCH("Governo|"&amp;F$5,Dados!$A$2:$A$49,0))/1000000,"")</f>
        <v>27482.466523250001</v>
      </c>
      <c r="G12" s="12">
        <f>IFERROR(INDEX(Dados!$J$2:$J$49,MATCH("Governo|"&amp;G$5,Dados!$A$2:$A$49,0))/1000000,"")</f>
        <v>28356.915277279997</v>
      </c>
      <c r="H12" s="12">
        <f>IFERROR(INDEX(Dados!$J$2:$J$49,MATCH("Governo|"&amp;H$5,Dados!$A$2:$A$49,0))/1000000,"")</f>
        <v>28512.53125914</v>
      </c>
      <c r="I12" s="12">
        <f>IFERROR(INDEX(Dados!$J$2:$J$49,MATCH("Governo|"&amp;I$5,Dados!$A$2:$A$49,0))/1000000,"")</f>
        <v>28917.757389549999</v>
      </c>
      <c r="J12" s="12">
        <f>IFERROR(INDEX(Dados!$J$2:$J$49,MATCH("Governo|"&amp;J$5,Dados!$A$2:$A$49,0))/1000000,"")</f>
        <v>29259.028126040001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9444.3405481399986</v>
      </c>
      <c r="D16" s="13">
        <f>IFERROR(IF(INDEX(Dados!$I$2:$I$49,MATCH($A16&amp;"|"&amp;D$15,Dados!$A$2:$A$49,0))="","",INDEX(Dados!$I$2:$I$49,MATCH($A16&amp;"|"&amp;D$15,Dados!$A$2:$A$49,0))/1000000),"")</f>
        <v>9965.5831478799992</v>
      </c>
      <c r="E16" s="13">
        <f>IFERROR(IF(INDEX(Dados!$I$2:$I$49,MATCH($A16&amp;"|"&amp;E$15,Dados!$A$2:$A$49,0))="","",INDEX(Dados!$I$2:$I$49,MATCH($A16&amp;"|"&amp;E$15,Dados!$A$2:$A$49,0))/1000000),"")</f>
        <v>10243.519421270001</v>
      </c>
      <c r="F16" s="13">
        <f>IFERROR(IF(INDEX(Dados!$I$2:$I$49,MATCH($A16&amp;"|"&amp;F$15,Dados!$A$2:$A$49,0))="","",INDEX(Dados!$I$2:$I$49,MATCH($A16&amp;"|"&amp;F$15,Dados!$A$2:$A$49,0))/1000000),"")</f>
        <v>10519.879655370001</v>
      </c>
      <c r="G16" s="13">
        <f>IFERROR(IF(INDEX(Dados!$I$2:$I$49,MATCH($A16&amp;"|"&amp;G$15,Dados!$A$2:$A$49,0))="","",INDEX(Dados!$I$2:$I$49,MATCH($A16&amp;"|"&amp;G$15,Dados!$A$2:$A$49,0))/1000000),"")</f>
        <v>10796.38525576</v>
      </c>
      <c r="H16" s="13">
        <f>IFERROR(IF(INDEX(Dados!$I$2:$I$49,MATCH($A16&amp;"|"&amp;H$15,Dados!$A$2:$A$49,0))="","",INDEX(Dados!$I$2:$I$49,MATCH($A16&amp;"|"&amp;H$15,Dados!$A$2:$A$49,0))/1000000),"")</f>
        <v>10861.802556780001</v>
      </c>
      <c r="I16" s="13">
        <f>IFERROR(IF(INDEX(Dados!$I$2:$I$49,MATCH($A16&amp;"|"&amp;I$15,Dados!$A$2:$A$49,0))="","",INDEX(Dados!$I$2:$I$49,MATCH($A16&amp;"|"&amp;I$15,Dados!$A$2:$A$49,0))/1000000),"")</f>
        <v>11193.926840030001</v>
      </c>
      <c r="J16" s="13">
        <f>IFERROR(IF(INDEX(Dados!$I$2:$I$49,MATCH($A16&amp;"|"&amp;J$15,Dados!$A$2:$A$49,0))="","",INDEX(Dados!$I$2:$I$49,MATCH($A16&amp;"|"&amp;J$15,Dados!$A$2:$A$49,0))/1000000),"")</f>
        <v>11548.06250059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320.82621685000004</v>
      </c>
      <c r="D17" s="14">
        <f>IFERROR(IF(INDEX(Dados!$I$2:$I$49,MATCH($A17&amp;"|"&amp;D$15,Dados!$A$2:$A$49,0))="","",INDEX(Dados!$I$2:$I$49,MATCH($A17&amp;"|"&amp;D$15,Dados!$A$2:$A$49,0))/1000000),"")</f>
        <v>330.69914595999995</v>
      </c>
      <c r="E17" s="14">
        <f>IFERROR(IF(INDEX(Dados!$I$2:$I$49,MATCH($A17&amp;"|"&amp;E$15,Dados!$A$2:$A$49,0))="","",INDEX(Dados!$I$2:$I$49,MATCH($A17&amp;"|"&amp;E$15,Dados!$A$2:$A$49,0))/1000000),"")</f>
        <v>275.94444573000004</v>
      </c>
      <c r="F17" s="14">
        <f>IFERROR(IF(INDEX(Dados!$I$2:$I$49,MATCH($A17&amp;"|"&amp;F$15,Dados!$A$2:$A$49,0))="","",INDEX(Dados!$I$2:$I$49,MATCH($A17&amp;"|"&amp;F$15,Dados!$A$2:$A$49,0))/1000000),"")</f>
        <v>333.80953973000004</v>
      </c>
      <c r="G17" s="14">
        <f>IFERROR(IF(INDEX(Dados!$I$2:$I$49,MATCH($A17&amp;"|"&amp;G$15,Dados!$A$2:$A$49,0))="","",INDEX(Dados!$I$2:$I$49,MATCH($A17&amp;"|"&amp;G$15,Dados!$A$2:$A$49,0))/1000000),"")</f>
        <v>337.95563281</v>
      </c>
      <c r="H17" s="14">
        <f>IFERROR(IF(INDEX(Dados!$I$2:$I$49,MATCH($A17&amp;"|"&amp;H$15,Dados!$A$2:$A$49,0))="","",INDEX(Dados!$I$2:$I$49,MATCH($A17&amp;"|"&amp;H$15,Dados!$A$2:$A$49,0))/1000000),"")</f>
        <v>304.32282336000003</v>
      </c>
      <c r="I17" s="14">
        <f>IFERROR(IF(INDEX(Dados!$I$2:$I$49,MATCH($A17&amp;"|"&amp;I$15,Dados!$A$2:$A$49,0))="","",INDEX(Dados!$I$2:$I$49,MATCH($A17&amp;"|"&amp;I$15,Dados!$A$2:$A$49,0))/1000000),"")</f>
        <v>357.12481699</v>
      </c>
      <c r="J17" s="14">
        <f>IFERROR(IF(INDEX(Dados!$I$2:$I$49,MATCH($A17&amp;"|"&amp;J$15,Dados!$A$2:$A$49,0))="","",INDEX(Dados!$I$2:$I$49,MATCH($A17&amp;"|"&amp;J$15,Dados!$A$2:$A$49,0))/1000000),"")</f>
        <v>357.22174439999998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828.08060805999992</v>
      </c>
      <c r="D18" s="14">
        <f>IFERROR(IF(INDEX(Dados!$I$2:$I$49,MATCH($A18&amp;"|"&amp;D$15,Dados!$A$2:$A$49,0))="","",INDEX(Dados!$I$2:$I$49,MATCH($A18&amp;"|"&amp;D$15,Dados!$A$2:$A$49,0))/1000000),"")</f>
        <v>867.27723530999992</v>
      </c>
      <c r="E18" s="14">
        <f>IFERROR(IF(INDEX(Dados!$I$2:$I$49,MATCH($A18&amp;"|"&amp;E$15,Dados!$A$2:$A$49,0))="","",INDEX(Dados!$I$2:$I$49,MATCH($A18&amp;"|"&amp;E$15,Dados!$A$2:$A$49,0))/1000000),"")</f>
        <v>931.35510523000005</v>
      </c>
      <c r="F18" s="14">
        <f>IFERROR(IF(INDEX(Dados!$I$2:$I$49,MATCH($A18&amp;"|"&amp;F$15,Dados!$A$2:$A$49,0))="","",INDEX(Dados!$I$2:$I$49,MATCH($A18&amp;"|"&amp;F$15,Dados!$A$2:$A$49,0))/1000000),"")</f>
        <v>954.77095402999998</v>
      </c>
      <c r="G18" s="14">
        <f>IFERROR(IF(INDEX(Dados!$I$2:$I$49,MATCH($A18&amp;"|"&amp;G$15,Dados!$A$2:$A$49,0))="","",INDEX(Dados!$I$2:$I$49,MATCH($A18&amp;"|"&amp;G$15,Dados!$A$2:$A$49,0))/1000000),"")</f>
        <v>971.27866534000009</v>
      </c>
      <c r="H18" s="14">
        <f>IFERROR(IF(INDEX(Dados!$I$2:$I$49,MATCH($A18&amp;"|"&amp;H$15,Dados!$A$2:$A$49,0))="","",INDEX(Dados!$I$2:$I$49,MATCH($A18&amp;"|"&amp;H$15,Dados!$A$2:$A$49,0))/1000000),"")</f>
        <v>992.33772927999996</v>
      </c>
      <c r="I18" s="14">
        <f>IFERROR(IF(INDEX(Dados!$I$2:$I$49,MATCH($A18&amp;"|"&amp;I$15,Dados!$A$2:$A$49,0))="","",INDEX(Dados!$I$2:$I$49,MATCH($A18&amp;"|"&amp;I$15,Dados!$A$2:$A$49,0))/1000000),"")</f>
        <v>1020.1563593</v>
      </c>
      <c r="J18" s="14">
        <f>IFERROR(IF(INDEX(Dados!$I$2:$I$49,MATCH($A18&amp;"|"&amp;J$15,Dados!$A$2:$A$49,0))="","",INDEX(Dados!$I$2:$I$49,MATCH($A18&amp;"|"&amp;J$15,Dados!$A$2:$A$49,0))/1000000),"")</f>
        <v>1042.47471567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300.49187211000003</v>
      </c>
      <c r="D19" s="14">
        <f>IFERROR(IF(INDEX(Dados!$I$2:$I$49,MATCH($A19&amp;"|"&amp;D$15,Dados!$A$2:$A$49,0))="","",INDEX(Dados!$I$2:$I$49,MATCH($A19&amp;"|"&amp;D$15,Dados!$A$2:$A$49,0))/1000000),"")</f>
        <v>321.77398199999999</v>
      </c>
      <c r="E19" s="14">
        <f>IFERROR(IF(INDEX(Dados!$I$2:$I$49,MATCH($A19&amp;"|"&amp;E$15,Dados!$A$2:$A$49,0))="","",INDEX(Dados!$I$2:$I$49,MATCH($A19&amp;"|"&amp;E$15,Dados!$A$2:$A$49,0))/1000000),"")</f>
        <v>327.68957143</v>
      </c>
      <c r="F19" s="14">
        <f>IFERROR(IF(INDEX(Dados!$I$2:$I$49,MATCH($A19&amp;"|"&amp;F$15,Dados!$A$2:$A$49,0))="","",INDEX(Dados!$I$2:$I$49,MATCH($A19&amp;"|"&amp;F$15,Dados!$A$2:$A$49,0))/1000000),"")</f>
        <v>375.5446953</v>
      </c>
      <c r="G19" s="14">
        <f>IFERROR(IF(INDEX(Dados!$I$2:$I$49,MATCH($A19&amp;"|"&amp;G$15,Dados!$A$2:$A$49,0))="","",INDEX(Dados!$I$2:$I$49,MATCH($A19&amp;"|"&amp;G$15,Dados!$A$2:$A$49,0))/1000000),"")</f>
        <v>373.10467612000002</v>
      </c>
      <c r="H19" s="14">
        <f>IFERROR(IF(INDEX(Dados!$I$2:$I$49,MATCH($A19&amp;"|"&amp;H$15,Dados!$A$2:$A$49,0))="","",INDEX(Dados!$I$2:$I$49,MATCH($A19&amp;"|"&amp;H$15,Dados!$A$2:$A$49,0))/1000000),"")</f>
        <v>306.82685423999999</v>
      </c>
      <c r="I19" s="14">
        <f>IFERROR(IF(INDEX(Dados!$I$2:$I$49,MATCH($A19&amp;"|"&amp;I$15,Dados!$A$2:$A$49,0))="","",INDEX(Dados!$I$2:$I$49,MATCH($A19&amp;"|"&amp;I$15,Dados!$A$2:$A$49,0))/1000000),"")</f>
        <v>318.10457193000002</v>
      </c>
      <c r="J19" s="14">
        <f>IFERROR(IF(INDEX(Dados!$I$2:$I$49,MATCH($A19&amp;"|"&amp;J$15,Dados!$A$2:$A$49,0))="","",INDEX(Dados!$I$2:$I$49,MATCH($A19&amp;"|"&amp;J$15,Dados!$A$2:$A$49,0))/1000000),"")</f>
        <v>323.77653513000001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145.80462778999998</v>
      </c>
      <c r="D20" s="14">
        <f>IFERROR(IF(INDEX(Dados!$I$2:$I$49,MATCH($A20&amp;"|"&amp;D$15,Dados!$A$2:$A$49,0))="","",INDEX(Dados!$I$2:$I$49,MATCH($A20&amp;"|"&amp;D$15,Dados!$A$2:$A$49,0))/1000000),"")</f>
        <v>148.28965593999999</v>
      </c>
      <c r="E20" s="14">
        <f>IFERROR(IF(INDEX(Dados!$I$2:$I$49,MATCH($A20&amp;"|"&amp;E$15,Dados!$A$2:$A$49,0))="","",INDEX(Dados!$I$2:$I$49,MATCH($A20&amp;"|"&amp;E$15,Dados!$A$2:$A$49,0))/1000000),"")</f>
        <v>155.77643405000001</v>
      </c>
      <c r="F20" s="14">
        <f>IFERROR(IF(INDEX(Dados!$I$2:$I$49,MATCH($A20&amp;"|"&amp;F$15,Dados!$A$2:$A$49,0))="","",INDEX(Dados!$I$2:$I$49,MATCH($A20&amp;"|"&amp;F$15,Dados!$A$2:$A$49,0))/1000000),"")</f>
        <v>164.51712724000001</v>
      </c>
      <c r="G20" s="14">
        <f>IFERROR(IF(INDEX(Dados!$I$2:$I$49,MATCH($A20&amp;"|"&amp;G$15,Dados!$A$2:$A$49,0))="","",INDEX(Dados!$I$2:$I$49,MATCH($A20&amp;"|"&amp;G$15,Dados!$A$2:$A$49,0))/1000000),"")</f>
        <v>171.93134282</v>
      </c>
      <c r="H20" s="14">
        <f>IFERROR(IF(INDEX(Dados!$I$2:$I$49,MATCH($A20&amp;"|"&amp;H$15,Dados!$A$2:$A$49,0))="","",INDEX(Dados!$I$2:$I$49,MATCH($A20&amp;"|"&amp;H$15,Dados!$A$2:$A$49,0))/1000000),"")</f>
        <v>169.70872464999999</v>
      </c>
      <c r="I20" s="14">
        <f>IFERROR(IF(INDEX(Dados!$I$2:$I$49,MATCH($A20&amp;"|"&amp;I$15,Dados!$A$2:$A$49,0))="","",INDEX(Dados!$I$2:$I$49,MATCH($A20&amp;"|"&amp;I$15,Dados!$A$2:$A$49,0))/1000000),"")</f>
        <v>179.67445519999998</v>
      </c>
      <c r="J20" s="14">
        <f>IFERROR(IF(INDEX(Dados!$I$2:$I$49,MATCH($A20&amp;"|"&amp;J$15,Dados!$A$2:$A$49,0))="","",INDEX(Dados!$I$2:$I$49,MATCH($A20&amp;"|"&amp;J$15,Dados!$A$2:$A$49,0))/1000000),"")</f>
        <v>188.76937784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310.73515607999997</v>
      </c>
      <c r="D21" s="14">
        <f>IFERROR(IF(INDEX(Dados!$I$2:$I$49,MATCH($A21&amp;"|"&amp;D$15,Dados!$A$2:$A$49,0))="","",INDEX(Dados!$I$2:$I$49,MATCH($A21&amp;"|"&amp;D$15,Dados!$A$2:$A$49,0))/1000000),"")</f>
        <v>320.11255953</v>
      </c>
      <c r="E21" s="14">
        <f>IFERROR(IF(INDEX(Dados!$I$2:$I$49,MATCH($A21&amp;"|"&amp;E$15,Dados!$A$2:$A$49,0))="","",INDEX(Dados!$I$2:$I$49,MATCH($A21&amp;"|"&amp;E$15,Dados!$A$2:$A$49,0))/1000000),"")</f>
        <v>326.10189087999998</v>
      </c>
      <c r="F21" s="14">
        <f>IFERROR(IF(INDEX(Dados!$I$2:$I$49,MATCH($A21&amp;"|"&amp;F$15,Dados!$A$2:$A$49,0))="","",INDEX(Dados!$I$2:$I$49,MATCH($A21&amp;"|"&amp;F$15,Dados!$A$2:$A$49,0))/1000000),"")</f>
        <v>336.63180406999999</v>
      </c>
      <c r="G21" s="14">
        <f>IFERROR(IF(INDEX(Dados!$I$2:$I$49,MATCH($A21&amp;"|"&amp;G$15,Dados!$A$2:$A$49,0))="","",INDEX(Dados!$I$2:$I$49,MATCH($A21&amp;"|"&amp;G$15,Dados!$A$2:$A$49,0))/1000000),"")</f>
        <v>340.21859432999997</v>
      </c>
      <c r="H21" s="14">
        <f>IFERROR(IF(INDEX(Dados!$I$2:$I$49,MATCH($A21&amp;"|"&amp;H$15,Dados!$A$2:$A$49,0))="","",INDEX(Dados!$I$2:$I$49,MATCH($A21&amp;"|"&amp;H$15,Dados!$A$2:$A$49,0))/1000000),"")</f>
        <v>338.38867972000003</v>
      </c>
      <c r="I21" s="14">
        <f>IFERROR(IF(INDEX(Dados!$I$2:$I$49,MATCH($A21&amp;"|"&amp;I$15,Dados!$A$2:$A$49,0))="","",INDEX(Dados!$I$2:$I$49,MATCH($A21&amp;"|"&amp;I$15,Dados!$A$2:$A$49,0))/1000000),"")</f>
        <v>342.10352445000001</v>
      </c>
      <c r="J21" s="14">
        <f>IFERROR(IF(INDEX(Dados!$I$2:$I$49,MATCH($A21&amp;"|"&amp;J$15,Dados!$A$2:$A$49,0))="","",INDEX(Dados!$I$2:$I$49,MATCH($A21&amp;"|"&amp;J$15,Dados!$A$2:$A$49,0))/1000000),"")</f>
        <v>356.54731102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9444340548.1399994</v>
      </c>
      <c r="J2" s="15">
        <v>23817377336.049999</v>
      </c>
      <c r="K2" s="10">
        <f t="shared" ref="K2:K49" si="1">IF(OR(I2="",J2="",J2=0),"",I2/J2)</f>
        <v>0.39653150785183383</v>
      </c>
      <c r="L2" s="16">
        <v>0.39650000000000002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11670514894.66</v>
      </c>
      <c r="R2" s="15">
        <v>11086989149.93</v>
      </c>
      <c r="S2" s="15">
        <v>10503463405.190001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9965583147.8799992</v>
      </c>
      <c r="J3" s="15">
        <v>24712536776.16</v>
      </c>
      <c r="K3" s="10">
        <f t="shared" si="1"/>
        <v>0.40326022529155009</v>
      </c>
      <c r="L3" s="16">
        <v>0.40329999999999999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12109143020.32</v>
      </c>
      <c r="R3" s="15">
        <v>11503685869.299999</v>
      </c>
      <c r="S3" s="15">
        <v>10898228718.290001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10243519421.27</v>
      </c>
      <c r="J4" s="15">
        <v>26423983318.48</v>
      </c>
      <c r="K4" s="10">
        <f t="shared" si="1"/>
        <v>0.38765992612877731</v>
      </c>
      <c r="L4" s="16">
        <v>0.38769999999999999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12947751826.059999</v>
      </c>
      <c r="R4" s="15">
        <v>12300364234.76</v>
      </c>
      <c r="S4" s="15">
        <v>11652976643.450001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10519879655.370001</v>
      </c>
      <c r="J5" s="15">
        <v>27482466523.25</v>
      </c>
      <c r="K5" s="10">
        <f t="shared" si="1"/>
        <v>0.38278513489574328</v>
      </c>
      <c r="L5" s="16">
        <v>0.38279999999999997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13466408596.389999</v>
      </c>
      <c r="R5" s="15">
        <v>12793088166.57</v>
      </c>
      <c r="S5" s="15">
        <v>12119767736.75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10796385255.76</v>
      </c>
      <c r="J6" s="15">
        <v>28356915277.279999</v>
      </c>
      <c r="K6" s="10">
        <f t="shared" si="1"/>
        <v>0.38073200664425694</v>
      </c>
      <c r="L6" s="16">
        <v>0.38069999999999998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13894888485.870001</v>
      </c>
      <c r="R6" s="15">
        <v>13200144061.58</v>
      </c>
      <c r="S6" s="15">
        <v>12505399637.280001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10861802556.780001</v>
      </c>
      <c r="J7" s="15">
        <v>28512531259.139999</v>
      </c>
      <c r="K7" s="10">
        <f t="shared" si="1"/>
        <v>0.38094837873428489</v>
      </c>
      <c r="L7" s="16">
        <v>0.38090000000000002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13971140316.98</v>
      </c>
      <c r="R7" s="15">
        <v>13272583301.129999</v>
      </c>
      <c r="S7" s="15">
        <v>12574026285.280001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11193926840.030001</v>
      </c>
      <c r="J8" s="15">
        <v>28917757389.549999</v>
      </c>
      <c r="K8" s="10">
        <f t="shared" si="1"/>
        <v>0.38709526085432705</v>
      </c>
      <c r="L8" s="16">
        <v>0.3871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14169701120.879999</v>
      </c>
      <c r="R8" s="15">
        <v>13461216064.84</v>
      </c>
      <c r="S8" s="15">
        <v>12752731008.790001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11548062500.59</v>
      </c>
      <c r="J9" s="15">
        <v>29259028126.040001</v>
      </c>
      <c r="K9" s="10">
        <f t="shared" si="1"/>
        <v>0.3946837349088993</v>
      </c>
      <c r="L9" s="16">
        <v>0.3947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14336923781.76</v>
      </c>
      <c r="R9" s="15">
        <v>13620077592.67</v>
      </c>
      <c r="S9" s="15">
        <v>12903231403.58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320826216.85000002</v>
      </c>
      <c r="J10" s="15">
        <v>23817377336.049999</v>
      </c>
      <c r="K10" s="10">
        <f t="shared" si="1"/>
        <v>1.3470257968512646E-2</v>
      </c>
      <c r="L10" s="16">
        <v>1.35E-2</v>
      </c>
      <c r="M10" s="9" t="str">
        <f t="shared" si="2"/>
        <v>Sim</v>
      </c>
      <c r="N10" s="16">
        <v>1.5699999999999999E-2</v>
      </c>
      <c r="O10" s="16">
        <v>1.49E-2</v>
      </c>
      <c r="P10" s="16">
        <v>1.41E-2</v>
      </c>
      <c r="Q10" s="15">
        <v>373932824.18000001</v>
      </c>
      <c r="R10" s="15">
        <v>355236182.97000003</v>
      </c>
      <c r="S10" s="15">
        <v>336539541.75999999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330699145.95999998</v>
      </c>
      <c r="J11" s="15">
        <v>24712536776.16</v>
      </c>
      <c r="K11" s="10">
        <f t="shared" si="1"/>
        <v>1.3381837281837573E-2</v>
      </c>
      <c r="L11" s="16">
        <v>1.34E-2</v>
      </c>
      <c r="M11" s="9" t="str">
        <f t="shared" si="2"/>
        <v>Sim</v>
      </c>
      <c r="N11" s="16">
        <v>1.5699999999999999E-2</v>
      </c>
      <c r="O11" s="16">
        <v>1.49E-2</v>
      </c>
      <c r="P11" s="16">
        <v>1.41E-2</v>
      </c>
      <c r="Q11" s="15">
        <v>387986827.38999999</v>
      </c>
      <c r="R11" s="15">
        <v>368587486.01999998</v>
      </c>
      <c r="S11" s="15">
        <v>349188144.64999998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275944445.73000002</v>
      </c>
      <c r="J12" s="15">
        <v>26423983318.48</v>
      </c>
      <c r="K12" s="10">
        <f t="shared" si="1"/>
        <v>1.0442954130122169E-2</v>
      </c>
      <c r="L12" s="16">
        <v>1.04E-2</v>
      </c>
      <c r="M12" s="9" t="str">
        <f t="shared" si="2"/>
        <v>Sim</v>
      </c>
      <c r="N12" s="16">
        <v>1.5699999999999999E-2</v>
      </c>
      <c r="O12" s="16">
        <v>1.49E-2</v>
      </c>
      <c r="P12" s="16">
        <v>1.41E-2</v>
      </c>
      <c r="Q12" s="15">
        <v>414856538.10000002</v>
      </c>
      <c r="R12" s="15">
        <v>394113711.19999999</v>
      </c>
      <c r="S12" s="15">
        <v>373370884.29000002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333809539.73000002</v>
      </c>
      <c r="J13" s="15">
        <v>27482466523.25</v>
      </c>
      <c r="K13" s="10">
        <f t="shared" si="1"/>
        <v>1.2146272949977003E-2</v>
      </c>
      <c r="L13" s="16">
        <v>1.21E-2</v>
      </c>
      <c r="M13" s="9" t="str">
        <f t="shared" si="2"/>
        <v>Sim</v>
      </c>
      <c r="N13" s="16">
        <v>1.5699999999999999E-2</v>
      </c>
      <c r="O13" s="16">
        <v>1.49E-2</v>
      </c>
      <c r="P13" s="16">
        <v>1.41E-2</v>
      </c>
      <c r="Q13" s="15">
        <v>431474724.42000002</v>
      </c>
      <c r="R13" s="15">
        <v>409900988.19999999</v>
      </c>
      <c r="S13" s="15">
        <v>388327251.98000002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337955632.81</v>
      </c>
      <c r="J14" s="15">
        <v>28356915277.279999</v>
      </c>
      <c r="K14" s="10">
        <f t="shared" si="1"/>
        <v>1.1917926527106259E-2</v>
      </c>
      <c r="L14" s="16">
        <v>1.1900000000000001E-2</v>
      </c>
      <c r="M14" s="9" t="str">
        <f t="shared" si="2"/>
        <v>Sim</v>
      </c>
      <c r="N14" s="16">
        <v>1.5699999999999999E-2</v>
      </c>
      <c r="O14" s="16">
        <v>1.49E-2</v>
      </c>
      <c r="P14" s="16">
        <v>1.41E-2</v>
      </c>
      <c r="Q14" s="15">
        <v>445203569.85000002</v>
      </c>
      <c r="R14" s="15">
        <v>422943391.36000001</v>
      </c>
      <c r="S14" s="15">
        <v>400683212.87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304322823.36000001</v>
      </c>
      <c r="J15" s="15">
        <v>28512531259.139999</v>
      </c>
      <c r="K15" s="10">
        <f t="shared" si="1"/>
        <v>1.0673300823210708E-2</v>
      </c>
      <c r="L15" s="16">
        <v>1.0699999999999999E-2</v>
      </c>
      <c r="M15" s="9" t="str">
        <f t="shared" si="2"/>
        <v>Sim</v>
      </c>
      <c r="N15" s="16">
        <v>1.5699999999999999E-2</v>
      </c>
      <c r="O15" s="16">
        <v>1.49E-2</v>
      </c>
      <c r="P15" s="16">
        <v>1.41E-2</v>
      </c>
      <c r="Q15" s="15">
        <v>447646740.76999998</v>
      </c>
      <c r="R15" s="15">
        <v>425264403.73000002</v>
      </c>
      <c r="S15" s="15">
        <v>402882066.69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357124816.99000001</v>
      </c>
      <c r="J16" s="15">
        <v>28917757389.549999</v>
      </c>
      <c r="K16" s="10">
        <f t="shared" si="1"/>
        <v>1.2349671939603936E-2</v>
      </c>
      <c r="L16" s="16">
        <v>1.23E-2</v>
      </c>
      <c r="M16" s="9" t="str">
        <f t="shared" si="2"/>
        <v>Sim</v>
      </c>
      <c r="N16" s="16">
        <v>1.5699999999999999E-2</v>
      </c>
      <c r="O16" s="16">
        <v>1.49E-2</v>
      </c>
      <c r="P16" s="16">
        <v>1.41E-2</v>
      </c>
      <c r="Q16" s="15">
        <v>454008791.01999998</v>
      </c>
      <c r="R16" s="15">
        <v>431308351.47000003</v>
      </c>
      <c r="S16" s="15">
        <v>408607911.92000002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357221744.39999998</v>
      </c>
      <c r="J17" s="15">
        <v>29259028126.040001</v>
      </c>
      <c r="K17" s="10">
        <f t="shared" si="1"/>
        <v>1.2208940873264315E-2</v>
      </c>
      <c r="L17" s="16">
        <v>1.2200000000000001E-2</v>
      </c>
      <c r="M17" s="9" t="str">
        <f t="shared" si="2"/>
        <v>Sim</v>
      </c>
      <c r="N17" s="16">
        <v>1.5699999999999999E-2</v>
      </c>
      <c r="O17" s="16">
        <v>1.49E-2</v>
      </c>
      <c r="P17" s="16">
        <v>1.41E-2</v>
      </c>
      <c r="Q17" s="15">
        <v>459366741.57999998</v>
      </c>
      <c r="R17" s="15">
        <v>436398404.5</v>
      </c>
      <c r="S17" s="15">
        <v>413430067.42000002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828080608.05999994</v>
      </c>
      <c r="J18" s="15">
        <v>23817377336.049999</v>
      </c>
      <c r="K18" s="10">
        <f t="shared" si="1"/>
        <v>3.4767917406532269E-2</v>
      </c>
      <c r="L18" s="16">
        <v>3.4799999999999998E-2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1429042640.1600001</v>
      </c>
      <c r="R18" s="15">
        <v>1357590508.1500001</v>
      </c>
      <c r="S18" s="15">
        <v>1286138376.1400001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867277235.30999994</v>
      </c>
      <c r="J19" s="15">
        <v>24712536776.16</v>
      </c>
      <c r="K19" s="10">
        <f t="shared" si="1"/>
        <v>3.5094625985408988E-2</v>
      </c>
      <c r="L19" s="16">
        <v>3.5099999999999999E-2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1482752206.5699999</v>
      </c>
      <c r="R19" s="15">
        <v>1408614596.24</v>
      </c>
      <c r="S19" s="15">
        <v>1334476985.9100001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931355105.23000002</v>
      </c>
      <c r="J20" s="15">
        <v>26423983318.48</v>
      </c>
      <c r="K20" s="10">
        <f t="shared" si="1"/>
        <v>3.5246582394662773E-2</v>
      </c>
      <c r="L20" s="16">
        <v>3.5200000000000002E-2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1585438999.1099999</v>
      </c>
      <c r="R20" s="15">
        <v>1506167049.1500001</v>
      </c>
      <c r="S20" s="15">
        <v>1426895099.2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954770954.02999997</v>
      </c>
      <c r="J21" s="15">
        <v>27482466523.25</v>
      </c>
      <c r="K21" s="10">
        <f t="shared" si="1"/>
        <v>3.4741094043442916E-2</v>
      </c>
      <c r="L21" s="16">
        <v>3.4700000000000002E-2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1648947991.4000001</v>
      </c>
      <c r="R21" s="15">
        <v>1566500591.8299999</v>
      </c>
      <c r="S21" s="15">
        <v>1484053192.26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971278665.34000003</v>
      </c>
      <c r="J22" s="15">
        <v>28356915277.279999</v>
      </c>
      <c r="K22" s="10">
        <f t="shared" si="1"/>
        <v>3.4251915479615078E-2</v>
      </c>
      <c r="L22" s="16">
        <v>3.4299999999999997E-2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1701414916.6400001</v>
      </c>
      <c r="R22" s="15">
        <v>1616344170.8099999</v>
      </c>
      <c r="S22" s="15">
        <v>1531273424.98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992337729.27999997</v>
      </c>
      <c r="J23" s="15">
        <v>28512531259.139999</v>
      </c>
      <c r="K23" s="10">
        <f t="shared" si="1"/>
        <v>3.4803564799666654E-2</v>
      </c>
      <c r="L23" s="16">
        <v>3.4799999999999998E-2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1710751875.55</v>
      </c>
      <c r="R23" s="15">
        <v>1625214281.77</v>
      </c>
      <c r="S23" s="15">
        <v>1539676688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1020156359.3</v>
      </c>
      <c r="J24" s="15">
        <v>28917757389.549999</v>
      </c>
      <c r="K24" s="10">
        <f t="shared" si="1"/>
        <v>3.5277851790424579E-2</v>
      </c>
      <c r="L24" s="16">
        <v>3.5299999999999998E-2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1735065443.3699999</v>
      </c>
      <c r="R24" s="15">
        <v>1648312171.2</v>
      </c>
      <c r="S24" s="15">
        <v>1561558899.03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1042474715.67</v>
      </c>
      <c r="J25" s="15">
        <v>29259028126.040001</v>
      </c>
      <c r="K25" s="10">
        <f t="shared" si="1"/>
        <v>3.5629164139673403E-2</v>
      </c>
      <c r="L25" s="16">
        <v>3.56E-2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1755541687.5599999</v>
      </c>
      <c r="R25" s="15">
        <v>1667764603.1800001</v>
      </c>
      <c r="S25" s="15">
        <v>1579987518.8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300491872.11000001</v>
      </c>
      <c r="J26" s="15">
        <v>23817377336.049999</v>
      </c>
      <c r="K26" s="10">
        <f t="shared" si="1"/>
        <v>1.261649710084474E-2</v>
      </c>
      <c r="L26" s="16">
        <v>1.26E-2</v>
      </c>
      <c r="M26" s="9" t="str">
        <f t="shared" si="2"/>
        <v>Sim</v>
      </c>
      <c r="N26" s="16">
        <v>1.43E-2</v>
      </c>
      <c r="O26" s="16">
        <v>1.3599999999999999E-2</v>
      </c>
      <c r="P26" s="16">
        <v>1.29E-2</v>
      </c>
      <c r="Q26" s="15">
        <v>340588495.91000003</v>
      </c>
      <c r="R26" s="15">
        <v>323559071.11000001</v>
      </c>
      <c r="S26" s="15">
        <v>306529646.31999999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321773982</v>
      </c>
      <c r="J27" s="15">
        <v>24712536776.16</v>
      </c>
      <c r="K27" s="10">
        <f t="shared" si="1"/>
        <v>1.3020677922082566E-2</v>
      </c>
      <c r="L27" s="16">
        <v>1.2999999999999999E-2</v>
      </c>
      <c r="M27" s="9" t="str">
        <f t="shared" si="2"/>
        <v>Sim</v>
      </c>
      <c r="N27" s="16">
        <v>1.43E-2</v>
      </c>
      <c r="O27" s="16">
        <v>1.3599999999999999E-2</v>
      </c>
      <c r="P27" s="16">
        <v>1.29E-2</v>
      </c>
      <c r="Q27" s="15">
        <v>353389275.89999998</v>
      </c>
      <c r="R27" s="15">
        <v>335719812.11000001</v>
      </c>
      <c r="S27" s="15">
        <v>318050348.31</v>
      </c>
      <c r="T27" s="9" t="str">
        <f t="shared" si="3"/>
        <v>Acima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327689571.43000001</v>
      </c>
      <c r="J28" s="15">
        <v>26423983318.48</v>
      </c>
      <c r="K28" s="10">
        <f t="shared" si="1"/>
        <v>1.2401217767982222E-2</v>
      </c>
      <c r="L28" s="16">
        <v>1.24E-2</v>
      </c>
      <c r="M28" s="9" t="str">
        <f t="shared" si="2"/>
        <v>Sim</v>
      </c>
      <c r="N28" s="16">
        <v>1.43E-2</v>
      </c>
      <c r="O28" s="16">
        <v>1.3599999999999999E-2</v>
      </c>
      <c r="P28" s="16">
        <v>1.29E-2</v>
      </c>
      <c r="Q28" s="15">
        <v>377862961.44999999</v>
      </c>
      <c r="R28" s="15">
        <v>358969813.38</v>
      </c>
      <c r="S28" s="15">
        <v>340076665.31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375544695.30000001</v>
      </c>
      <c r="J29" s="15">
        <v>27482466523.25</v>
      </c>
      <c r="K29" s="10">
        <f t="shared" si="1"/>
        <v>1.3664883207709595E-2</v>
      </c>
      <c r="L29" s="16">
        <v>1.37E-2</v>
      </c>
      <c r="M29" s="9" t="str">
        <f t="shared" si="2"/>
        <v>Sim</v>
      </c>
      <c r="N29" s="16">
        <v>1.43E-2</v>
      </c>
      <c r="O29" s="16">
        <v>1.3599999999999999E-2</v>
      </c>
      <c r="P29" s="16">
        <v>1.29E-2</v>
      </c>
      <c r="Q29" s="15">
        <v>392999271.27999997</v>
      </c>
      <c r="R29" s="15">
        <v>373349307.72000003</v>
      </c>
      <c r="S29" s="15">
        <v>353699344.14999998</v>
      </c>
      <c r="T29" s="9" t="str">
        <f t="shared" si="3"/>
        <v>Acima do limite prudencial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373104676.12</v>
      </c>
      <c r="J30" s="15">
        <v>28356915277.279999</v>
      </c>
      <c r="K30" s="10">
        <f t="shared" si="1"/>
        <v>1.3157449337197029E-2</v>
      </c>
      <c r="L30" s="16">
        <v>1.32E-2</v>
      </c>
      <c r="M30" s="9" t="str">
        <f t="shared" si="2"/>
        <v>Sim</v>
      </c>
      <c r="N30" s="16">
        <v>1.43E-2</v>
      </c>
      <c r="O30" s="16">
        <v>1.3599999999999999E-2</v>
      </c>
      <c r="P30" s="16">
        <v>1.29E-2</v>
      </c>
      <c r="Q30" s="15">
        <v>405503888.47000003</v>
      </c>
      <c r="R30" s="15">
        <v>385228694.05000001</v>
      </c>
      <c r="S30" s="15">
        <v>364953499.62</v>
      </c>
      <c r="T30" s="9" t="str">
        <f t="shared" si="3"/>
        <v>Acima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306826854.24000001</v>
      </c>
      <c r="J31" s="15">
        <v>28512531259.139999</v>
      </c>
      <c r="K31" s="10">
        <f t="shared" si="1"/>
        <v>1.0761122941045207E-2</v>
      </c>
      <c r="L31" s="16">
        <v>1.0800000000000001E-2</v>
      </c>
      <c r="M31" s="9" t="str">
        <f t="shared" si="2"/>
        <v>Sim</v>
      </c>
      <c r="N31" s="16">
        <v>1.43E-2</v>
      </c>
      <c r="O31" s="16">
        <v>1.3599999999999999E-2</v>
      </c>
      <c r="P31" s="16">
        <v>1.29E-2</v>
      </c>
      <c r="Q31" s="15">
        <v>407729197.00999999</v>
      </c>
      <c r="R31" s="15">
        <v>387342737.16000003</v>
      </c>
      <c r="S31" s="15">
        <v>366956277.31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318104571.93000001</v>
      </c>
      <c r="J32" s="15">
        <v>28917757389.549999</v>
      </c>
      <c r="K32" s="10">
        <f t="shared" si="1"/>
        <v>1.1000319549155405E-2</v>
      </c>
      <c r="L32" s="16">
        <v>1.0999999999999999E-2</v>
      </c>
      <c r="M32" s="9" t="str">
        <f t="shared" si="2"/>
        <v>Sim</v>
      </c>
      <c r="N32" s="16">
        <v>1.43E-2</v>
      </c>
      <c r="O32" s="16">
        <v>1.3599999999999999E-2</v>
      </c>
      <c r="P32" s="16">
        <v>1.29E-2</v>
      </c>
      <c r="Q32" s="15">
        <v>413523930.67000002</v>
      </c>
      <c r="R32" s="15">
        <v>392847734.13999999</v>
      </c>
      <c r="S32" s="15">
        <v>372171537.60000002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323776535.13</v>
      </c>
      <c r="J33" s="15">
        <v>29259028126.040001</v>
      </c>
      <c r="K33" s="10">
        <f t="shared" si="1"/>
        <v>1.1065867729278566E-2</v>
      </c>
      <c r="L33" s="16">
        <v>1.11E-2</v>
      </c>
      <c r="M33" s="9" t="str">
        <f t="shared" si="2"/>
        <v>Sim</v>
      </c>
      <c r="N33" s="16">
        <v>1.43E-2</v>
      </c>
      <c r="O33" s="16">
        <v>1.3599999999999999E-2</v>
      </c>
      <c r="P33" s="16">
        <v>1.29E-2</v>
      </c>
      <c r="Q33" s="15">
        <v>418404102.19999999</v>
      </c>
      <c r="R33" s="15">
        <v>397483897.08999997</v>
      </c>
      <c r="S33" s="15">
        <v>376563691.98000002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145804627.78999999</v>
      </c>
      <c r="J34" s="15">
        <v>23817377336.049999</v>
      </c>
      <c r="K34" s="10">
        <f t="shared" si="1"/>
        <v>6.1217751112046248E-3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148289655.94</v>
      </c>
      <c r="J35" s="15">
        <v>24712536776.16</v>
      </c>
      <c r="K35" s="10">
        <f t="shared" si="1"/>
        <v>6.0005841279335568E-3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155776434.05000001</v>
      </c>
      <c r="J36" s="15">
        <v>26423983318.48</v>
      </c>
      <c r="K36" s="10">
        <f t="shared" si="1"/>
        <v>5.895266893430692E-3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164517127.24000001</v>
      </c>
      <c r="J37" s="15">
        <v>27482466523.25</v>
      </c>
      <c r="K37" s="10">
        <f t="shared" si="1"/>
        <v>5.9862577145621014E-3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171931342.81999999</v>
      </c>
      <c r="J38" s="15">
        <v>28356915277.279999</v>
      </c>
      <c r="K38" s="10">
        <f t="shared" si="1"/>
        <v>6.06311868335531E-3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169708724.65000001</v>
      </c>
      <c r="J39" s="15">
        <v>28512531259.139999</v>
      </c>
      <c r="K39" s="10">
        <f t="shared" si="1"/>
        <v>5.952075005462661E-3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179674455.19999999</v>
      </c>
      <c r="J40" s="15">
        <v>28917757389.549999</v>
      </c>
      <c r="K40" s="10">
        <f t="shared" si="1"/>
        <v>6.2132914658495917E-3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188769377.84</v>
      </c>
      <c r="J41" s="15">
        <v>29259028126.040001</v>
      </c>
      <c r="K41" s="10">
        <f t="shared" si="1"/>
        <v>6.4516626125390233E-3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310735156.07999998</v>
      </c>
      <c r="J42" s="15">
        <v>23817377336.049999</v>
      </c>
      <c r="K42" s="10">
        <f t="shared" si="1"/>
        <v>1.3046573167805131E-2</v>
      </c>
      <c r="L42" s="16">
        <v>1.2999999999999999E-2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476347546.72000003</v>
      </c>
      <c r="R42" s="15">
        <v>452530169.38</v>
      </c>
      <c r="S42" s="15">
        <v>428712792.05000001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320112559.52999997</v>
      </c>
      <c r="J43" s="15">
        <v>24712536776.16</v>
      </c>
      <c r="K43" s="10">
        <f t="shared" si="1"/>
        <v>1.2953447977821936E-2</v>
      </c>
      <c r="L43" s="16">
        <v>1.2999999999999999E-2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494250735.51999998</v>
      </c>
      <c r="R43" s="15">
        <v>469538198.74000001</v>
      </c>
      <c r="S43" s="15">
        <v>444825661.97000003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326101890.88</v>
      </c>
      <c r="J44" s="15">
        <v>26423983318.48</v>
      </c>
      <c r="K44" s="10">
        <f t="shared" si="1"/>
        <v>1.2341132937816225E-2</v>
      </c>
      <c r="L44" s="16">
        <v>1.23E-2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528479666.37</v>
      </c>
      <c r="R44" s="15">
        <v>502055683.05000001</v>
      </c>
      <c r="S44" s="15">
        <v>475631699.73000002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336631804.06999999</v>
      </c>
      <c r="J45" s="15">
        <v>27482466523.25</v>
      </c>
      <c r="K45" s="10">
        <f t="shared" si="1"/>
        <v>1.2248966219433454E-2</v>
      </c>
      <c r="L45" s="16">
        <v>1.2200000000000001E-2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549649330.47000003</v>
      </c>
      <c r="R45" s="15">
        <v>522166863.94999999</v>
      </c>
      <c r="S45" s="15">
        <v>494684397.42000002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340218594.32999998</v>
      </c>
      <c r="J46" s="15">
        <v>28356915277.279999</v>
      </c>
      <c r="K46" s="10">
        <f t="shared" si="1"/>
        <v>1.1997729337033651E-2</v>
      </c>
      <c r="L46" s="16">
        <v>1.2E-2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567138305.54999995</v>
      </c>
      <c r="R46" s="15">
        <v>538781390.26999998</v>
      </c>
      <c r="S46" s="15">
        <v>510424475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338388679.72000003</v>
      </c>
      <c r="J47" s="15">
        <v>28512531259.139999</v>
      </c>
      <c r="K47" s="10">
        <f t="shared" si="1"/>
        <v>1.1868068697391638E-2</v>
      </c>
      <c r="L47" s="16">
        <v>1.1900000000000001E-2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570250625.17999995</v>
      </c>
      <c r="R47" s="15">
        <v>541738093.91999996</v>
      </c>
      <c r="S47" s="15">
        <v>513225562.66000003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342103524.44999999</v>
      </c>
      <c r="J48" s="15">
        <v>28917757389.549999</v>
      </c>
      <c r="K48" s="10">
        <f t="shared" si="1"/>
        <v>1.1830223203049136E-2</v>
      </c>
      <c r="L48" s="16">
        <v>1.18E-2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578355147.78999996</v>
      </c>
      <c r="R48" s="15">
        <v>549437390.39999998</v>
      </c>
      <c r="S48" s="15">
        <v>520519633.00999999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356547311.01999998</v>
      </c>
      <c r="J49" s="15">
        <v>29259028126.040001</v>
      </c>
      <c r="K49" s="10">
        <f t="shared" si="1"/>
        <v>1.2185890436418132E-2</v>
      </c>
      <c r="L49" s="16">
        <v>1.2200000000000001E-2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585180562.51999998</v>
      </c>
      <c r="R49" s="15">
        <v>555921534.38999999</v>
      </c>
      <c r="S49" s="15">
        <v>526662506.26999998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2026-10-15T09:56:20Z</dcterms:created>
  <dcterms:modified xsi:type="dcterms:W3CDTF">2026-10-15T09:56:48Z</dcterms:modified>
</cp:coreProperties>
</file>