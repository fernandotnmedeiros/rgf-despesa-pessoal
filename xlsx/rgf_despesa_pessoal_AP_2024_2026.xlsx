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8B1FC107FE1994EAB1E31A73A4C8551F17041ADA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M17" i="2"/>
  <c r="K17" i="2"/>
  <c r="T17" i="2" s="1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I21" i="1"/>
  <c r="F17" i="1"/>
  <c r="E17" i="1"/>
  <c r="D17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L7" i="1"/>
  <c r="M43" i="2"/>
  <c r="T43" i="2"/>
  <c r="M30" i="2"/>
  <c r="T30" i="2"/>
  <c r="T11" i="2"/>
  <c r="M11" i="2"/>
  <c r="H21" i="1"/>
  <c r="G21" i="1"/>
  <c r="E21" i="1"/>
  <c r="D21" i="1"/>
  <c r="C21" i="1"/>
  <c r="J20" i="1"/>
  <c r="I20" i="1"/>
  <c r="H20" i="1"/>
  <c r="G20" i="1"/>
  <c r="F20" i="1"/>
  <c r="C18" i="1"/>
  <c r="J17" i="1"/>
  <c r="I17" i="1"/>
  <c r="H17" i="1"/>
  <c r="G17" i="1"/>
  <c r="C17" i="1"/>
  <c r="J16" i="1"/>
  <c r="I16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F21" i="1"/>
  <c r="J21" i="1"/>
  <c r="T42" i="2"/>
  <c r="M42" i="2"/>
  <c r="T33" i="2"/>
  <c r="L9" i="1" s="1"/>
  <c r="M33" i="2"/>
  <c r="T32" i="2"/>
  <c r="M32" i="2"/>
  <c r="T31" i="2"/>
  <c r="M31" i="2"/>
  <c r="T29" i="2"/>
  <c r="M29" i="2"/>
  <c r="M28" i="2"/>
  <c r="T28" i="2"/>
  <c r="M27" i="2"/>
  <c r="T27" i="2"/>
  <c r="T26" i="2"/>
  <c r="M26" i="2"/>
  <c r="T25" i="2"/>
  <c r="L8" i="1" s="1"/>
  <c r="M25" i="2"/>
  <c r="T24" i="2"/>
  <c r="M24" i="2"/>
  <c r="M23" i="2"/>
  <c r="T23" i="2"/>
  <c r="T22" i="2"/>
  <c r="M22" i="2"/>
  <c r="M21" i="2"/>
  <c r="T21" i="2"/>
  <c r="M20" i="2"/>
  <c r="T20" i="2"/>
  <c r="M19" i="2"/>
  <c r="T19" i="2"/>
  <c r="M18" i="2"/>
  <c r="T18" i="2"/>
  <c r="M16" i="2"/>
  <c r="T16" i="2"/>
  <c r="M15" i="2"/>
  <c r="T15" i="2"/>
  <c r="M14" i="2"/>
  <c r="T14" i="2"/>
  <c r="T13" i="2"/>
  <c r="M13" i="2"/>
  <c r="T12" i="2"/>
  <c r="M12" i="2"/>
  <c r="M10" i="2"/>
  <c r="T10" i="2"/>
  <c r="T9" i="2"/>
  <c r="L6" i="1" s="1"/>
  <c r="M9" i="2"/>
  <c r="T8" i="2"/>
  <c r="M8" i="2"/>
  <c r="T7" i="2"/>
  <c r="M7" i="2"/>
  <c r="M6" i="2"/>
  <c r="T6" i="2"/>
  <c r="T5" i="2"/>
  <c r="M5" i="2"/>
  <c r="T4" i="2"/>
  <c r="M4" i="2"/>
  <c r="T3" i="2"/>
  <c r="M3" i="2"/>
  <c r="M2" i="2"/>
  <c r="T2" i="2"/>
  <c r="E20" i="1"/>
  <c r="D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<sst xmlns="http://schemas.openxmlformats.org/spreadsheetml/2006/main" count="426" uniqueCount="83">
  <si>
    <t>Despesa total com pessoal - Amapá (AP)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</si>
  <si>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</si>
  <si>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</si>
  <si>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</si>
  <si>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</si>
  <si>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</si>
  <si>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</si>
  <si>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</si>
  <si>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</si>
  <si>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</si>
  <si>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</si>
  <si>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</si>
  <si>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</si>
  <si>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</si>
  <si>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</si>
  <si>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</si>
  <si>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</si>
  <si>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</si>
  <si>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</si>
  <si>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</si>
  <si>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</si>
  <si>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</si>
  <si>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</si>
  <si>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</si>
  <si>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</si>
  <si>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</si>
  <si>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</si>
  <si>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</si>
  <si>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</si>
  <si>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</si>
  <si>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</si>
  <si>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</si>
  <si>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</si>
  <si>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</si>
  <si>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</si>
  <si>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</si>
  <si>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</si>
  <si>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</si>
  <si>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</si>
  <si>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</si>
  <si>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</si>
  <si>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</si>
  <si>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</si>
  <si>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</si>
  <si>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</si>
  <si>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</si>
  <si>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</si>
  <si>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Amapá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</si>
  <si>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</si>
  <si>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</si>
  <si>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</si>
  <si>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</si>
  <si>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</si>
  <si>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</si>
  <si>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</si>
  <si>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</si>
  <si>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</si>
  <si>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</si>
  <si>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</si>
  <si>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</si>
  <si>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Amapá</t>
  </si>
  <si>
    <t>Tribunal de Justiça do Estado do Amapá</t>
  </si>
  <si>
    <t>Tribunal de Contas do Estado do Amapá</t>
  </si>
  <si>
    <t>Defensoria Pública do Estado do Amapá</t>
  </si>
  <si>
    <t>Calculado (despesa líquida / RCL Ajustada do Executivo)</t>
  </si>
  <si>
    <t>Ministério Público do Estado do Amapá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</si>
  <si>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</si>
  <si>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</si>
  <si>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</si>
  <si>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</si>
  <si>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Amapá (AP).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</si>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</sst>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0.41155807928930216</v>
      </c>
      <c r="D6" s="7">
        <f>IFERROR(IF(INDEX(Dados!$K$2:$K$49,MATCH($A6&amp;"|"&amp;D$5,Dados!$A$2:$A$49,0))="","",INDEX(Dados!$K$2:$K$49,MATCH($A6&amp;"|"&amp;D$5,Dados!$A$2:$A$49,0))),"")</f>
        <v>0.39903591053662169</v>
      </c>
      <c r="E6" s="7">
        <f>IFERROR(IF(INDEX(Dados!$K$2:$K$49,MATCH($A6&amp;"|"&amp;E$5,Dados!$A$2:$A$49,0))="","",INDEX(Dados!$K$2:$K$49,MATCH($A6&amp;"|"&amp;E$5,Dados!$A$2:$A$49,0))),"")</f>
        <v>0.43510591118022718</v>
      </c>
      <c r="F6" s="7">
        <f>IFERROR(IF(INDEX(Dados!$K$2:$K$49,MATCH($A6&amp;"|"&amp;F$5,Dados!$A$2:$A$49,0))="","",INDEX(Dados!$K$2:$K$49,MATCH($A6&amp;"|"&amp;F$5,Dados!$A$2:$A$49,0))),"")</f>
        <v>0.41387737375910699</v>
      </c>
      <c r="G6" s="7">
        <f>IFERROR(IF(INDEX(Dados!$K$2:$K$49,MATCH($A6&amp;"|"&amp;G$5,Dados!$A$2:$A$49,0))="","",INDEX(Dados!$K$2:$K$49,MATCH($A6&amp;"|"&amp;G$5,Dados!$A$2:$A$49,0))),"")</f>
        <v>0.42073666829644962</v>
      </c>
      <c r="H6" s="7">
        <f>IFERROR(IF(INDEX(Dados!$K$2:$K$49,MATCH($A6&amp;"|"&amp;H$5,Dados!$A$2:$A$49,0))="","",INDEX(Dados!$K$2:$K$49,MATCH($A6&amp;"|"&amp;H$5,Dados!$A$2:$A$49,0))),"")</f>
        <v>0.38458590866605047</v>
      </c>
      <c r="I6" s="7">
        <f>IFERROR(IF(INDEX(Dados!$K$2:$K$49,MATCH($A6&amp;"|"&amp;I$5,Dados!$A$2:$A$49,0))="","",INDEX(Dados!$K$2:$K$49,MATCH($A6&amp;"|"&amp;I$5,Dados!$A$2:$A$49,0))),"")</f>
        <v>0.40957280377929522</v>
      </c>
      <c r="J6" s="7">
        <f>IFERROR(IF(INDEX(Dados!$K$2:$K$49,MATCH($A6&amp;"|"&amp;J$5,Dados!$A$2:$A$49,0))="","",INDEX(Dados!$K$2:$K$49,MATCH($A6&amp;"|"&amp;J$5,Dados!$A$2:$A$49,0))),"")</f>
        <v>0.41827115186113917</v>
      </c>
      <c r="K6" s="7">
        <f>IFERROR(IF(INDEX(Dados!$N$2:$N$49,MATCH($A6&amp;"|"&amp;J$5,Dados!$A$2:$A$49,0))=0,"—",INDEX(Dados!$N$2:$N$49,MATCH($A6&amp;"|"&amp;J$5,Dados!$A$2:$A$49,0))),"—")</f>
        <v>4.8999999999999998E-3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1.7437444988977702E-2</v>
      </c>
      <c r="D7" s="10">
        <f>IFERROR(IF(INDEX(Dados!$K$2:$K$49,MATCH($A7&amp;"|"&amp;D$5,Dados!$A$2:$A$49,0))="","",INDEX(Dados!$K$2:$K$49,MATCH($A7&amp;"|"&amp;D$5,Dados!$A$2:$A$49,0))),"")</f>
        <v>1.6516908265271663E-2</v>
      </c>
      <c r="E7" s="10">
        <f>IFERROR(IF(INDEX(Dados!$K$2:$K$49,MATCH($A7&amp;"|"&amp;E$5,Dados!$A$2:$A$49,0))="","",INDEX(Dados!$K$2:$K$49,MATCH($A7&amp;"|"&amp;E$5,Dados!$A$2:$A$49,0))),"")</f>
        <v>1.6526777807319162E-2</v>
      </c>
      <c r="F7" s="10">
        <f>IFERROR(IF(INDEX(Dados!$K$2:$K$49,MATCH($A7&amp;"|"&amp;F$5,Dados!$A$2:$A$49,0))="","",INDEX(Dados!$K$2:$K$49,MATCH($A7&amp;"|"&amp;F$5,Dados!$A$2:$A$49,0))),"")</f>
        <v>1.6406097817925253E-2</v>
      </c>
      <c r="G7" s="10">
        <f>IFERROR(IF(INDEX(Dados!$K$2:$K$49,MATCH($A7&amp;"|"&amp;G$5,Dados!$A$2:$A$49,0))="","",INDEX(Dados!$K$2:$K$49,MATCH($A7&amp;"|"&amp;G$5,Dados!$A$2:$A$49,0))),"")</f>
        <v>1.6058764156553672E-2</v>
      </c>
      <c r="H7" s="10">
        <f>IFERROR(IF(INDEX(Dados!$K$2:$K$49,MATCH($A7&amp;"|"&amp;H$5,Dados!$A$2:$A$49,0))="","",INDEX(Dados!$K$2:$K$49,MATCH($A7&amp;"|"&amp;H$5,Dados!$A$2:$A$49,0))),"")</f>
        <v>1.5844806478951121E-2</v>
      </c>
      <c r="I7" s="10">
        <f>IFERROR(IF(INDEX(Dados!$K$2:$K$49,MATCH($A7&amp;"|"&amp;I$5,Dados!$A$2:$A$49,0))="","",INDEX(Dados!$K$2:$K$49,MATCH($A7&amp;"|"&amp;I$5,Dados!$A$2:$A$49,0))),"")</f>
        <v>1.5306017983547426E-2</v>
      </c>
      <c r="J7" s="10" t="str">
        <f>IFERROR(IF(INDEX(Dados!$K$2:$K$49,MATCH($A7&amp;"|"&amp;J$5,Dados!$A$2:$A$49,0))="","",INDEX(Dados!$K$2:$K$49,MATCH($A7&amp;"|"&amp;J$5,Dados!$A$2:$A$49,0))),"")</f>
        <v/>
      </c>
      <c r="K7" s="10" t="str">
        <f>IFERROR(IF(INDEX(Dados!$N$2:$N$49,MATCH($A7&amp;"|"&amp;J$5,Dados!$A$2:$A$49,0))=0,"—",INDEX(Dados!$N$2:$N$49,MATCH($A7&amp;"|"&amp;J$5,Dados!$A$2:$A$49,0))),"—")</f>
        <v>—</v>
      </c>
      <c r="L7" s="9" t="str">
        <f>IFERROR(IF(INDEX(Dados!$T$2:$T$49,MATCH($A7&amp;"|"&amp;J$5,Dados!$A$2:$A$49,0))="","—",INDEX(Dados!$T$2:$T$49,MATCH($A7&amp;"|"&amp;J$5,Dados!$A$2:$A$49,0))),"—")</f>
        <v>Sem dado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4.5472030126657514E-2</v>
      </c>
      <c r="D8" s="10">
        <f>IFERROR(IF(INDEX(Dados!$K$2:$K$49,MATCH($A8&amp;"|"&amp;D$5,Dados!$A$2:$A$49,0))="","",INDEX(Dados!$K$2:$K$49,MATCH($A8&amp;"|"&amp;D$5,Dados!$A$2:$A$49,0))),"")</f>
        <v>4.4527067403239237E-2</v>
      </c>
      <c r="E8" s="10">
        <f>IFERROR(IF(INDEX(Dados!$K$2:$K$49,MATCH($A8&amp;"|"&amp;E$5,Dados!$A$2:$A$49,0))="","",INDEX(Dados!$K$2:$K$49,MATCH($A8&amp;"|"&amp;E$5,Dados!$A$2:$A$49,0))),"")</f>
        <v>4.6239729038073177E-2</v>
      </c>
      <c r="F8" s="10">
        <f>IFERROR(IF(INDEX(Dados!$K$2:$K$49,MATCH($A8&amp;"|"&amp;F$5,Dados!$A$2:$A$49,0))="","",INDEX(Dados!$K$2:$K$49,MATCH($A8&amp;"|"&amp;F$5,Dados!$A$2:$A$49,0))),"")</f>
        <v>4.7155517809796058E-2</v>
      </c>
      <c r="G8" s="10">
        <f>IFERROR(IF(INDEX(Dados!$K$2:$K$49,MATCH($A8&amp;"|"&amp;G$5,Dados!$A$2:$A$49,0))="","",INDEX(Dados!$K$2:$K$49,MATCH($A8&amp;"|"&amp;G$5,Dados!$A$2:$A$49,0))),"")</f>
        <v>4.8941811276470973E-2</v>
      </c>
      <c r="H8" s="10">
        <f>IFERROR(IF(INDEX(Dados!$K$2:$K$49,MATCH($A8&amp;"|"&amp;H$5,Dados!$A$2:$A$49,0))="","",INDEX(Dados!$K$2:$K$49,MATCH($A8&amp;"|"&amp;H$5,Dados!$A$2:$A$49,0))),"")</f>
        <v>4.6000797834367245E-2</v>
      </c>
      <c r="I8" s="10">
        <f>IFERROR(IF(INDEX(Dados!$K$2:$K$49,MATCH($A8&amp;"|"&amp;I$5,Dados!$A$2:$A$49,0))="","",INDEX(Dados!$K$2:$K$49,MATCH($A8&amp;"|"&amp;I$5,Dados!$A$2:$A$49,0))),"")</f>
        <v>4.8152267178514369E-2</v>
      </c>
      <c r="J8" s="10">
        <f>IFERROR(IF(INDEX(Dados!$K$2:$K$49,MATCH($A8&amp;"|"&amp;J$5,Dados!$A$2:$A$49,0))="","",INDEX(Dados!$K$2:$K$49,MATCH($A8&amp;"|"&amp;J$5,Dados!$A$2:$A$49,0))),"")</f>
        <v>4.4483864448549987E-2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6.7064445431985354E-3</v>
      </c>
      <c r="D9" s="10">
        <f>IFERROR(IF(INDEX(Dados!$K$2:$K$49,MATCH($A9&amp;"|"&amp;D$5,Dados!$A$2:$A$49,0))="","",INDEX(Dados!$K$2:$K$49,MATCH($A9&amp;"|"&amp;D$5,Dados!$A$2:$A$49,0))),"")</f>
        <v>6.719578837901999E-3</v>
      </c>
      <c r="E9" s="10">
        <f>IFERROR(IF(INDEX(Dados!$K$2:$K$49,MATCH($A9&amp;"|"&amp;E$5,Dados!$A$2:$A$49,0))="","",INDEX(Dados!$K$2:$K$49,MATCH($A9&amp;"|"&amp;E$5,Dados!$A$2:$A$49,0))),"")</f>
        <v>6.7585453141373103E-3</v>
      </c>
      <c r="F9" s="10">
        <f>IFERROR(IF(INDEX(Dados!$K$2:$K$49,MATCH($A9&amp;"|"&amp;F$5,Dados!$A$2:$A$49,0))="","",INDEX(Dados!$K$2:$K$49,MATCH($A9&amp;"|"&amp;F$5,Dados!$A$2:$A$49,0))),"")</f>
        <v>6.9065196311740209E-3</v>
      </c>
      <c r="G9" s="10">
        <f>IFERROR(IF(INDEX(Dados!$K$2:$K$49,MATCH($A9&amp;"|"&amp;G$5,Dados!$A$2:$A$49,0))="","",INDEX(Dados!$K$2:$K$49,MATCH($A9&amp;"|"&amp;G$5,Dados!$A$2:$A$49,0))),"")</f>
        <v>6.9821673666944683E-3</v>
      </c>
      <c r="H9" s="10">
        <f>IFERROR(IF(INDEX(Dados!$K$2:$K$49,MATCH($A9&amp;"|"&amp;H$5,Dados!$A$2:$A$49,0))="","",INDEX(Dados!$K$2:$K$49,MATCH($A9&amp;"|"&amp;H$5,Dados!$A$2:$A$49,0))),"")</f>
        <v>6.6513422820406887E-3</v>
      </c>
      <c r="I9" s="10">
        <f>IFERROR(IF(INDEX(Dados!$K$2:$K$49,MATCH($A9&amp;"|"&amp;I$5,Dados!$A$2:$A$49,0))="","",INDEX(Dados!$K$2:$K$49,MATCH($A9&amp;"|"&amp;I$5,Dados!$A$2:$A$49,0))),"")</f>
        <v>6.5629238288549205E-3</v>
      </c>
      <c r="J9" s="10">
        <f>IFERROR(IF(INDEX(Dados!$K$2:$K$49,MATCH($A9&amp;"|"&amp;J$5,Dados!$A$2:$A$49,0))="","",INDEX(Dados!$K$2:$K$49,MATCH($A9&amp;"|"&amp;J$5,Dados!$A$2:$A$49,0))),"")</f>
        <v>6.2258119084150892E-3</v>
      </c>
      <c r="K9" s="10">
        <f>IFERROR(IF(INDEX(Dados!$N$2:$N$49,MATCH($A9&amp;"|"&amp;J$5,Dados!$A$2:$A$49,0))=0,"—",INDEX(Dados!$N$2:$N$49,MATCH($A9&amp;"|"&amp;J$5,Dados!$A$2:$A$49,0))),"—")</f>
        <v>1.1599999999999999E-2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5.8254089765324632E-3</v>
      </c>
      <c r="D10" s="10">
        <f>IFERROR(IF(INDEX(Dados!$K$2:$K$49,MATCH($A10&amp;"|"&amp;D$5,Dados!$A$2:$A$49,0))="","",INDEX(Dados!$K$2:$K$49,MATCH($A10&amp;"|"&amp;D$5,Dados!$A$2:$A$49,0))),"")</f>
        <v>5.8223277716028029E-3</v>
      </c>
      <c r="E10" s="10">
        <f>IFERROR(IF(INDEX(Dados!$K$2:$K$49,MATCH($A10&amp;"|"&amp;E$5,Dados!$A$2:$A$49,0))="","",INDEX(Dados!$K$2:$K$49,MATCH($A10&amp;"|"&amp;E$5,Dados!$A$2:$A$49,0))),"")</f>
        <v>6.2600349769636387E-3</v>
      </c>
      <c r="F10" s="10">
        <f>IFERROR(IF(INDEX(Dados!$K$2:$K$49,MATCH($A10&amp;"|"&amp;F$5,Dados!$A$2:$A$49,0))="","",INDEX(Dados!$K$2:$K$49,MATCH($A10&amp;"|"&amp;F$5,Dados!$A$2:$A$49,0))),"")</f>
        <v>6.1122210652561947E-3</v>
      </c>
      <c r="G10" s="10">
        <f>IFERROR(IF(INDEX(Dados!$K$2:$K$49,MATCH($A10&amp;"|"&amp;G$5,Dados!$A$2:$A$49,0))="","",INDEX(Dados!$K$2:$K$49,MATCH($A10&amp;"|"&amp;G$5,Dados!$A$2:$A$49,0))),"")</f>
        <v>6.2406208228461503E-3</v>
      </c>
      <c r="H10" s="10">
        <f>IFERROR(IF(INDEX(Dados!$K$2:$K$49,MATCH($A10&amp;"|"&amp;H$5,Dados!$A$2:$A$49,0))="","",INDEX(Dados!$K$2:$K$49,MATCH($A10&amp;"|"&amp;H$5,Dados!$A$2:$A$49,0))),"")</f>
        <v>6.2526144617662703E-3</v>
      </c>
      <c r="I10" s="10">
        <f>IFERROR(IF(INDEX(Dados!$K$2:$K$49,MATCH($A10&amp;"|"&amp;I$5,Dados!$A$2:$A$49,0))="","",INDEX(Dados!$K$2:$K$49,MATCH($A10&amp;"|"&amp;I$5,Dados!$A$2:$A$49,0))),"")</f>
        <v>6.1415839478918995E-3</v>
      </c>
      <c r="J10" s="10">
        <f>IFERROR(IF(INDEX(Dados!$K$2:$K$49,MATCH($A10&amp;"|"&amp;J$5,Dados!$A$2:$A$49,0))="","",INDEX(Dados!$K$2:$K$49,MATCH($A10&amp;"|"&amp;J$5,Dados!$A$2:$A$49,0))),"")</f>
        <v>5.8445705756640419E-3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1.5530147720487731E-2</v>
      </c>
      <c r="D11" s="10">
        <f>IFERROR(IF(INDEX(Dados!$K$2:$K$49,MATCH($A11&amp;"|"&amp;D$5,Dados!$A$2:$A$49,0))="","",INDEX(Dados!$K$2:$K$49,MATCH($A11&amp;"|"&amp;D$5,Dados!$A$2:$A$49,0))),"")</f>
        <v>1.5068327118322143E-2</v>
      </c>
      <c r="E11" s="10">
        <f>IFERROR(IF(INDEX(Dados!$K$2:$K$49,MATCH($A11&amp;"|"&amp;E$5,Dados!$A$2:$A$49,0))="","",INDEX(Dados!$K$2:$K$49,MATCH($A11&amp;"|"&amp;E$5,Dados!$A$2:$A$49,0))),"")</f>
        <v>1.5145056461968951E-2</v>
      </c>
      <c r="F11" s="10">
        <f>IFERROR(IF(INDEX(Dados!$K$2:$K$49,MATCH($A11&amp;"|"&amp;F$5,Dados!$A$2:$A$49,0))="","",INDEX(Dados!$K$2:$K$49,MATCH($A11&amp;"|"&amp;F$5,Dados!$A$2:$A$49,0))),"")</f>
        <v>1.5266061003195077E-2</v>
      </c>
      <c r="G11" s="10">
        <f>IFERROR(IF(INDEX(Dados!$K$2:$K$49,MATCH($A11&amp;"|"&amp;G$5,Dados!$A$2:$A$49,0))="","",INDEX(Dados!$K$2:$K$49,MATCH($A11&amp;"|"&amp;G$5,Dados!$A$2:$A$49,0))),"")</f>
        <v>1.5348088602594739E-2</v>
      </c>
      <c r="H11" s="10">
        <f>IFERROR(IF(INDEX(Dados!$K$2:$K$49,MATCH($A11&amp;"|"&amp;H$5,Dados!$A$2:$A$49,0))="","",INDEX(Dados!$K$2:$K$49,MATCH($A11&amp;"|"&amp;H$5,Dados!$A$2:$A$49,0))),"")</f>
        <v>1.4721244366968422E-2</v>
      </c>
      <c r="I11" s="10">
        <f>IFERROR(IF(INDEX(Dados!$K$2:$K$49,MATCH($A11&amp;"|"&amp;I$5,Dados!$A$2:$A$49,0))="","",INDEX(Dados!$K$2:$K$49,MATCH($A11&amp;"|"&amp;I$5,Dados!$A$2:$A$49,0))),"")</f>
        <v>1.4043446652440341E-2</v>
      </c>
      <c r="J11" s="10">
        <f>IFERROR(IF(INDEX(Dados!$K$2:$K$49,MATCH($A11&amp;"|"&amp;J$5,Dados!$A$2:$A$49,0))="","",INDEX(Dados!$K$2:$K$49,MATCH($A11&amp;"|"&amp;J$5,Dados!$A$2:$A$49,0))),"")</f>
        <v>1.4337586800684615E-2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8361.6818761100003</v>
      </c>
      <c r="D12" s="12">
        <f>IFERROR(INDEX(Dados!$J$2:$J$49,MATCH("Governo|"&amp;D$5,Dados!$A$2:$A$49,0))/1000000,"")</f>
        <v>8864.3377742700013</v>
      </c>
      <c r="E12" s="12">
        <f>IFERROR(INDEX(Dados!$J$2:$J$49,MATCH("Governo|"&amp;E$5,Dados!$A$2:$A$49,0))/1000000,"")</f>
        <v>8857.3934832699997</v>
      </c>
      <c r="F12" s="12">
        <f>IFERROR(INDEX(Dados!$J$2:$J$49,MATCH("Governo|"&amp;F$5,Dados!$A$2:$A$49,0))/1000000,"")</f>
        <v>9015.5839819400007</v>
      </c>
      <c r="G12" s="12">
        <f>IFERROR(INDEX(Dados!$J$2:$J$49,MATCH("Governo|"&amp;G$5,Dados!$A$2:$A$49,0))/1000000,"")</f>
        <v>9129.0309742000009</v>
      </c>
      <c r="H12" s="12">
        <f>IFERROR(INDEX(Dados!$J$2:$J$49,MATCH("Governo|"&amp;H$5,Dados!$A$2:$A$49,0))/1000000,"")</f>
        <v>9693.53394338</v>
      </c>
      <c r="I12" s="12">
        <f>IFERROR(INDEX(Dados!$J$2:$J$49,MATCH("Governo|"&amp;I$5,Dados!$A$2:$A$49,0))/1000000,"")</f>
        <v>10091.04647365</v>
      </c>
      <c r="J12" s="12">
        <f>IFERROR(INDEX(Dados!$J$2:$J$49,MATCH("Governo|"&amp;J$5,Dados!$A$2:$A$49,0))/1000000,"")</f>
        <v>10832.91877142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3441.31773256</v>
      </c>
      <c r="D16" s="13">
        <f>IFERROR(IF(INDEX(Dados!$I$2:$I$49,MATCH($A16&amp;"|"&amp;D$15,Dados!$A$2:$A$49,0))="","",INDEX(Dados!$I$2:$I$49,MATCH($A16&amp;"|"&amp;D$15,Dados!$A$2:$A$49,0))/1000000),"")</f>
        <v>3537.18909506</v>
      </c>
      <c r="E16" s="13">
        <f>IFERROR(IF(INDEX(Dados!$I$2:$I$49,MATCH($A16&amp;"|"&amp;E$15,Dados!$A$2:$A$49,0))="","",INDEX(Dados!$I$2:$I$49,MATCH($A16&amp;"|"&amp;E$15,Dados!$A$2:$A$49,0))/1000000),"")</f>
        <v>3853.90426222</v>
      </c>
      <c r="F16" s="13">
        <f>IFERROR(IF(INDEX(Dados!$I$2:$I$49,MATCH($A16&amp;"|"&amp;F$15,Dados!$A$2:$A$49,0))="","",INDEX(Dados!$I$2:$I$49,MATCH($A16&amp;"|"&amp;F$15,Dados!$A$2:$A$49,0))/1000000),"")</f>
        <v>3731.3462213499997</v>
      </c>
      <c r="G16" s="13">
        <f>IFERROR(IF(INDEX(Dados!$I$2:$I$49,MATCH($A16&amp;"|"&amp;G$15,Dados!$A$2:$A$49,0))="","",INDEX(Dados!$I$2:$I$49,MATCH($A16&amp;"|"&amp;G$15,Dados!$A$2:$A$49,0))/1000000),"")</f>
        <v>3840.9180768599999</v>
      </c>
      <c r="H16" s="13">
        <f>IFERROR(IF(INDEX(Dados!$I$2:$I$49,MATCH($A16&amp;"|"&amp;H$15,Dados!$A$2:$A$49,0))="","",INDEX(Dados!$I$2:$I$49,MATCH($A16&amp;"|"&amp;H$15,Dados!$A$2:$A$49,0))/1000000),"")</f>
        <v>3727.9965598000003</v>
      </c>
      <c r="I16" s="13">
        <f>IFERROR(IF(INDEX(Dados!$I$2:$I$49,MATCH($A16&amp;"|"&amp;I$15,Dados!$A$2:$A$49,0))="","",INDEX(Dados!$I$2:$I$49,MATCH($A16&amp;"|"&amp;I$15,Dados!$A$2:$A$49,0))/1000000),"")</f>
        <v>4133.0181972800001</v>
      </c>
      <c r="J16" s="13">
        <f>IFERROR(IF(INDEX(Dados!$I$2:$I$49,MATCH($A16&amp;"|"&amp;J$15,Dados!$A$2:$A$49,0))="","",INDEX(Dados!$I$2:$I$49,MATCH($A16&amp;"|"&amp;J$15,Dados!$A$2:$A$49,0))/1000000),"")</f>
        <v>4531.0974125399998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145.80636772999998</v>
      </c>
      <c r="D17" s="14">
        <f>IFERROR(IF(INDEX(Dados!$I$2:$I$49,MATCH($A17&amp;"|"&amp;D$15,Dados!$A$2:$A$49,0))="","",INDEX(Dados!$I$2:$I$49,MATCH($A17&amp;"|"&amp;D$15,Dados!$A$2:$A$49,0))/1000000),"")</f>
        <v>146.41145384999999</v>
      </c>
      <c r="E17" s="14">
        <f>IFERROR(IF(INDEX(Dados!$I$2:$I$49,MATCH($A17&amp;"|"&amp;E$15,Dados!$A$2:$A$49,0))="","",INDEX(Dados!$I$2:$I$49,MATCH($A17&amp;"|"&amp;E$15,Dados!$A$2:$A$49,0))/1000000),"")</f>
        <v>146.38417405000001</v>
      </c>
      <c r="F17" s="14">
        <f>IFERROR(IF(INDEX(Dados!$I$2:$I$49,MATCH($A17&amp;"|"&amp;F$15,Dados!$A$2:$A$49,0))="","",INDEX(Dados!$I$2:$I$49,MATCH($A17&amp;"|"&amp;F$15,Dados!$A$2:$A$49,0))/1000000),"")</f>
        <v>147.97881287000001</v>
      </c>
      <c r="G17" s="14">
        <f>IFERROR(IF(INDEX(Dados!$I$2:$I$49,MATCH($A17&amp;"|"&amp;G$15,Dados!$A$2:$A$49,0))="","",INDEX(Dados!$I$2:$I$49,MATCH($A17&amp;"|"&amp;G$15,Dados!$A$2:$A$49,0))/1000000),"")</f>
        <v>146.66749131999998</v>
      </c>
      <c r="H17" s="14">
        <f>IFERROR(IF(INDEX(Dados!$I$2:$I$49,MATCH($A17&amp;"|"&amp;H$15,Dados!$A$2:$A$49,0))="","",INDEX(Dados!$I$2:$I$49,MATCH($A17&amp;"|"&amp;H$15,Dados!$A$2:$A$49,0))/1000000),"")</f>
        <v>153.59216943000001</v>
      </c>
      <c r="I17" s="14">
        <f>IFERROR(IF(INDEX(Dados!$I$2:$I$49,MATCH($A17&amp;"|"&amp;I$15,Dados!$A$2:$A$49,0))="","",INDEX(Dados!$I$2:$I$49,MATCH($A17&amp;"|"&amp;I$15,Dados!$A$2:$A$49,0))/1000000),"")</f>
        <v>154.29160215000002</v>
      </c>
      <c r="J17" s="14" t="str">
        <f>IFERROR(IF(INDEX(Dados!$I$2:$I$49,MATCH($A17&amp;"|"&amp;J$15,Dados!$A$2:$A$49,0))="","",INDEX(Dados!$I$2:$I$49,MATCH($A17&amp;"|"&amp;J$15,Dados!$A$2:$A$49,0))/1000000),"")</f>
        <v/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380.22265018000002</v>
      </c>
      <c r="D18" s="14">
        <f>IFERROR(IF(INDEX(Dados!$I$2:$I$49,MATCH($A18&amp;"|"&amp;D$15,Dados!$A$2:$A$49,0))="","",INDEX(Dados!$I$2:$I$49,MATCH($A18&amp;"|"&amp;D$15,Dados!$A$2:$A$49,0))/1000000),"")</f>
        <v>394.70296556</v>
      </c>
      <c r="E18" s="14">
        <f>IFERROR(IF(INDEX(Dados!$I$2:$I$49,MATCH($A18&amp;"|"&amp;E$15,Dados!$A$2:$A$49,0))="","",INDEX(Dados!$I$2:$I$49,MATCH($A18&amp;"|"&amp;E$15,Dados!$A$2:$A$49,0))/1000000),"")</f>
        <v>409.56347464999999</v>
      </c>
      <c r="F18" s="14">
        <f>IFERROR(IF(INDEX(Dados!$I$2:$I$49,MATCH($A18&amp;"|"&amp;F$15,Dados!$A$2:$A$49,0))="","",INDEX(Dados!$I$2:$I$49,MATCH($A18&amp;"|"&amp;F$15,Dados!$A$2:$A$49,0))/1000000),"")</f>
        <v>425.33072905</v>
      </c>
      <c r="G18" s="14">
        <f>IFERROR(IF(INDEX(Dados!$I$2:$I$49,MATCH($A18&amp;"|"&amp;G$15,Dados!$A$2:$A$49,0))="","",INDEX(Dados!$I$2:$I$49,MATCH($A18&amp;"|"&amp;G$15,Dados!$A$2:$A$49,0))/1000000),"")</f>
        <v>446.99409062000001</v>
      </c>
      <c r="H18" s="14">
        <f>IFERROR(IF(INDEX(Dados!$I$2:$I$49,MATCH($A18&amp;"|"&amp;H$15,Dados!$A$2:$A$49,0))="","",INDEX(Dados!$I$2:$I$49,MATCH($A18&amp;"|"&amp;H$15,Dados!$A$2:$A$49,0))/1000000),"")</f>
        <v>445.91029523000003</v>
      </c>
      <c r="I18" s="14">
        <f>IFERROR(IF(INDEX(Dados!$I$2:$I$49,MATCH($A18&amp;"|"&amp;I$15,Dados!$A$2:$A$49,0))="","",INDEX(Dados!$I$2:$I$49,MATCH($A18&amp;"|"&amp;I$15,Dados!$A$2:$A$49,0))/1000000),"")</f>
        <v>485.90676591000005</v>
      </c>
      <c r="J18" s="14">
        <f>IFERROR(IF(INDEX(Dados!$I$2:$I$49,MATCH($A18&amp;"|"&amp;J$15,Dados!$A$2:$A$49,0))="","",INDEX(Dados!$I$2:$I$49,MATCH($A18&amp;"|"&amp;J$15,Dados!$A$2:$A$49,0))/1000000),"")</f>
        <v>481.89009020999998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56.077155789999999</v>
      </c>
      <c r="D19" s="14">
        <f>IFERROR(IF(INDEX(Dados!$I$2:$I$49,MATCH($A19&amp;"|"&amp;D$15,Dados!$A$2:$A$49,0))="","",INDEX(Dados!$I$2:$I$49,MATCH($A19&amp;"|"&amp;D$15,Dados!$A$2:$A$49,0))/1000000),"")</f>
        <v>59.564616520000001</v>
      </c>
      <c r="E19" s="14">
        <f>IFERROR(IF(INDEX(Dados!$I$2:$I$49,MATCH($A19&amp;"|"&amp;E$15,Dados!$A$2:$A$49,0))="","",INDEX(Dados!$I$2:$I$49,MATCH($A19&amp;"|"&amp;E$15,Dados!$A$2:$A$49,0))/1000000),"")</f>
        <v>59.863095219999998</v>
      </c>
      <c r="F19" s="14">
        <f>IFERROR(IF(INDEX(Dados!$I$2:$I$49,MATCH($A19&amp;"|"&amp;F$15,Dados!$A$2:$A$49,0))="","",INDEX(Dados!$I$2:$I$49,MATCH($A19&amp;"|"&amp;F$15,Dados!$A$2:$A$49,0))/1000000),"")</f>
        <v>62.29504343</v>
      </c>
      <c r="G19" s="14">
        <f>IFERROR(IF(INDEX(Dados!$I$2:$I$49,MATCH($A19&amp;"|"&amp;G$15,Dados!$A$2:$A$49,0))="","",INDEX(Dados!$I$2:$I$49,MATCH($A19&amp;"|"&amp;G$15,Dados!$A$2:$A$49,0))/1000000),"")</f>
        <v>63.769351219999997</v>
      </c>
      <c r="H19" s="14">
        <f>IFERROR(IF(INDEX(Dados!$I$2:$I$49,MATCH($A19&amp;"|"&amp;H$15,Dados!$A$2:$A$49,0))="","",INDEX(Dados!$I$2:$I$49,MATCH($A19&amp;"|"&amp;H$15,Dados!$A$2:$A$49,0))/1000000),"")</f>
        <v>64.475012179999993</v>
      </c>
      <c r="I19" s="14">
        <f>IFERROR(IF(INDEX(Dados!$I$2:$I$49,MATCH($A19&amp;"|"&amp;I$15,Dados!$A$2:$A$49,0))="","",INDEX(Dados!$I$2:$I$49,MATCH($A19&amp;"|"&amp;I$15,Dados!$A$2:$A$49,0))/1000000),"")</f>
        <v>66.226769360000006</v>
      </c>
      <c r="J19" s="14">
        <f>IFERROR(IF(INDEX(Dados!$I$2:$I$49,MATCH($A19&amp;"|"&amp;J$15,Dados!$A$2:$A$49,0))="","",INDEX(Dados!$I$2:$I$49,MATCH($A19&amp;"|"&amp;J$15,Dados!$A$2:$A$49,0))/1000000),"")</f>
        <v>67.443714689999993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48.710216659999993</v>
      </c>
      <c r="D20" s="14">
        <f>IFERROR(IF(INDEX(Dados!$I$2:$I$49,MATCH($A20&amp;"|"&amp;D$15,Dados!$A$2:$A$49,0))="","",INDEX(Dados!$I$2:$I$49,MATCH($A20&amp;"|"&amp;D$15,Dados!$A$2:$A$49,0))/1000000),"")</f>
        <v>51.611080000000001</v>
      </c>
      <c r="E20" s="14">
        <f>IFERROR(IF(INDEX(Dados!$I$2:$I$49,MATCH($A20&amp;"|"&amp;E$15,Dados!$A$2:$A$49,0))="","",INDEX(Dados!$I$2:$I$49,MATCH($A20&amp;"|"&amp;E$15,Dados!$A$2:$A$49,0))/1000000),"")</f>
        <v>55.447593009999999</v>
      </c>
      <c r="F20" s="14">
        <f>IFERROR(IF(INDEX(Dados!$I$2:$I$49,MATCH($A20&amp;"|"&amp;F$15,Dados!$A$2:$A$49,0))="","",INDEX(Dados!$I$2:$I$49,MATCH($A20&amp;"|"&amp;F$15,Dados!$A$2:$A$49,0))/1000000),"")</f>
        <v>55.105242329999996</v>
      </c>
      <c r="G20" s="14">
        <f>IFERROR(IF(INDEX(Dados!$I$2:$I$49,MATCH($A20&amp;"|"&amp;G$15,Dados!$A$2:$A$49,0))="","",INDEX(Dados!$I$2:$I$49,MATCH($A20&amp;"|"&amp;G$15,Dados!$A$2:$A$49,0))/1000000),"")</f>
        <v>56.970820789999998</v>
      </c>
      <c r="H20" s="14">
        <f>IFERROR(IF(INDEX(Dados!$I$2:$I$49,MATCH($A20&amp;"|"&amp;H$15,Dados!$A$2:$A$49,0))="","",INDEX(Dados!$I$2:$I$49,MATCH($A20&amp;"|"&amp;H$15,Dados!$A$2:$A$49,0))/1000000),"")</f>
        <v>60.609930520000006</v>
      </c>
      <c r="I20" s="14">
        <f>IFERROR(IF(INDEX(Dados!$I$2:$I$49,MATCH($A20&amp;"|"&amp;I$15,Dados!$A$2:$A$49,0))="","",INDEX(Dados!$I$2:$I$49,MATCH($A20&amp;"|"&amp;I$15,Dados!$A$2:$A$49,0))/1000000),"")</f>
        <v>61.975009039999996</v>
      </c>
      <c r="J20" s="14">
        <f>IFERROR(IF(INDEX(Dados!$I$2:$I$49,MATCH($A20&amp;"|"&amp;J$15,Dados!$A$2:$A$49,0))="","",INDEX(Dados!$I$2:$I$49,MATCH($A20&amp;"|"&amp;J$15,Dados!$A$2:$A$49,0))/1000000),"")</f>
        <v>63.313758299999996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129.85815332999999</v>
      </c>
      <c r="D21" s="14">
        <f>IFERROR(IF(INDEX(Dados!$I$2:$I$49,MATCH($A21&amp;"|"&amp;D$15,Dados!$A$2:$A$49,0))="","",INDEX(Dados!$I$2:$I$49,MATCH($A21&amp;"|"&amp;D$15,Dados!$A$2:$A$49,0))/1000000),"")</f>
        <v>133.57074126999998</v>
      </c>
      <c r="E21" s="14">
        <f>IFERROR(IF(INDEX(Dados!$I$2:$I$49,MATCH($A21&amp;"|"&amp;E$15,Dados!$A$2:$A$49,0))="","",INDEX(Dados!$I$2:$I$49,MATCH($A21&amp;"|"&amp;E$15,Dados!$A$2:$A$49,0))/1000000),"")</f>
        <v>134.14572440999999</v>
      </c>
      <c r="F21" s="14">
        <f>IFERROR(IF(INDEX(Dados!$I$2:$I$49,MATCH($A21&amp;"|"&amp;F$15,Dados!$A$2:$A$49,0))="","",INDEX(Dados!$I$2:$I$49,MATCH($A21&amp;"|"&amp;F$15,Dados!$A$2:$A$49,0))/1000000),"")</f>
        <v>137.69597191999998</v>
      </c>
      <c r="G21" s="14">
        <f>IFERROR(IF(INDEX(Dados!$I$2:$I$49,MATCH($A21&amp;"|"&amp;G$15,Dados!$A$2:$A$49,0))="","",INDEX(Dados!$I$2:$I$49,MATCH($A21&amp;"|"&amp;G$15,Dados!$A$2:$A$49,0))/1000000),"")</f>
        <v>140.17676765000002</v>
      </c>
      <c r="H21" s="14">
        <f>IFERROR(IF(INDEX(Dados!$I$2:$I$49,MATCH($A21&amp;"|"&amp;H$15,Dados!$A$2:$A$49,0))="","",INDEX(Dados!$I$2:$I$49,MATCH($A21&amp;"|"&amp;H$15,Dados!$A$2:$A$49,0))/1000000),"")</f>
        <v>142.70088196</v>
      </c>
      <c r="I21" s="14">
        <f>IFERROR(IF(INDEX(Dados!$I$2:$I$49,MATCH($A21&amp;"|"&amp;I$15,Dados!$A$2:$A$49,0))="","",INDEX(Dados!$I$2:$I$49,MATCH($A21&amp;"|"&amp;I$15,Dados!$A$2:$A$49,0))/1000000),"")</f>
        <v>141.71307281999998</v>
      </c>
      <c r="J21" s="14">
        <f>IFERROR(IF(INDEX(Dados!$I$2:$I$49,MATCH($A21&amp;"|"&amp;J$15,Dados!$A$2:$A$49,0))="","",INDEX(Dados!$I$2:$I$49,MATCH($A21&amp;"|"&amp;J$15,Dados!$A$2:$A$49,0))/1000000),"")</f>
        <v>155.31791318999998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3441317732.5599999</v>
      </c>
      <c r="J2" s="15">
        <v>8361681876.1099997</v>
      </c>
      <c r="K2" s="10">
        <f t="shared" ref="K2:K49" si="1">IF(OR(I2="",J2="",J2=0),"",I2/J2)</f>
        <v>0.41155807928930216</v>
      </c>
      <c r="L2" s="16">
        <v>0.41160000000000002</v>
      </c>
      <c r="M2" s="9" t="str">
        <f t="shared" ref="M2:M49" si="2">IF(L2="","Não declarado",IF(K2="","Sem dado",IF(ABS(K2-L2)&lt;=0.00005,"Sim","Não")))</f>
        <v>Sim</v>
      </c>
      <c r="N2" s="16">
        <v>4.8999999999999998E-3</v>
      </c>
      <c r="O2" s="16">
        <v>4.6999999999999993E-3</v>
      </c>
      <c r="P2" s="16">
        <v>4.4000000000000003E-3</v>
      </c>
      <c r="Q2" s="15">
        <v>4097224119.29</v>
      </c>
      <c r="R2" s="15">
        <v>3892362913.3299999</v>
      </c>
      <c r="S2" s="15">
        <v>3687501707.3600001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3537189095.0599999</v>
      </c>
      <c r="J3" s="15">
        <v>8864337774.2700005</v>
      </c>
      <c r="K3" s="10">
        <f t="shared" si="1"/>
        <v>0.39903591053662169</v>
      </c>
      <c r="L3" s="16">
        <v>0.39900000000000002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4343525509.3900003</v>
      </c>
      <c r="R3" s="15">
        <v>4126349233.9200001</v>
      </c>
      <c r="S3" s="15">
        <v>3909172958.4499998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3853904262.2199998</v>
      </c>
      <c r="J4" s="15">
        <v>8857393483.2700005</v>
      </c>
      <c r="K4" s="10">
        <f t="shared" si="1"/>
        <v>0.43510591118022718</v>
      </c>
      <c r="L4" s="16">
        <v>0.43509999999999999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4340122806.8000002</v>
      </c>
      <c r="R4" s="15">
        <v>4123116666.46</v>
      </c>
      <c r="S4" s="15">
        <v>3906110526.1199999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3731346221.3499999</v>
      </c>
      <c r="J5" s="15">
        <v>9015583981.9400005</v>
      </c>
      <c r="K5" s="10">
        <f t="shared" si="1"/>
        <v>0.41387737375910699</v>
      </c>
      <c r="L5" s="16">
        <v>0.41389999999999999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4417636151.1499996</v>
      </c>
      <c r="R5" s="15">
        <v>4196754343.5900002</v>
      </c>
      <c r="S5" s="15">
        <v>3975872536.04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3840918076.8600001</v>
      </c>
      <c r="J6" s="15">
        <v>9129030974.2000008</v>
      </c>
      <c r="K6" s="10">
        <f t="shared" si="1"/>
        <v>0.42073666829644962</v>
      </c>
      <c r="L6" s="16">
        <v>0.42070000000000002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4473225177.3599997</v>
      </c>
      <c r="R6" s="15">
        <v>4249563918.4899998</v>
      </c>
      <c r="S6" s="15">
        <v>4025902659.6199999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3727996559.8000002</v>
      </c>
      <c r="J7" s="15">
        <v>9693533943.3799992</v>
      </c>
      <c r="K7" s="10">
        <f t="shared" si="1"/>
        <v>0.38458590866605047</v>
      </c>
      <c r="L7" s="16">
        <v>0.3846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4749831632.2600002</v>
      </c>
      <c r="R7" s="15">
        <v>4512340050.6499996</v>
      </c>
      <c r="S7" s="15">
        <v>4274848469.0300002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4133018197.2800002</v>
      </c>
      <c r="J8" s="15">
        <v>10091046473.65</v>
      </c>
      <c r="K8" s="10">
        <f t="shared" si="1"/>
        <v>0.40957280377929522</v>
      </c>
      <c r="L8" s="16">
        <v>0.40960000000000002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4944612772.0900002</v>
      </c>
      <c r="R8" s="15">
        <v>4697382133.4899998</v>
      </c>
      <c r="S8" s="15">
        <v>4450151494.8800001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4531097412.54</v>
      </c>
      <c r="J9" s="15">
        <v>10832918771.42</v>
      </c>
      <c r="K9" s="10">
        <f t="shared" si="1"/>
        <v>0.41827115186113917</v>
      </c>
      <c r="L9" s="16">
        <v>0.41830000000000001</v>
      </c>
      <c r="M9" s="9" t="str">
        <f t="shared" si="2"/>
        <v>Sim</v>
      </c>
      <c r="N9" s="16">
        <v>4.8999999999999998E-3</v>
      </c>
      <c r="O9" s="16">
        <v>4.6999999999999993E-3</v>
      </c>
      <c r="P9" s="16">
        <v>4.4000000000000003E-3</v>
      </c>
      <c r="Q9" s="15">
        <v>5308130198</v>
      </c>
      <c r="R9" s="15">
        <v>5042723688.1000004</v>
      </c>
      <c r="S9" s="15">
        <v>4777317178.1999998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145806367.72999999</v>
      </c>
      <c r="J10" s="15">
        <v>8361681876.1099997</v>
      </c>
      <c r="K10" s="10">
        <f t="shared" si="1"/>
        <v>1.7437444988977702E-2</v>
      </c>
      <c r="L10" s="16">
        <v>1.7399999999999999E-2</v>
      </c>
      <c r="M10" s="9" t="str">
        <f t="shared" si="2"/>
        <v>Sim</v>
      </c>
      <c r="N10" s="16">
        <v>1.84E-2</v>
      </c>
      <c r="O10" s="16">
        <v>1.7500000000000002E-2</v>
      </c>
      <c r="P10" s="16">
        <v>1.66E-2</v>
      </c>
      <c r="Q10" s="15">
        <v>153854946.52000001</v>
      </c>
      <c r="R10" s="15">
        <v>146162199.19</v>
      </c>
      <c r="S10" s="15">
        <v>138469451.87</v>
      </c>
      <c r="T10" s="9" t="str">
        <f t="shared" si="3"/>
        <v>Acima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146411453.84999999</v>
      </c>
      <c r="J11" s="15">
        <v>8864337774.2700005</v>
      </c>
      <c r="K11" s="10">
        <f t="shared" si="1"/>
        <v>1.6516908265271663E-2</v>
      </c>
      <c r="L11" s="16">
        <v>1.6500000000000001E-2</v>
      </c>
      <c r="M11" s="9" t="str">
        <f t="shared" si="2"/>
        <v>Sim</v>
      </c>
      <c r="N11" s="16">
        <v>1.84E-2</v>
      </c>
      <c r="O11" s="16">
        <v>1.7500000000000002E-2</v>
      </c>
      <c r="P11" s="16">
        <v>1.66E-2</v>
      </c>
      <c r="Q11" s="15">
        <v>163103815.05000001</v>
      </c>
      <c r="R11" s="15">
        <v>154948624.30000001</v>
      </c>
      <c r="S11" s="15">
        <v>146793433.55000001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146384174.05000001</v>
      </c>
      <c r="J12" s="15">
        <v>8857393483.2700005</v>
      </c>
      <c r="K12" s="10">
        <f t="shared" si="1"/>
        <v>1.6526777807319162E-2</v>
      </c>
      <c r="L12" s="16">
        <v>1.6500000000000001E-2</v>
      </c>
      <c r="M12" s="9" t="str">
        <f t="shared" si="2"/>
        <v>Sim</v>
      </c>
      <c r="N12" s="16">
        <v>1.84E-2</v>
      </c>
      <c r="O12" s="16">
        <v>1.7500000000000002E-2</v>
      </c>
      <c r="P12" s="16">
        <v>1.66E-2</v>
      </c>
      <c r="Q12" s="15">
        <v>162976040.09</v>
      </c>
      <c r="R12" s="15">
        <v>154827238.09</v>
      </c>
      <c r="S12" s="15">
        <v>146678436.08000001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147978812.87</v>
      </c>
      <c r="J13" s="15">
        <v>9019744640.8199997</v>
      </c>
      <c r="K13" s="10">
        <f t="shared" si="1"/>
        <v>1.6406097817925253E-2</v>
      </c>
      <c r="L13" s="16">
        <v>1.6400000000000001E-2</v>
      </c>
      <c r="M13" s="9" t="str">
        <f t="shared" si="2"/>
        <v>Sim</v>
      </c>
      <c r="N13" s="16">
        <v>1.84E-2</v>
      </c>
      <c r="O13" s="16">
        <v>1.7500000000000002E-2</v>
      </c>
      <c r="P13" s="16">
        <v>1.66E-2</v>
      </c>
      <c r="Q13" s="15">
        <v>165963301.38999999</v>
      </c>
      <c r="R13" s="15">
        <v>157665136.31999999</v>
      </c>
      <c r="S13" s="15">
        <v>149366971.25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146667491.31999999</v>
      </c>
      <c r="J14" s="15">
        <v>9133174252.3999996</v>
      </c>
      <c r="K14" s="10">
        <f t="shared" si="1"/>
        <v>1.6058764156553672E-2</v>
      </c>
      <c r="L14" s="16">
        <v>1.61E-2</v>
      </c>
      <c r="M14" s="9" t="str">
        <f t="shared" si="2"/>
        <v>Sim</v>
      </c>
      <c r="N14" s="16">
        <v>1.84E-2</v>
      </c>
      <c r="O14" s="16">
        <v>1.7500000000000002E-2</v>
      </c>
      <c r="P14" s="16">
        <v>1.66E-2</v>
      </c>
      <c r="Q14" s="15">
        <v>168050406.24000001</v>
      </c>
      <c r="R14" s="15">
        <v>159647885.93000001</v>
      </c>
      <c r="S14" s="15">
        <v>151245365.62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153592169.43000001</v>
      </c>
      <c r="J15" s="15">
        <v>9693533943.3799992</v>
      </c>
      <c r="K15" s="10">
        <f t="shared" si="1"/>
        <v>1.5844806478951121E-2</v>
      </c>
      <c r="L15" s="16">
        <v>1.5800000000000002E-2</v>
      </c>
      <c r="M15" s="9" t="str">
        <f t="shared" si="2"/>
        <v>Sim</v>
      </c>
      <c r="N15" s="16">
        <v>1.84E-2</v>
      </c>
      <c r="O15" s="16">
        <v>1.7500000000000002E-2</v>
      </c>
      <c r="P15" s="16">
        <v>1.66E-2</v>
      </c>
      <c r="Q15" s="15">
        <v>178338131.37</v>
      </c>
      <c r="R15" s="15">
        <v>169421224.80000001</v>
      </c>
      <c r="S15" s="15">
        <v>160504318.22999999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154291602.15000001</v>
      </c>
      <c r="J16" s="15">
        <v>10080453473.65</v>
      </c>
      <c r="K16" s="10">
        <f t="shared" si="1"/>
        <v>1.5306017983547426E-2</v>
      </c>
      <c r="L16" s="16">
        <v>1.5299999999999999E-2</v>
      </c>
      <c r="M16" s="9" t="str">
        <f t="shared" si="2"/>
        <v>Sim</v>
      </c>
      <c r="N16" s="16">
        <v>1.84E-2</v>
      </c>
      <c r="O16" s="16">
        <v>1.7500000000000002E-2</v>
      </c>
      <c r="P16" s="16">
        <v>1.66E-2</v>
      </c>
      <c r="Q16" s="15">
        <v>185480343.91999999</v>
      </c>
      <c r="R16" s="15">
        <v>176206326.72</v>
      </c>
      <c r="S16" s="15">
        <v>166932309.53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7"/>
      <c r="J17" s="15">
        <v>10832918771.42</v>
      </c>
      <c r="K17" s="10" t="str">
        <f t="shared" si="1"/>
        <v/>
      </c>
      <c r="L17" s="10"/>
      <c r="M17" s="9" t="str">
        <f t="shared" si="2"/>
        <v>Não declarado</v>
      </c>
      <c r="N17" s="10"/>
      <c r="O17" s="10"/>
      <c r="P17" s="10"/>
      <c r="Q17" s="17"/>
      <c r="R17" s="17"/>
      <c r="S17" s="17"/>
      <c r="T17" s="9" t="str">
        <f t="shared" si="3"/>
        <v>Sem dado</v>
      </c>
      <c r="U17" s="9"/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380222650.18000001</v>
      </c>
      <c r="J18" s="15">
        <v>8361681876.1099997</v>
      </c>
      <c r="K18" s="10">
        <f t="shared" si="1"/>
        <v>4.5472030126657514E-2</v>
      </c>
      <c r="L18" s="16">
        <v>4.5499999999999999E-2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501700912.56999999</v>
      </c>
      <c r="R18" s="15">
        <v>476615866.94</v>
      </c>
      <c r="S18" s="15">
        <v>451530821.31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394702965.56</v>
      </c>
      <c r="J19" s="15">
        <v>8864337774.2700005</v>
      </c>
      <c r="K19" s="10">
        <f t="shared" si="1"/>
        <v>4.4527067403239237E-2</v>
      </c>
      <c r="L19" s="16">
        <v>4.4499999999999998E-2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531860266.45999998</v>
      </c>
      <c r="R19" s="15">
        <v>505267253.13999999</v>
      </c>
      <c r="S19" s="15">
        <v>478674239.81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409563474.64999998</v>
      </c>
      <c r="J20" s="15">
        <v>8857393483.2700005</v>
      </c>
      <c r="K20" s="10">
        <f t="shared" si="1"/>
        <v>4.6239729038073177E-2</v>
      </c>
      <c r="L20" s="16">
        <v>4.6199999999999998E-2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531443609</v>
      </c>
      <c r="R20" s="15">
        <v>504871428.55000001</v>
      </c>
      <c r="S20" s="15">
        <v>478299248.10000002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425330729.05000001</v>
      </c>
      <c r="J21" s="15">
        <v>9019744640.8199997</v>
      </c>
      <c r="K21" s="10">
        <f t="shared" si="1"/>
        <v>4.7155517809796058E-2</v>
      </c>
      <c r="L21" s="16">
        <v>4.7199999999999999E-2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541184678.45000005</v>
      </c>
      <c r="R21" s="15">
        <v>514125444.52999997</v>
      </c>
      <c r="S21" s="15">
        <v>487066210.61000001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446994090.62</v>
      </c>
      <c r="J22" s="15">
        <v>9133174252.4799995</v>
      </c>
      <c r="K22" s="10">
        <f t="shared" si="1"/>
        <v>4.8941811276470973E-2</v>
      </c>
      <c r="L22" s="16">
        <v>4.8899999999999999E-2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547990455.14999998</v>
      </c>
      <c r="R22" s="15">
        <v>520590932.38999999</v>
      </c>
      <c r="S22" s="15">
        <v>493191409.63999999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445910295.23000002</v>
      </c>
      <c r="J23" s="15">
        <v>9693533943.3799992</v>
      </c>
      <c r="K23" s="10">
        <f t="shared" si="1"/>
        <v>4.6000797834367245E-2</v>
      </c>
      <c r="L23" s="16">
        <v>4.5999999999999999E-2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581612036.60000002</v>
      </c>
      <c r="R23" s="15">
        <v>552531434.76999998</v>
      </c>
      <c r="S23" s="15">
        <v>523450832.94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485906765.91000003</v>
      </c>
      <c r="J24" s="15">
        <v>10091046473.65</v>
      </c>
      <c r="K24" s="10">
        <f t="shared" si="1"/>
        <v>4.8152267178514369E-2</v>
      </c>
      <c r="L24" s="16">
        <v>4.82E-2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605462788.41999996</v>
      </c>
      <c r="R24" s="15">
        <v>575189649</v>
      </c>
      <c r="S24" s="15">
        <v>544916509.58000004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481890090.20999998</v>
      </c>
      <c r="J25" s="15">
        <v>10832918771.42</v>
      </c>
      <c r="K25" s="10">
        <f t="shared" si="1"/>
        <v>4.4483864448549987E-2</v>
      </c>
      <c r="L25" s="16">
        <v>4.4499999999999998E-2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649975126.28999996</v>
      </c>
      <c r="R25" s="15">
        <v>617476369.98000002</v>
      </c>
      <c r="S25" s="15">
        <v>584977613.65999997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56077155.789999999</v>
      </c>
      <c r="J26" s="15">
        <v>8361681876.1099997</v>
      </c>
      <c r="K26" s="10">
        <f t="shared" si="1"/>
        <v>6.7064445431985354E-3</v>
      </c>
      <c r="L26" s="16">
        <v>6.7000000000000002E-3</v>
      </c>
      <c r="M26" s="9" t="str">
        <f t="shared" si="2"/>
        <v>Sim</v>
      </c>
      <c r="N26" s="16">
        <v>1.1599999999999999E-2</v>
      </c>
      <c r="O26" s="16">
        <v>1.0999999999999999E-2</v>
      </c>
      <c r="P26" s="16">
        <v>1.04E-2</v>
      </c>
      <c r="Q26" s="15">
        <v>96995509.760000005</v>
      </c>
      <c r="R26" s="15">
        <v>92145734.269999996</v>
      </c>
      <c r="S26" s="15">
        <v>87295958.780000001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59564616.520000003</v>
      </c>
      <c r="J27" s="15">
        <v>8864337774.2700005</v>
      </c>
      <c r="K27" s="10">
        <f t="shared" si="1"/>
        <v>6.719578837901999E-3</v>
      </c>
      <c r="L27" s="16">
        <v>6.7000000000000002E-3</v>
      </c>
      <c r="M27" s="9" t="str">
        <f t="shared" si="2"/>
        <v>Sim</v>
      </c>
      <c r="N27" s="16">
        <v>1.1599999999999999E-2</v>
      </c>
      <c r="O27" s="16">
        <v>1.0999999999999999E-2</v>
      </c>
      <c r="P27" s="16">
        <v>1.04E-2</v>
      </c>
      <c r="Q27" s="15">
        <v>102826318.18000001</v>
      </c>
      <c r="R27" s="15">
        <v>97685002.269999996</v>
      </c>
      <c r="S27" s="15">
        <v>92543686.359999999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59863095.219999999</v>
      </c>
      <c r="J28" s="15">
        <v>8857393483</v>
      </c>
      <c r="K28" s="10">
        <f t="shared" si="1"/>
        <v>6.7585453141373103E-3</v>
      </c>
      <c r="L28" s="16">
        <v>6.7999999999999996E-3</v>
      </c>
      <c r="M28" s="9" t="str">
        <f t="shared" si="2"/>
        <v>Sim</v>
      </c>
      <c r="N28" s="16">
        <v>1.1599999999999999E-2</v>
      </c>
      <c r="O28" s="16">
        <v>1.0999999999999999E-2</v>
      </c>
      <c r="P28" s="16">
        <v>1.04E-2</v>
      </c>
      <c r="Q28" s="15">
        <v>103516305.59999999</v>
      </c>
      <c r="R28" s="15">
        <v>98340490.319999993</v>
      </c>
      <c r="S28" s="15">
        <v>93164675.040000007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62295043.43</v>
      </c>
      <c r="J29" s="15">
        <v>9019744640.8199997</v>
      </c>
      <c r="K29" s="10">
        <f t="shared" si="1"/>
        <v>6.9065196311740209E-3</v>
      </c>
      <c r="L29" s="16">
        <v>6.8999999999999999E-3</v>
      </c>
      <c r="M29" s="9" t="str">
        <f t="shared" si="2"/>
        <v>Sim</v>
      </c>
      <c r="N29" s="16">
        <v>1.1599999999999999E-2</v>
      </c>
      <c r="O29" s="16">
        <v>1.0999999999999999E-2</v>
      </c>
      <c r="P29" s="16">
        <v>1.04E-2</v>
      </c>
      <c r="Q29" s="15">
        <v>104629037.83</v>
      </c>
      <c r="R29" s="15">
        <v>99397585.939999998</v>
      </c>
      <c r="S29" s="15">
        <v>94166134.049999997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63769351.219999999</v>
      </c>
      <c r="J30" s="15">
        <v>9133174252.4799995</v>
      </c>
      <c r="K30" s="10">
        <f t="shared" si="1"/>
        <v>6.9821673666944683E-3</v>
      </c>
      <c r="L30" s="16">
        <v>6.9999999999999993E-3</v>
      </c>
      <c r="M30" s="9" t="str">
        <f t="shared" si="2"/>
        <v>Sim</v>
      </c>
      <c r="N30" s="16">
        <v>1.1599999999999999E-2</v>
      </c>
      <c r="O30" s="16">
        <v>1.0999999999999999E-2</v>
      </c>
      <c r="P30" s="16">
        <v>1.04E-2</v>
      </c>
      <c r="Q30" s="15">
        <v>105944821.33</v>
      </c>
      <c r="R30" s="15">
        <v>100647580.26000001</v>
      </c>
      <c r="S30" s="15">
        <v>95350339.200000003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64475012.18</v>
      </c>
      <c r="J31" s="15">
        <v>9693533943.3799992</v>
      </c>
      <c r="K31" s="10">
        <f t="shared" si="1"/>
        <v>6.6513422820406887E-3</v>
      </c>
      <c r="L31" s="16">
        <v>6.7000000000000002E-3</v>
      </c>
      <c r="M31" s="9" t="str">
        <f t="shared" si="2"/>
        <v>Sim</v>
      </c>
      <c r="N31" s="16">
        <v>1.1599999999999999E-2</v>
      </c>
      <c r="O31" s="16">
        <v>1.0999999999999999E-2</v>
      </c>
      <c r="P31" s="16">
        <v>1.04E-2</v>
      </c>
      <c r="Q31" s="15">
        <v>112444993.73999999</v>
      </c>
      <c r="R31" s="15">
        <v>106822744.05</v>
      </c>
      <c r="S31" s="15">
        <v>101200494.37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66226769.359999999</v>
      </c>
      <c r="J32" s="15">
        <v>10091046473.65</v>
      </c>
      <c r="K32" s="10">
        <f t="shared" si="1"/>
        <v>6.5629238288549205E-3</v>
      </c>
      <c r="L32" s="16">
        <v>6.6E-3</v>
      </c>
      <c r="M32" s="9" t="str">
        <f t="shared" si="2"/>
        <v>Sim</v>
      </c>
      <c r="N32" s="16">
        <v>1.1599999999999999E-2</v>
      </c>
      <c r="O32" s="16">
        <v>1.0999999999999999E-2</v>
      </c>
      <c r="P32" s="16">
        <v>1.04E-2</v>
      </c>
      <c r="Q32" s="15">
        <v>117056139.09</v>
      </c>
      <c r="R32" s="15">
        <v>111203332.14</v>
      </c>
      <c r="S32" s="15">
        <v>105350525.18000001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67443714.689999998</v>
      </c>
      <c r="J33" s="15">
        <v>10832918771.42</v>
      </c>
      <c r="K33" s="10">
        <f t="shared" si="1"/>
        <v>6.2258119084150892E-3</v>
      </c>
      <c r="L33" s="16">
        <v>6.1999999999999998E-3</v>
      </c>
      <c r="M33" s="9" t="str">
        <f t="shared" si="2"/>
        <v>Sim</v>
      </c>
      <c r="N33" s="16">
        <v>1.1599999999999999E-2</v>
      </c>
      <c r="O33" s="16">
        <v>1.0999999999999999E-2</v>
      </c>
      <c r="P33" s="16">
        <v>1.04E-2</v>
      </c>
      <c r="Q33" s="15">
        <v>125661857.75</v>
      </c>
      <c r="R33" s="15">
        <v>119378764.86</v>
      </c>
      <c r="S33" s="15">
        <v>113095671.98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48710216.659999996</v>
      </c>
      <c r="J34" s="15">
        <v>8361681876.1099997</v>
      </c>
      <c r="K34" s="10">
        <f t="shared" si="1"/>
        <v>5.8254089765324632E-3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51611080</v>
      </c>
      <c r="J35" s="15">
        <v>8864337774.2700005</v>
      </c>
      <c r="K35" s="10">
        <f t="shared" si="1"/>
        <v>5.8223277716028029E-3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55447593.009999998</v>
      </c>
      <c r="J36" s="15">
        <v>8857393483.2700005</v>
      </c>
      <c r="K36" s="10">
        <f t="shared" si="1"/>
        <v>6.2600349769636387E-3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55105242.329999998</v>
      </c>
      <c r="J37" s="15">
        <v>9015583981.9400005</v>
      </c>
      <c r="K37" s="10">
        <f t="shared" si="1"/>
        <v>6.1122210652561947E-3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56970820.789999999</v>
      </c>
      <c r="J38" s="15">
        <v>9129030974.2000008</v>
      </c>
      <c r="K38" s="10">
        <f t="shared" si="1"/>
        <v>6.2406208228461503E-3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60609930.520000003</v>
      </c>
      <c r="J39" s="15">
        <v>9693533943.3799992</v>
      </c>
      <c r="K39" s="10">
        <f t="shared" si="1"/>
        <v>6.2526144617662703E-3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61975009.039999999</v>
      </c>
      <c r="J40" s="15">
        <v>10091046473.65</v>
      </c>
      <c r="K40" s="10">
        <f t="shared" si="1"/>
        <v>6.1415839478918995E-3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63313758.299999997</v>
      </c>
      <c r="J41" s="15">
        <v>10832918771.42</v>
      </c>
      <c r="K41" s="10">
        <f t="shared" si="1"/>
        <v>5.8445705756640419E-3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129858153.33</v>
      </c>
      <c r="J42" s="15">
        <v>8361681786.1099997</v>
      </c>
      <c r="K42" s="10">
        <f t="shared" si="1"/>
        <v>1.5530147720487731E-2</v>
      </c>
      <c r="L42" s="16">
        <v>1.55E-2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167233635</v>
      </c>
      <c r="R42" s="15">
        <v>158871953.25</v>
      </c>
      <c r="S42" s="15">
        <v>150510271.5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133570741.27</v>
      </c>
      <c r="J43" s="15">
        <v>8864337774.2700005</v>
      </c>
      <c r="K43" s="10">
        <f t="shared" si="1"/>
        <v>1.5068327118322143E-2</v>
      </c>
      <c r="L43" s="16">
        <v>1.5100000000000001E-2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177286755</v>
      </c>
      <c r="R43" s="15">
        <v>168422417.25</v>
      </c>
      <c r="S43" s="15">
        <v>159558079.5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134145724.41</v>
      </c>
      <c r="J44" s="15">
        <v>8857393483.2700005</v>
      </c>
      <c r="K44" s="10">
        <f t="shared" si="1"/>
        <v>1.5145056461968951E-2</v>
      </c>
      <c r="L44" s="16">
        <v>1.5100000000000001E-2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177147869.66</v>
      </c>
      <c r="R44" s="15">
        <v>168290476.18000001</v>
      </c>
      <c r="S44" s="15">
        <v>159433082.69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137695971.91999999</v>
      </c>
      <c r="J45" s="15">
        <v>9019744640.8199997</v>
      </c>
      <c r="K45" s="10">
        <f t="shared" si="1"/>
        <v>1.5266061003195077E-2</v>
      </c>
      <c r="L45" s="16">
        <v>1.5299999999999999E-2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180394892.81999999</v>
      </c>
      <c r="R45" s="15">
        <v>171375148.18000001</v>
      </c>
      <c r="S45" s="15">
        <v>162355403.53999999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140176767.65000001</v>
      </c>
      <c r="J46" s="15">
        <v>9133174252.4799995</v>
      </c>
      <c r="K46" s="10">
        <f t="shared" si="1"/>
        <v>1.5348088602594739E-2</v>
      </c>
      <c r="L46" s="16">
        <v>1.5299999999999999E-2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182663485.05000001</v>
      </c>
      <c r="R46" s="15">
        <v>173530310.80000001</v>
      </c>
      <c r="S46" s="15">
        <v>164397136.55000001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142700881.96000001</v>
      </c>
      <c r="J47" s="15">
        <v>9693533943.3799992</v>
      </c>
      <c r="K47" s="10">
        <f t="shared" si="1"/>
        <v>1.4721244366968422E-2</v>
      </c>
      <c r="L47" s="16">
        <v>1.47E-2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193870678.87</v>
      </c>
      <c r="R47" s="15">
        <v>184177144.93000001</v>
      </c>
      <c r="S47" s="15">
        <v>174483610.97999999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141713072.81999999</v>
      </c>
      <c r="J48" s="15">
        <v>10091046473.65</v>
      </c>
      <c r="K48" s="10">
        <f t="shared" si="1"/>
        <v>1.4043446652440341E-2</v>
      </c>
      <c r="L48" s="16">
        <v>1.4E-2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201820929.47</v>
      </c>
      <c r="R48" s="15">
        <v>191729883</v>
      </c>
      <c r="S48" s="15">
        <v>181638836.52000001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155317913.19</v>
      </c>
      <c r="J49" s="15">
        <v>10832918771.42</v>
      </c>
      <c r="K49" s="10">
        <f t="shared" si="1"/>
        <v>1.4337586800684615E-2</v>
      </c>
      <c r="L49" s="16">
        <v>1.43E-2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216658375.43000001</v>
      </c>
      <c r="R49" s="15">
        <v>205825456.66</v>
      </c>
      <c r="S49" s="15">
        <v>194992537.88999999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2026-10-15T10:08:05Z</dcterms:created>
  <dcterms:modified xsi:type="dcterms:W3CDTF">2026-10-15T10:08:26Z</dcterms:modified>
</cp:coreProperties>
</file>