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21994c2887a2fd0/Documents/Claude/SICONVI/publicacao/rgf-despesa-pessoal/xlsx/"/>
    </mc:Choice>
  </mc:AlternateContent>
  <xr:revisionPtr revIDLastSave="0" documentId="11_291EC107FE1994EAB1E31A73A4C8551F77010276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Resumo" sheetId="1" r:id="rId1"/>
    <sheet name="Dados" sheetId="2" r:id="rId2"/>
    <sheet name="Notas" sheetId="3" r:id="rId3"/>
  </sheets>
  <definedNames>
    <definedName name="_xlnm._FilterDatabase" localSheetId="1" hidden="1">Dados!$A$1:$U$49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9" i="2" l="1"/>
  <c r="A49" i="2"/>
  <c r="K48" i="2"/>
  <c r="A48" i="2"/>
  <c r="K47" i="2"/>
  <c r="A47" i="2"/>
  <c r="K46" i="2"/>
  <c r="A46" i="2"/>
  <c r="K45" i="2"/>
  <c r="A45" i="2"/>
  <c r="K44" i="2"/>
  <c r="A44" i="2"/>
  <c r="K43" i="2"/>
  <c r="A43" i="2"/>
  <c r="K42" i="2"/>
  <c r="A42" i="2"/>
  <c r="M41" i="2"/>
  <c r="K41" i="2"/>
  <c r="T41" i="2" s="1"/>
  <c r="A41" i="2"/>
  <c r="M40" i="2"/>
  <c r="K40" i="2"/>
  <c r="T40" i="2" s="1"/>
  <c r="A40" i="2"/>
  <c r="M39" i="2"/>
  <c r="K39" i="2"/>
  <c r="T39" i="2" s="1"/>
  <c r="A39" i="2"/>
  <c r="M38" i="2"/>
  <c r="K38" i="2"/>
  <c r="T38" i="2" s="1"/>
  <c r="A38" i="2"/>
  <c r="M37" i="2"/>
  <c r="K37" i="2"/>
  <c r="T37" i="2" s="1"/>
  <c r="A37" i="2"/>
  <c r="M36" i="2"/>
  <c r="K36" i="2"/>
  <c r="T36" i="2" s="1"/>
  <c r="A36" i="2"/>
  <c r="M35" i="2"/>
  <c r="K35" i="2"/>
  <c r="T35" i="2" s="1"/>
  <c r="A35" i="2"/>
  <c r="M34" i="2"/>
  <c r="K34" i="2"/>
  <c r="T34" i="2" s="1"/>
  <c r="A34" i="2"/>
  <c r="K33" i="2"/>
  <c r="A33" i="2"/>
  <c r="K32" i="2"/>
  <c r="A32" i="2"/>
  <c r="K31" i="2"/>
  <c r="A31" i="2"/>
  <c r="K30" i="2"/>
  <c r="A30" i="2"/>
  <c r="K29" i="2"/>
  <c r="A29" i="2"/>
  <c r="K28" i="2"/>
  <c r="A28" i="2"/>
  <c r="K27" i="2"/>
  <c r="A27" i="2"/>
  <c r="K26" i="2"/>
  <c r="A26" i="2"/>
  <c r="K25" i="2"/>
  <c r="A25" i="2"/>
  <c r="K24" i="2"/>
  <c r="A24" i="2"/>
  <c r="K23" i="2"/>
  <c r="A23" i="2"/>
  <c r="K22" i="2"/>
  <c r="A22" i="2"/>
  <c r="K21" i="2"/>
  <c r="A21" i="2"/>
  <c r="K20" i="2"/>
  <c r="A20" i="2"/>
  <c r="K19" i="2"/>
  <c r="A19" i="2"/>
  <c r="K18" i="2"/>
  <c r="A18" i="2"/>
  <c r="M17" i="2"/>
  <c r="K17" i="2"/>
  <c r="T17" i="2" s="1"/>
  <c r="L7" i="1" s="1"/>
  <c r="A17" i="2"/>
  <c r="K16" i="2"/>
  <c r="A16" i="2"/>
  <c r="K15" i="2"/>
  <c r="A15" i="2"/>
  <c r="K14" i="2"/>
  <c r="A14" i="2"/>
  <c r="K13" i="2"/>
  <c r="A13" i="2"/>
  <c r="K12" i="2"/>
  <c r="A12" i="2"/>
  <c r="K11" i="2"/>
  <c r="A11" i="2"/>
  <c r="K10" i="2"/>
  <c r="A10" i="2"/>
  <c r="K9" i="2"/>
  <c r="A9" i="2"/>
  <c r="K8" i="2"/>
  <c r="A8" i="2"/>
  <c r="K7" i="2"/>
  <c r="A7" i="2"/>
  <c r="K6" i="2"/>
  <c r="A6" i="2"/>
  <c r="K5" i="2"/>
  <c r="A5" i="2"/>
  <c r="K4" i="2"/>
  <c r="A4" i="2"/>
  <c r="K3" i="2"/>
  <c r="A3" i="2"/>
  <c r="K2" i="2"/>
  <c r="A2" i="2"/>
  <c r="J21" i="1"/>
  <c r="I21" i="1"/>
  <c r="H21" i="1"/>
  <c r="G21" i="1"/>
  <c r="F21" i="1"/>
  <c r="E21" i="1"/>
  <c r="D21" i="1"/>
  <c r="C21" i="1"/>
  <c r="J20" i="1"/>
  <c r="I20" i="1"/>
  <c r="H20" i="1"/>
  <c r="G20" i="1"/>
  <c r="F20" i="1"/>
  <c r="E20" i="1"/>
  <c r="D20" i="1"/>
  <c r="C20" i="1"/>
  <c r="J19" i="1"/>
  <c r="I19" i="1"/>
  <c r="H19" i="1"/>
  <c r="G19" i="1"/>
  <c r="F19" i="1"/>
  <c r="E19" i="1"/>
  <c r="D19" i="1"/>
  <c r="C19" i="1"/>
  <c r="J18" i="1"/>
  <c r="I18" i="1"/>
  <c r="H18" i="1"/>
  <c r="G18" i="1"/>
  <c r="F18" i="1"/>
  <c r="E18" i="1"/>
  <c r="D18" i="1"/>
  <c r="C18" i="1"/>
  <c r="J17" i="1"/>
  <c r="I17" i="1"/>
  <c r="H17" i="1"/>
  <c r="G17" i="1"/>
  <c r="F17" i="1"/>
  <c r="E17" i="1"/>
  <c r="D17" i="1"/>
  <c r="E16" i="1"/>
  <c r="D16" i="1"/>
  <c r="C16" i="1"/>
  <c r="J12" i="1"/>
  <c r="I12" i="1"/>
  <c r="G12" i="1"/>
  <c r="F12" i="1"/>
  <c r="E12" i="1"/>
  <c r="D12" i="1"/>
  <c r="C12" i="1"/>
  <c r="K11" i="1"/>
  <c r="J11" i="1"/>
  <c r="I11" i="1"/>
  <c r="H11" i="1"/>
  <c r="G11" i="1"/>
  <c r="F11" i="1"/>
  <c r="E11" i="1"/>
  <c r="H10" i="1"/>
  <c r="G10" i="1"/>
  <c r="F10" i="1"/>
  <c r="E10" i="1"/>
  <c r="D10" i="1"/>
  <c r="K9" i="1"/>
  <c r="J9" i="1"/>
  <c r="I9" i="1"/>
  <c r="H9" i="1"/>
  <c r="G9" i="1"/>
  <c r="F9" i="1"/>
  <c r="E9" i="1"/>
  <c r="D9" i="1"/>
  <c r="C9" i="1"/>
  <c r="K8" i="1"/>
  <c r="J8" i="1"/>
  <c r="I8" i="1"/>
  <c r="H8" i="1"/>
  <c r="G8" i="1"/>
  <c r="F8" i="1"/>
  <c r="E8" i="1"/>
  <c r="D8" i="1"/>
  <c r="C8" i="1"/>
  <c r="K7" i="1"/>
  <c r="J7" i="1"/>
  <c r="I7" i="1"/>
  <c r="H7" i="1"/>
  <c r="G7" i="1"/>
  <c r="F7" i="1"/>
  <c r="E7" i="1"/>
  <c r="D7" i="1"/>
  <c r="C7" i="1"/>
  <c r="K6" i="1"/>
  <c r="J6" i="1"/>
  <c r="I6" i="1"/>
  <c r="H6" i="1"/>
  <c r="G6" i="1"/>
  <c r="F6" i="1"/>
  <c r="E6" i="1"/>
  <c r="D6" i="1"/>
  <c r="C6" i="1"/>
  <c r="M43" i="2" l="1"/>
  <c r="T43" i="2"/>
  <c r="M30" i="2"/>
  <c r="T30" i="2"/>
  <c r="T24" i="2"/>
  <c r="M24" i="2"/>
  <c r="H12" i="1"/>
  <c r="C10" i="1"/>
  <c r="T49" i="2"/>
  <c r="L11" i="1" s="1"/>
  <c r="M49" i="2"/>
  <c r="T48" i="2"/>
  <c r="M48" i="2"/>
  <c r="T47" i="2"/>
  <c r="M47" i="2"/>
  <c r="T46" i="2"/>
  <c r="M46" i="2"/>
  <c r="T45" i="2"/>
  <c r="M45" i="2"/>
  <c r="T44" i="2"/>
  <c r="M44" i="2"/>
  <c r="T42" i="2"/>
  <c r="M42" i="2"/>
  <c r="T33" i="2"/>
  <c r="L9" i="1" s="1"/>
  <c r="M33" i="2"/>
  <c r="T32" i="2"/>
  <c r="M32" i="2"/>
  <c r="T31" i="2"/>
  <c r="M31" i="2"/>
  <c r="T29" i="2"/>
  <c r="M29" i="2"/>
  <c r="T28" i="2"/>
  <c r="M28" i="2"/>
  <c r="M27" i="2"/>
  <c r="T27" i="2"/>
  <c r="T26" i="2"/>
  <c r="M26" i="2"/>
  <c r="M25" i="2"/>
  <c r="T25" i="2"/>
  <c r="L8" i="1" s="1"/>
  <c r="M23" i="2"/>
  <c r="T23" i="2"/>
  <c r="M22" i="2"/>
  <c r="T22" i="2"/>
  <c r="M21" i="2"/>
  <c r="T21" i="2"/>
  <c r="M20" i="2"/>
  <c r="T20" i="2"/>
  <c r="T19" i="2"/>
  <c r="M19" i="2"/>
  <c r="T18" i="2"/>
  <c r="M18" i="2"/>
  <c r="M16" i="2"/>
  <c r="T16" i="2"/>
  <c r="T15" i="2"/>
  <c r="M15" i="2"/>
  <c r="T14" i="2"/>
  <c r="M14" i="2"/>
  <c r="M13" i="2"/>
  <c r="T13" i="2"/>
  <c r="M12" i="2"/>
  <c r="T12" i="2"/>
  <c r="M11" i="2"/>
  <c r="T11" i="2"/>
  <c r="T10" i="2"/>
  <c r="M10" i="2"/>
  <c r="T9" i="2"/>
  <c r="L6" i="1" s="1"/>
  <c r="M9" i="2"/>
  <c r="T8" i="2"/>
  <c r="M8" i="2"/>
  <c r="T7" i="2"/>
  <c r="M7" i="2"/>
  <c r="T6" i="2"/>
  <c r="M6" i="2"/>
  <c r="M5" i="2"/>
  <c r="T5" i="2"/>
  <c r="T4" i="2"/>
  <c r="M4" i="2"/>
  <c r="T3" i="2"/>
  <c r="M3" i="2"/>
  <c r="T2" i="2"/>
  <c r="M2" i="2"/>
  <c r="C17" i="1"/>
  <c r="J16" i="1"/>
  <c r="I16" i="1"/>
  <c r="H16" i="1"/>
  <c r="G16" i="1"/>
  <c r="F16" i="1"/>
  <c r="D11" i="1"/>
  <c r="C11" i="1"/>
  <c r="L10" i="1"/>
  <c r="K10" i="1"/>
  <c r="J10" i="1"/>
  <c r="I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Planilha</author>
  </authors>
  <commentList>
    <comment ref="K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Fórmula: DTP / RCL Ajustada. Reproduz o % declarado no RGF, que vem arredondado em 2 casas.</t>
        </r>
      </text>
    </comment>
  </commentList>
</comments>
</file>

<file path=xl/sharedStrings.xml><?xml version="1.0" encoding="utf-8"?>
<sst xmlns="http://schemas.openxmlformats.org/spreadsheetml/2006/main" count="426" uniqueCount="83">
  <si>
    <t>Despesa total com pessoal - Amapá (AP)</t>
  </si>
  <si>
    <t>RGF, Anexo 1 (Siconfi/Tesouro Nacional). Percentual da Despesa Total com Pessoal (DTP) sobre a Receita Corrente Líquida Ajustada, últimos 12 meses de cada quadrimestre.</t>
  </si>
  <si>
    <t>% da DTP sobre a RCL Ajustada</t>
  </si>
  <si>
    <t>Órgão</t>
  </si>
  <si>
    <t>Poder / órgão</t>
  </si>
  <si>
    <t>1º quad. 2024</t>
  </si>
  <si>
    <t>2º quad. 2024</t>
  </si>
  <si>
    <t>3º quad. 2024</t>
  </si>
  <si>
    <t>1º quad. 2025</t>
  </si>
  <si>
    <t>2º quad. 2025</t>
  </si>
  <si>
    <t>3º quad. 2025</t>
  </si>
  <si>
    <t>1º quad. 2026</t>
  </si>
  <si>
    <t>2º quad. 2026</t>
  </si>
  <si>
    <t>Limite máximo (2º quad. 2026)</t>
  </si>
  <si>
    <t>Situação (2º quad. 2026)</t>
  </si>
  <si>
    <t>Governo</t>
  </si>
  <si>
    <t>Poder Executivo</t>
  </si>
  <si>
    <t>Assembleia Legislativa</t>
  </si>
  <si>
    <t>Poder Legislativo</t>
  </si>
  <si>
    <t>Tribunal de Justiça</t>
  </si>
  <si>
    <t>Poder Judiciário</t>
  </si>
  <si>
    <t>Tribunal de Contas</t>
  </si>
  <si>
    <t>Defensoria Pública</t>
  </si>
  <si>
    <t>Ministério Público</t>
  </si>
  <si>
    <t>RCL Ajustada (R$ milhões)</t>
  </si>
  <si>
    <t>base comum</t>
  </si>
  <si>
    <t>Despesa total com pessoal (R$ milhões)</t>
  </si>
  <si>
    <t>Órgãos sem % declarado no RGF (ex.: Defensoria Pública, sem limite próprio na LRF) têm o % calculado como despesa líquida com pessoal / RCL Ajustada do Executivo. Ver aba Notas.</t>
  </si>
  <si>
    <t>Chave</t>
  </si>
  <si>
    <t>Instituição</t>
  </si>
  <si>
    <t>Exercício</t>
  </si>
  <si>
    <t>Quadrimestre</t>
  </si>
  <si>
    <t>Período</t>
  </si>
  <si>
    <t>Meses de referência</t>
  </si>
  <si>
    <t>Despesa total com pessoal - DTP (R$)</t>
  </si>
  <si>
    <t>RCL Ajustada (R$)</t>
  </si>
  <si>
    <t>% DTP / RCL Ajustada</t>
  </si>
  <si>
    <t>% declarado no RGF</t>
  </si>
  <si>
    <t>Confere com o declarado?</t>
  </si>
  <si>
    <t>Limite máximo (%)</t>
  </si>
  <si>
    <t>Limite prudencial (%)</t>
  </si>
  <si>
    <t>Limite de alerta (%)</t>
  </si>
  <si>
    <t>Limite máximo (R$)</t>
  </si>
  <si>
    <t>Limite prudencial (R$)</t>
  </si>
  <si>
    <t>Limite de alerta (R$)</t>
  </si>
  <si>
    <t>Situação</t>
  </si>
  <si>
    <t>Origem do %</t>
  </si>
  <si>
    <t>Governo do Estado do Amapá</t>
  </si>
  <si>
    <t>2024</t>
  </si>
  <si>
    <t>mai/2023 a abr/2024</t>
  </si>
  <si>
    <t>Declarado no RGF</t>
  </si>
  <si>
    <t>set/2023 a ago/2024</t>
  </si>
  <si>
    <t>jan/2024 a dez/2024</t>
  </si>
  <si>
    <t>2025</t>
  </si>
  <si>
    <t>mai/2024 a abr/2025</t>
  </si>
  <si>
    <t>set/2024 a ago/2025</t>
  </si>
  <si>
    <t>jan/2025 a dez/2025</t>
  </si>
  <si>
    <t>2026</t>
  </si>
  <si>
    <t>mai/2025 a abr/2026</t>
  </si>
  <si>
    <t>set/2025 a ago/2026</t>
  </si>
  <si>
    <t>Assembleia Legislativa do Estado do Amapá</t>
  </si>
  <si>
    <t>Tribunal de Justiça do Estado do Amapá</t>
  </si>
  <si>
    <t>Tribunal de Contas do Estado do Amapá</t>
  </si>
  <si>
    <t>Defensoria Pública do Estado do Amapá</t>
  </si>
  <si>
    <t>Calculado (despesa líquida / RCL Ajustada do Executivo)</t>
  </si>
  <si>
    <t>Ministério Público do Estado do Amapá</t>
  </si>
  <si>
    <t>Notas metodológicas</t>
  </si>
  <si>
    <t>Fonte</t>
  </si>
  <si>
    <t>API de dados abertos do Siconfi (Tesouro Nacional), endpoint /rgf, https://apidatalake.tesouro.gov.br/docs/siconfi/ . Extração em 15/10/2026.</t>
  </si>
  <si>
    <t>Relatório</t>
  </si>
  <si>
    <t>RGF - Anexo 01 (Demonstrativo da Despesa com Pessoal), quadrimestral. Ente: Amapá (AP).</t>
  </si>
  <si>
    <t>Períodos</t>
  </si>
  <si>
    <t>1º a 3º quadrimestres de 2024 e 2025; 1º e 2º de 2026 (o 3º de 2026 ainda não foi publicado). Cada quadrimestre considera os 12 meses encerrados em abril, agosto ou dezembro.</t>
  </si>
  <si>
    <t>Indicador</t>
  </si>
  <si>
    <t>DTP = Despesa Total com Pessoal. % = DTP / Receita Corrente Líquida Ajustada para cálculo dos limites da despesa com pessoal.</t>
  </si>
  <si>
    <t>Tribunais de Contas</t>
  </si>
  <si>
    <t>Não têm código de poder próprio na API: vêm dentro do Poder Legislativo (co_poder = L), identificados pelo nome da instituição.</t>
  </si>
  <si>
    <t>Órgãos sem % declarado</t>
  </si>
  <si>
    <t>A LRF (art. 20) não fixa limite próprio para a Defensoria Pública, e o RGF dela não traz a DTP nem o %. Usou-se a despesa líquida com pessoal dos últimos 12 meses dividida pela RCL Ajustada declarada pelo Executivo no mesmo período; a mesma fórmula reproduz o % declarado pelos demais órgãos.</t>
  </si>
  <si>
    <t>Limites</t>
  </si>
  <si>
    <t>Máximo, prudencial (95% do máximo) e de alerta (90% do máximo), como declarados no RGF de cada órgão. A situação compara a DTP com os limites em R$ quando declarados, porque os % vêm arredondados em 2 casas e podem esconder uma ultrapassagem pequena.</t>
  </si>
  <si>
    <t>Convenções</t>
  </si>
  <si>
    <t>Números em azul: valores da API. Em preto: fórmulas. Percentuais armazenados como fração.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</si>
</sst>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\(&quot;R$&quot;\ #,##0.00\);\-"/>
    <numFmt numFmtId="165" formatCode="0.00%;\(0.00%\);\-"/>
    <numFmt numFmtId="166" formatCode="#,##0.0;\(#,##0.0\);\-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FF"/>
      <name val="Arial"/>
    </font>
    <font>
      <sz val="10"/>
      <name val="Arial"/>
    </font>
    <font>
      <b/>
      <sz val="14"/>
      <name val="Arial"/>
    </font>
    <font>
      <i/>
      <sz val="10"/>
      <color rgb="FF555555"/>
      <name val="Arial"/>
    </font>
    <font>
      <b/>
      <sz val="10"/>
      <name val="Arial"/>
    </font>
    <font>
      <i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E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D2E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horizontal="center" vertical="center" wrapText="1"/>
    </xf>
    <xf numFmtId="0" fontId="6" fillId="3" borderId="1" xfId="0" applyFont="1" applyFill="1" applyBorder="1"/>
    <xf numFmtId="0" fontId="3" fillId="3" borderId="1" xfId="0" applyFont="1" applyFill="1" applyBorder="1"/>
    <xf numFmtId="165" fontId="3" fillId="3" borderId="1" xfId="0" applyNumberFormat="1" applyFont="1" applyFill="1" applyBorder="1"/>
    <xf numFmtId="0" fontId="6" fillId="0" borderId="1" xfId="0" applyFont="1" applyBorder="1"/>
    <xf numFmtId="0" fontId="3" fillId="0" borderId="1" xfId="0" applyFont="1" applyBorder="1"/>
    <xf numFmtId="165" fontId="3" fillId="0" borderId="1" xfId="0" applyNumberFormat="1" applyFont="1" applyBorder="1"/>
    <xf numFmtId="0" fontId="7" fillId="0" borderId="0" xfId="0" applyFont="1"/>
    <xf numFmtId="166" fontId="7" fillId="0" borderId="0" xfId="0" applyNumberFormat="1" applyFont="1"/>
    <xf numFmtId="166" fontId="3" fillId="3" borderId="1" xfId="0" applyNumberFormat="1" applyFont="1" applyFill="1" applyBorder="1"/>
    <xf numFmtId="166" fontId="3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4" fontId="3" fillId="0" borderId="1" xfId="0" applyNumberFormat="1" applyFont="1" applyBorder="1"/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2" width="20" customWidth="1"/>
    <col min="3" max="10" width="12" customWidth="1"/>
    <col min="11" max="11" width="15" customWidth="1"/>
    <col min="12" max="12" width="26" customWidth="1"/>
  </cols>
  <sheetData>
    <row r="1" spans="1:12" ht="18" x14ac:dyDescent="0.25">
      <c r="A1" s="1" t="s">
        <v>0</v>
      </c>
    </row>
    <row r="2" spans="1:12" x14ac:dyDescent="0.25">
      <c r="A2" s="2" t="s">
        <v>1</v>
      </c>
    </row>
    <row r="4" spans="1:12" x14ac:dyDescent="0.25">
      <c r="A4" s="3" t="s">
        <v>2</v>
      </c>
    </row>
    <row r="5" spans="1:12" ht="44.1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 x14ac:dyDescent="0.25">
      <c r="A6" s="5" t="s">
        <v>15</v>
      </c>
      <c r="B6" s="6" t="s">
        <v>16</v>
      </c>
      <c r="C6" s="7">
        <f>IFERROR(IF(INDEX(Dados!$K$2:$K$49,MATCH($A6&amp;"|"&amp;C$5,Dados!$A$2:$A$49,0))="","",INDEX(Dados!$K$2:$K$49,MATCH($A6&amp;"|"&amp;C$5,Dados!$A$2:$A$49,0))),"")</f>
        <v>0.41155807928930216</v>
      </c>
      <c r="D6" s="7">
        <f>IFERROR(IF(INDEX(Dados!$K$2:$K$49,MATCH($A6&amp;"|"&amp;D$5,Dados!$A$2:$A$49,0))="","",INDEX(Dados!$K$2:$K$49,MATCH($A6&amp;"|"&amp;D$5,Dados!$A$2:$A$49,0))),"")</f>
        <v>0.39903591053662169</v>
      </c>
      <c r="E6" s="7">
        <f>IFERROR(IF(INDEX(Dados!$K$2:$K$49,MATCH($A6&amp;"|"&amp;E$5,Dados!$A$2:$A$49,0))="","",INDEX(Dados!$K$2:$K$49,MATCH($A6&amp;"|"&amp;E$5,Dados!$A$2:$A$49,0))),"")</f>
        <v>0.43510591118022718</v>
      </c>
      <c r="F6" s="7">
        <f>IFERROR(IF(INDEX(Dados!$K$2:$K$49,MATCH($A6&amp;"|"&amp;F$5,Dados!$A$2:$A$49,0))="","",INDEX(Dados!$K$2:$K$49,MATCH($A6&amp;"|"&amp;F$5,Dados!$A$2:$A$49,0))),"")</f>
        <v>0.41387737375910699</v>
      </c>
      <c r="G6" s="7">
        <f>IFERROR(IF(INDEX(Dados!$K$2:$K$49,MATCH($A6&amp;"|"&amp;G$5,Dados!$A$2:$A$49,0))="","",INDEX(Dados!$K$2:$K$49,MATCH($A6&amp;"|"&amp;G$5,Dados!$A$2:$A$49,0))),"")</f>
        <v>0.42073666829644962</v>
      </c>
      <c r="H6" s="7">
        <f>IFERROR(IF(INDEX(Dados!$K$2:$K$49,MATCH($A6&amp;"|"&amp;H$5,Dados!$A$2:$A$49,0))="","",INDEX(Dados!$K$2:$K$49,MATCH($A6&amp;"|"&amp;H$5,Dados!$A$2:$A$49,0))),"")</f>
        <v>0.38458590866605047</v>
      </c>
      <c r="I6" s="7">
        <f>IFERROR(IF(INDEX(Dados!$K$2:$K$49,MATCH($A6&amp;"|"&amp;I$5,Dados!$A$2:$A$49,0))="","",INDEX(Dados!$K$2:$K$49,MATCH($A6&amp;"|"&amp;I$5,Dados!$A$2:$A$49,0))),"")</f>
        <v>0.40957280377929522</v>
      </c>
      <c r="J6" s="7">
        <f>IFERROR(IF(INDEX(Dados!$K$2:$K$49,MATCH($A6&amp;"|"&amp;J$5,Dados!$A$2:$A$49,0))="","",INDEX(Dados!$K$2:$K$49,MATCH($A6&amp;"|"&amp;J$5,Dados!$A$2:$A$49,0))),"")</f>
        <v>0.41827115186113917</v>
      </c>
      <c r="K6" s="7">
        <f>IFERROR(IF(INDEX(Dados!$N$2:$N$49,MATCH($A6&amp;"|"&amp;J$5,Dados!$A$2:$A$49,0))=0,"—",INDEX(Dados!$N$2:$N$49,MATCH($A6&amp;"|"&amp;J$5,Dados!$A$2:$A$49,0))),"—")</f>
        <v>4.8999999999999998E-3</v>
      </c>
      <c r="L6" s="6" t="str">
        <f>IFERROR(IF(INDEX(Dados!$T$2:$T$49,MATCH($A6&amp;"|"&amp;J$5,Dados!$A$2:$A$49,0))="","—",INDEX(Dados!$T$2:$T$49,MATCH($A6&amp;"|"&amp;J$5,Dados!$A$2:$A$49,0))),"—")</f>
        <v>Abaixo do limite de alerta</v>
      </c>
    </row>
    <row r="7" spans="1:12" x14ac:dyDescent="0.25">
      <c r="A7" s="8" t="s">
        <v>17</v>
      </c>
      <c r="B7" s="9" t="s">
        <v>18</v>
      </c>
      <c r="C7" s="10">
        <f>IFERROR(IF(INDEX(Dados!$K$2:$K$49,MATCH($A7&amp;"|"&amp;C$5,Dados!$A$2:$A$49,0))="","",INDEX(Dados!$K$2:$K$49,MATCH($A7&amp;"|"&amp;C$5,Dados!$A$2:$A$49,0))),"")</f>
        <v>1.7437444988977702E-2</v>
      </c>
      <c r="D7" s="10">
        <f>IFERROR(IF(INDEX(Dados!$K$2:$K$49,MATCH($A7&amp;"|"&amp;D$5,Dados!$A$2:$A$49,0))="","",INDEX(Dados!$K$2:$K$49,MATCH($A7&amp;"|"&amp;D$5,Dados!$A$2:$A$49,0))),"")</f>
        <v>1.6516908265271663E-2</v>
      </c>
      <c r="E7" s="10">
        <f>IFERROR(IF(INDEX(Dados!$K$2:$K$49,MATCH($A7&amp;"|"&amp;E$5,Dados!$A$2:$A$49,0))="","",INDEX(Dados!$K$2:$K$49,MATCH($A7&amp;"|"&amp;E$5,Dados!$A$2:$A$49,0))),"")</f>
        <v>1.6526777807319162E-2</v>
      </c>
      <c r="F7" s="10">
        <f>IFERROR(IF(INDEX(Dados!$K$2:$K$49,MATCH($A7&amp;"|"&amp;F$5,Dados!$A$2:$A$49,0))="","",INDEX(Dados!$K$2:$K$49,MATCH($A7&amp;"|"&amp;F$5,Dados!$A$2:$A$49,0))),"")</f>
        <v>1.6406097817925253E-2</v>
      </c>
      <c r="G7" s="10">
        <f>IFERROR(IF(INDEX(Dados!$K$2:$K$49,MATCH($A7&amp;"|"&amp;G$5,Dados!$A$2:$A$49,0))="","",INDEX(Dados!$K$2:$K$49,MATCH($A7&amp;"|"&amp;G$5,Dados!$A$2:$A$49,0))),"")</f>
        <v>1.6058764156553672E-2</v>
      </c>
      <c r="H7" s="10">
        <f>IFERROR(IF(INDEX(Dados!$K$2:$K$49,MATCH($A7&amp;"|"&amp;H$5,Dados!$A$2:$A$49,0))="","",INDEX(Dados!$K$2:$K$49,MATCH($A7&amp;"|"&amp;H$5,Dados!$A$2:$A$49,0))),"")</f>
        <v>1.5844806478951121E-2</v>
      </c>
      <c r="I7" s="10">
        <f>IFERROR(IF(INDEX(Dados!$K$2:$K$49,MATCH($A7&amp;"|"&amp;I$5,Dados!$A$2:$A$49,0))="","",INDEX(Dados!$K$2:$K$49,MATCH($A7&amp;"|"&amp;I$5,Dados!$A$2:$A$49,0))),"")</f>
        <v>1.5306017983547426E-2</v>
      </c>
      <c r="J7" s="10" t="str">
        <f>IFERROR(IF(INDEX(Dados!$K$2:$K$49,MATCH($A7&amp;"|"&amp;J$5,Dados!$A$2:$A$49,0))="","",INDEX(Dados!$K$2:$K$49,MATCH($A7&amp;"|"&amp;J$5,Dados!$A$2:$A$49,0))),"")</f>
        <v/>
      </c>
      <c r="K7" s="10" t="str">
        <f>IFERROR(IF(INDEX(Dados!$N$2:$N$49,MATCH($A7&amp;"|"&amp;J$5,Dados!$A$2:$A$49,0))=0,"—",INDEX(Dados!$N$2:$N$49,MATCH($A7&amp;"|"&amp;J$5,Dados!$A$2:$A$49,0))),"—")</f>
        <v>—</v>
      </c>
      <c r="L7" s="9" t="str">
        <f>IFERROR(IF(INDEX(Dados!$T$2:$T$49,MATCH($A7&amp;"|"&amp;J$5,Dados!$A$2:$A$49,0))="","—",INDEX(Dados!$T$2:$T$49,MATCH($A7&amp;"|"&amp;J$5,Dados!$A$2:$A$49,0))),"—")</f>
        <v>Sem dado</v>
      </c>
    </row>
    <row r="8" spans="1:12" x14ac:dyDescent="0.25">
      <c r="A8" s="8" t="s">
        <v>19</v>
      </c>
      <c r="B8" s="9" t="s">
        <v>20</v>
      </c>
      <c r="C8" s="10">
        <f>IFERROR(IF(INDEX(Dados!$K$2:$K$49,MATCH($A8&amp;"|"&amp;C$5,Dados!$A$2:$A$49,0))="","",INDEX(Dados!$K$2:$K$49,MATCH($A8&amp;"|"&amp;C$5,Dados!$A$2:$A$49,0))),"")</f>
        <v>4.5472030126657514E-2</v>
      </c>
      <c r="D8" s="10">
        <f>IFERROR(IF(INDEX(Dados!$K$2:$K$49,MATCH($A8&amp;"|"&amp;D$5,Dados!$A$2:$A$49,0))="","",INDEX(Dados!$K$2:$K$49,MATCH($A8&amp;"|"&amp;D$5,Dados!$A$2:$A$49,0))),"")</f>
        <v>4.4527067403239237E-2</v>
      </c>
      <c r="E8" s="10">
        <f>IFERROR(IF(INDEX(Dados!$K$2:$K$49,MATCH($A8&amp;"|"&amp;E$5,Dados!$A$2:$A$49,0))="","",INDEX(Dados!$K$2:$K$49,MATCH($A8&amp;"|"&amp;E$5,Dados!$A$2:$A$49,0))),"")</f>
        <v>4.6239729038073177E-2</v>
      </c>
      <c r="F8" s="10">
        <f>IFERROR(IF(INDEX(Dados!$K$2:$K$49,MATCH($A8&amp;"|"&amp;F$5,Dados!$A$2:$A$49,0))="","",INDEX(Dados!$K$2:$K$49,MATCH($A8&amp;"|"&amp;F$5,Dados!$A$2:$A$49,0))),"")</f>
        <v>4.7155517809796058E-2</v>
      </c>
      <c r="G8" s="10">
        <f>IFERROR(IF(INDEX(Dados!$K$2:$K$49,MATCH($A8&amp;"|"&amp;G$5,Dados!$A$2:$A$49,0))="","",INDEX(Dados!$K$2:$K$49,MATCH($A8&amp;"|"&amp;G$5,Dados!$A$2:$A$49,0))),"")</f>
        <v>4.8941811276470973E-2</v>
      </c>
      <c r="H8" s="10">
        <f>IFERROR(IF(INDEX(Dados!$K$2:$K$49,MATCH($A8&amp;"|"&amp;H$5,Dados!$A$2:$A$49,0))="","",INDEX(Dados!$K$2:$K$49,MATCH($A8&amp;"|"&amp;H$5,Dados!$A$2:$A$49,0))),"")</f>
        <v>4.6000797834367245E-2</v>
      </c>
      <c r="I8" s="10">
        <f>IFERROR(IF(INDEX(Dados!$K$2:$K$49,MATCH($A8&amp;"|"&amp;I$5,Dados!$A$2:$A$49,0))="","",INDEX(Dados!$K$2:$K$49,MATCH($A8&amp;"|"&amp;I$5,Dados!$A$2:$A$49,0))),"")</f>
        <v>4.8152267178514369E-2</v>
      </c>
      <c r="J8" s="10">
        <f>IFERROR(IF(INDEX(Dados!$K$2:$K$49,MATCH($A8&amp;"|"&amp;J$5,Dados!$A$2:$A$49,0))="","",INDEX(Dados!$K$2:$K$49,MATCH($A8&amp;"|"&amp;J$5,Dados!$A$2:$A$49,0))),"")</f>
        <v>4.4483864448549987E-2</v>
      </c>
      <c r="K8" s="10">
        <f>IFERROR(IF(INDEX(Dados!$N$2:$N$49,MATCH($A8&amp;"|"&amp;J$5,Dados!$A$2:$A$49,0))=0,"—",INDEX(Dados!$N$2:$N$49,MATCH($A8&amp;"|"&amp;J$5,Dados!$A$2:$A$49,0))),"—")</f>
        <v>0.06</v>
      </c>
      <c r="L8" s="9" t="str">
        <f>IFERROR(IF(INDEX(Dados!$T$2:$T$49,MATCH($A8&amp;"|"&amp;J$5,Dados!$A$2:$A$49,0))="","—",INDEX(Dados!$T$2:$T$49,MATCH($A8&amp;"|"&amp;J$5,Dados!$A$2:$A$49,0))),"—")</f>
        <v>Abaixo do limite de alerta</v>
      </c>
    </row>
    <row r="9" spans="1:12" x14ac:dyDescent="0.25">
      <c r="A9" s="8" t="s">
        <v>21</v>
      </c>
      <c r="B9" s="9" t="s">
        <v>21</v>
      </c>
      <c r="C9" s="10">
        <f>IFERROR(IF(INDEX(Dados!$K$2:$K$49,MATCH($A9&amp;"|"&amp;C$5,Dados!$A$2:$A$49,0))="","",INDEX(Dados!$K$2:$K$49,MATCH($A9&amp;"|"&amp;C$5,Dados!$A$2:$A$49,0))),"")</f>
        <v>6.7064445431985354E-3</v>
      </c>
      <c r="D9" s="10">
        <f>IFERROR(IF(INDEX(Dados!$K$2:$K$49,MATCH($A9&amp;"|"&amp;D$5,Dados!$A$2:$A$49,0))="","",INDEX(Dados!$K$2:$K$49,MATCH($A9&amp;"|"&amp;D$5,Dados!$A$2:$A$49,0))),"")</f>
        <v>6.719578837901999E-3</v>
      </c>
      <c r="E9" s="10">
        <f>IFERROR(IF(INDEX(Dados!$K$2:$K$49,MATCH($A9&amp;"|"&amp;E$5,Dados!$A$2:$A$49,0))="","",INDEX(Dados!$K$2:$K$49,MATCH($A9&amp;"|"&amp;E$5,Dados!$A$2:$A$49,0))),"")</f>
        <v>6.7585453141373103E-3</v>
      </c>
      <c r="F9" s="10">
        <f>IFERROR(IF(INDEX(Dados!$K$2:$K$49,MATCH($A9&amp;"|"&amp;F$5,Dados!$A$2:$A$49,0))="","",INDEX(Dados!$K$2:$K$49,MATCH($A9&amp;"|"&amp;F$5,Dados!$A$2:$A$49,0))),"")</f>
        <v>6.9065196311740209E-3</v>
      </c>
      <c r="G9" s="10">
        <f>IFERROR(IF(INDEX(Dados!$K$2:$K$49,MATCH($A9&amp;"|"&amp;G$5,Dados!$A$2:$A$49,0))="","",INDEX(Dados!$K$2:$K$49,MATCH($A9&amp;"|"&amp;G$5,Dados!$A$2:$A$49,0))),"")</f>
        <v>6.9821673666944683E-3</v>
      </c>
      <c r="H9" s="10">
        <f>IFERROR(IF(INDEX(Dados!$K$2:$K$49,MATCH($A9&amp;"|"&amp;H$5,Dados!$A$2:$A$49,0))="","",INDEX(Dados!$K$2:$K$49,MATCH($A9&amp;"|"&amp;H$5,Dados!$A$2:$A$49,0))),"")</f>
        <v>6.6513422820406887E-3</v>
      </c>
      <c r="I9" s="10">
        <f>IFERROR(IF(INDEX(Dados!$K$2:$K$49,MATCH($A9&amp;"|"&amp;I$5,Dados!$A$2:$A$49,0))="","",INDEX(Dados!$K$2:$K$49,MATCH($A9&amp;"|"&amp;I$5,Dados!$A$2:$A$49,0))),"")</f>
        <v>6.5629238288549205E-3</v>
      </c>
      <c r="J9" s="10">
        <f>IFERROR(IF(INDEX(Dados!$K$2:$K$49,MATCH($A9&amp;"|"&amp;J$5,Dados!$A$2:$A$49,0))="","",INDEX(Dados!$K$2:$K$49,MATCH($A9&amp;"|"&amp;J$5,Dados!$A$2:$A$49,0))),"")</f>
        <v>6.2258119084150892E-3</v>
      </c>
      <c r="K9" s="10">
        <f>IFERROR(IF(INDEX(Dados!$N$2:$N$49,MATCH($A9&amp;"|"&amp;J$5,Dados!$A$2:$A$49,0))=0,"—",INDEX(Dados!$N$2:$N$49,MATCH($A9&amp;"|"&amp;J$5,Dados!$A$2:$A$49,0))),"—")</f>
        <v>1.1599999999999999E-2</v>
      </c>
      <c r="L9" s="9" t="str">
        <f>IFERROR(IF(INDEX(Dados!$T$2:$T$49,MATCH($A9&amp;"|"&amp;J$5,Dados!$A$2:$A$49,0))="","—",INDEX(Dados!$T$2:$T$49,MATCH($A9&amp;"|"&amp;J$5,Dados!$A$2:$A$49,0))),"—")</f>
        <v>Abaixo do limite de alerta</v>
      </c>
    </row>
    <row r="10" spans="1:12" x14ac:dyDescent="0.25">
      <c r="A10" s="8" t="s">
        <v>22</v>
      </c>
      <c r="B10" s="9" t="s">
        <v>22</v>
      </c>
      <c r="C10" s="10">
        <f>IFERROR(IF(INDEX(Dados!$K$2:$K$49,MATCH($A10&amp;"|"&amp;C$5,Dados!$A$2:$A$49,0))="","",INDEX(Dados!$K$2:$K$49,MATCH($A10&amp;"|"&amp;C$5,Dados!$A$2:$A$49,0))),"")</f>
        <v>5.8254089765324632E-3</v>
      </c>
      <c r="D10" s="10">
        <f>IFERROR(IF(INDEX(Dados!$K$2:$K$49,MATCH($A10&amp;"|"&amp;D$5,Dados!$A$2:$A$49,0))="","",INDEX(Dados!$K$2:$K$49,MATCH($A10&amp;"|"&amp;D$5,Dados!$A$2:$A$49,0))),"")</f>
        <v>5.8223277716028029E-3</v>
      </c>
      <c r="E10" s="10">
        <f>IFERROR(IF(INDEX(Dados!$K$2:$K$49,MATCH($A10&amp;"|"&amp;E$5,Dados!$A$2:$A$49,0))="","",INDEX(Dados!$K$2:$K$49,MATCH($A10&amp;"|"&amp;E$5,Dados!$A$2:$A$49,0))),"")</f>
        <v>6.2600349769636387E-3</v>
      </c>
      <c r="F10" s="10">
        <f>IFERROR(IF(INDEX(Dados!$K$2:$K$49,MATCH($A10&amp;"|"&amp;F$5,Dados!$A$2:$A$49,0))="","",INDEX(Dados!$K$2:$K$49,MATCH($A10&amp;"|"&amp;F$5,Dados!$A$2:$A$49,0))),"")</f>
        <v>6.1122210652561947E-3</v>
      </c>
      <c r="G10" s="10">
        <f>IFERROR(IF(INDEX(Dados!$K$2:$K$49,MATCH($A10&amp;"|"&amp;G$5,Dados!$A$2:$A$49,0))="","",INDEX(Dados!$K$2:$K$49,MATCH($A10&amp;"|"&amp;G$5,Dados!$A$2:$A$49,0))),"")</f>
        <v>6.2406208228461503E-3</v>
      </c>
      <c r="H10" s="10">
        <f>IFERROR(IF(INDEX(Dados!$K$2:$K$49,MATCH($A10&amp;"|"&amp;H$5,Dados!$A$2:$A$49,0))="","",INDEX(Dados!$K$2:$K$49,MATCH($A10&amp;"|"&amp;H$5,Dados!$A$2:$A$49,0))),"")</f>
        <v>6.2526144617662703E-3</v>
      </c>
      <c r="I10" s="10">
        <f>IFERROR(IF(INDEX(Dados!$K$2:$K$49,MATCH($A10&amp;"|"&amp;I$5,Dados!$A$2:$A$49,0))="","",INDEX(Dados!$K$2:$K$49,MATCH($A10&amp;"|"&amp;I$5,Dados!$A$2:$A$49,0))),"")</f>
        <v>6.1415839478918995E-3</v>
      </c>
      <c r="J10" s="10">
        <f>IFERROR(IF(INDEX(Dados!$K$2:$K$49,MATCH($A10&amp;"|"&amp;J$5,Dados!$A$2:$A$49,0))="","",INDEX(Dados!$K$2:$K$49,MATCH($A10&amp;"|"&amp;J$5,Dados!$A$2:$A$49,0))),"")</f>
        <v>5.8445705756640419E-3</v>
      </c>
      <c r="K10" s="10" t="str">
        <f>IFERROR(IF(INDEX(Dados!$N$2:$N$49,MATCH($A10&amp;"|"&amp;J$5,Dados!$A$2:$A$49,0))=0,"—",INDEX(Dados!$N$2:$N$49,MATCH($A10&amp;"|"&amp;J$5,Dados!$A$2:$A$49,0))),"—")</f>
        <v>—</v>
      </c>
      <c r="L10" s="9" t="str">
        <f>IFERROR(IF(INDEX(Dados!$T$2:$T$49,MATCH($A10&amp;"|"&amp;J$5,Dados!$A$2:$A$49,0))="","—",INDEX(Dados!$T$2:$T$49,MATCH($A10&amp;"|"&amp;J$5,Dados!$A$2:$A$49,0))),"—")</f>
        <v>Sem limite próprio na LRF</v>
      </c>
    </row>
    <row r="11" spans="1:12" x14ac:dyDescent="0.25">
      <c r="A11" s="8" t="s">
        <v>23</v>
      </c>
      <c r="B11" s="9" t="s">
        <v>23</v>
      </c>
      <c r="C11" s="10">
        <f>IFERROR(IF(INDEX(Dados!$K$2:$K$49,MATCH($A11&amp;"|"&amp;C$5,Dados!$A$2:$A$49,0))="","",INDEX(Dados!$K$2:$K$49,MATCH($A11&amp;"|"&amp;C$5,Dados!$A$2:$A$49,0))),"")</f>
        <v>1.5530147720487731E-2</v>
      </c>
      <c r="D11" s="10">
        <f>IFERROR(IF(INDEX(Dados!$K$2:$K$49,MATCH($A11&amp;"|"&amp;D$5,Dados!$A$2:$A$49,0))="","",INDEX(Dados!$K$2:$K$49,MATCH($A11&amp;"|"&amp;D$5,Dados!$A$2:$A$49,0))),"")</f>
        <v>1.5068327118322143E-2</v>
      </c>
      <c r="E11" s="10">
        <f>IFERROR(IF(INDEX(Dados!$K$2:$K$49,MATCH($A11&amp;"|"&amp;E$5,Dados!$A$2:$A$49,0))="","",INDEX(Dados!$K$2:$K$49,MATCH($A11&amp;"|"&amp;E$5,Dados!$A$2:$A$49,0))),"")</f>
        <v>1.5145056461968951E-2</v>
      </c>
      <c r="F11" s="10">
        <f>IFERROR(IF(INDEX(Dados!$K$2:$K$49,MATCH($A11&amp;"|"&amp;F$5,Dados!$A$2:$A$49,0))="","",INDEX(Dados!$K$2:$K$49,MATCH($A11&amp;"|"&amp;F$5,Dados!$A$2:$A$49,0))),"")</f>
        <v>1.5266061003195077E-2</v>
      </c>
      <c r="G11" s="10">
        <f>IFERROR(IF(INDEX(Dados!$K$2:$K$49,MATCH($A11&amp;"|"&amp;G$5,Dados!$A$2:$A$49,0))="","",INDEX(Dados!$K$2:$K$49,MATCH($A11&amp;"|"&amp;G$5,Dados!$A$2:$A$49,0))),"")</f>
        <v>1.5348088602594739E-2</v>
      </c>
      <c r="H11" s="10">
        <f>IFERROR(IF(INDEX(Dados!$K$2:$K$49,MATCH($A11&amp;"|"&amp;H$5,Dados!$A$2:$A$49,0))="","",INDEX(Dados!$K$2:$K$49,MATCH($A11&amp;"|"&amp;H$5,Dados!$A$2:$A$49,0))),"")</f>
        <v>1.4721244366968422E-2</v>
      </c>
      <c r="I11" s="10">
        <f>IFERROR(IF(INDEX(Dados!$K$2:$K$49,MATCH($A11&amp;"|"&amp;I$5,Dados!$A$2:$A$49,0))="","",INDEX(Dados!$K$2:$K$49,MATCH($A11&amp;"|"&amp;I$5,Dados!$A$2:$A$49,0))),"")</f>
        <v>1.4043446652440341E-2</v>
      </c>
      <c r="J11" s="10">
        <f>IFERROR(IF(INDEX(Dados!$K$2:$K$49,MATCH($A11&amp;"|"&amp;J$5,Dados!$A$2:$A$49,0))="","",INDEX(Dados!$K$2:$K$49,MATCH($A11&amp;"|"&amp;J$5,Dados!$A$2:$A$49,0))),"")</f>
        <v>1.4337586800684615E-2</v>
      </c>
      <c r="K11" s="10">
        <f>IFERROR(IF(INDEX(Dados!$N$2:$N$49,MATCH($A11&amp;"|"&amp;J$5,Dados!$A$2:$A$49,0))=0,"—",INDEX(Dados!$N$2:$N$49,MATCH($A11&amp;"|"&amp;J$5,Dados!$A$2:$A$49,0))),"—")</f>
        <v>0.02</v>
      </c>
      <c r="L11" s="9" t="str">
        <f>IFERROR(IF(INDEX(Dados!$T$2:$T$49,MATCH($A11&amp;"|"&amp;J$5,Dados!$A$2:$A$49,0))="","—",INDEX(Dados!$T$2:$T$49,MATCH($A11&amp;"|"&amp;J$5,Dados!$A$2:$A$49,0))),"—")</f>
        <v>Abaixo do limite de alerta</v>
      </c>
    </row>
    <row r="12" spans="1:12" x14ac:dyDescent="0.25">
      <c r="A12" s="3" t="s">
        <v>24</v>
      </c>
      <c r="B12" s="11" t="s">
        <v>25</v>
      </c>
      <c r="C12" s="12">
        <f>IFERROR(INDEX(Dados!$J$2:$J$49,MATCH("Governo|"&amp;C$5,Dados!$A$2:$A$49,0))/1000000,"")</f>
        <v>8361.6818761100003</v>
      </c>
      <c r="D12" s="12">
        <f>IFERROR(INDEX(Dados!$J$2:$J$49,MATCH("Governo|"&amp;D$5,Dados!$A$2:$A$49,0))/1000000,"")</f>
        <v>8864.3377742700013</v>
      </c>
      <c r="E12" s="12">
        <f>IFERROR(INDEX(Dados!$J$2:$J$49,MATCH("Governo|"&amp;E$5,Dados!$A$2:$A$49,0))/1000000,"")</f>
        <v>8857.3934832699997</v>
      </c>
      <c r="F12" s="12">
        <f>IFERROR(INDEX(Dados!$J$2:$J$49,MATCH("Governo|"&amp;F$5,Dados!$A$2:$A$49,0))/1000000,"")</f>
        <v>9015.5839819400007</v>
      </c>
      <c r="G12" s="12">
        <f>IFERROR(INDEX(Dados!$J$2:$J$49,MATCH("Governo|"&amp;G$5,Dados!$A$2:$A$49,0))/1000000,"")</f>
        <v>9129.0309742000009</v>
      </c>
      <c r="H12" s="12">
        <f>IFERROR(INDEX(Dados!$J$2:$J$49,MATCH("Governo|"&amp;H$5,Dados!$A$2:$A$49,0))/1000000,"")</f>
        <v>9693.53394338</v>
      </c>
      <c r="I12" s="12">
        <f>IFERROR(INDEX(Dados!$J$2:$J$49,MATCH("Governo|"&amp;I$5,Dados!$A$2:$A$49,0))/1000000,"")</f>
        <v>10091.04647365</v>
      </c>
      <c r="J12" s="12">
        <f>IFERROR(INDEX(Dados!$J$2:$J$49,MATCH("Governo|"&amp;J$5,Dados!$A$2:$A$49,0))/1000000,"")</f>
        <v>10832.91877142</v>
      </c>
    </row>
    <row r="14" spans="1:12" x14ac:dyDescent="0.25">
      <c r="A14" s="3" t="s">
        <v>26</v>
      </c>
    </row>
    <row r="15" spans="1:12" ht="44.1" customHeight="1" x14ac:dyDescent="0.25">
      <c r="A15" s="4" t="s">
        <v>3</v>
      </c>
      <c r="B15" s="4" t="s">
        <v>4</v>
      </c>
      <c r="C15" s="4" t="s">
        <v>5</v>
      </c>
      <c r="D15" s="4" t="s">
        <v>6</v>
      </c>
      <c r="E15" s="4" t="s">
        <v>7</v>
      </c>
      <c r="F15" s="4" t="s">
        <v>8</v>
      </c>
      <c r="G15" s="4" t="s">
        <v>9</v>
      </c>
      <c r="H15" s="4" t="s">
        <v>10</v>
      </c>
      <c r="I15" s="4" t="s">
        <v>11</v>
      </c>
      <c r="J15" s="4" t="s">
        <v>12</v>
      </c>
    </row>
    <row r="16" spans="1:12" x14ac:dyDescent="0.25">
      <c r="A16" s="5" t="s">
        <v>15</v>
      </c>
      <c r="B16" s="6" t="s">
        <v>16</v>
      </c>
      <c r="C16" s="13">
        <f>IFERROR(IF(INDEX(Dados!$I$2:$I$49,MATCH($A16&amp;"|"&amp;C$15,Dados!$A$2:$A$49,0))="","",INDEX(Dados!$I$2:$I$49,MATCH($A16&amp;"|"&amp;C$15,Dados!$A$2:$A$49,0))/1000000),"")</f>
        <v>3441.31773256</v>
      </c>
      <c r="D16" s="13">
        <f>IFERROR(IF(INDEX(Dados!$I$2:$I$49,MATCH($A16&amp;"|"&amp;D$15,Dados!$A$2:$A$49,0))="","",INDEX(Dados!$I$2:$I$49,MATCH($A16&amp;"|"&amp;D$15,Dados!$A$2:$A$49,0))/1000000),"")</f>
        <v>3537.18909506</v>
      </c>
      <c r="E16" s="13">
        <f>IFERROR(IF(INDEX(Dados!$I$2:$I$49,MATCH($A16&amp;"|"&amp;E$15,Dados!$A$2:$A$49,0))="","",INDEX(Dados!$I$2:$I$49,MATCH($A16&amp;"|"&amp;E$15,Dados!$A$2:$A$49,0))/1000000),"")</f>
        <v>3853.90426222</v>
      </c>
      <c r="F16" s="13">
        <f>IFERROR(IF(INDEX(Dados!$I$2:$I$49,MATCH($A16&amp;"|"&amp;F$15,Dados!$A$2:$A$49,0))="","",INDEX(Dados!$I$2:$I$49,MATCH($A16&amp;"|"&amp;F$15,Dados!$A$2:$A$49,0))/1000000),"")</f>
        <v>3731.3462213499997</v>
      </c>
      <c r="G16" s="13">
        <f>IFERROR(IF(INDEX(Dados!$I$2:$I$49,MATCH($A16&amp;"|"&amp;G$15,Dados!$A$2:$A$49,0))="","",INDEX(Dados!$I$2:$I$49,MATCH($A16&amp;"|"&amp;G$15,Dados!$A$2:$A$49,0))/1000000),"")</f>
        <v>3840.9180768599999</v>
      </c>
      <c r="H16" s="13">
        <f>IFERROR(IF(INDEX(Dados!$I$2:$I$49,MATCH($A16&amp;"|"&amp;H$15,Dados!$A$2:$A$49,0))="","",INDEX(Dados!$I$2:$I$49,MATCH($A16&amp;"|"&amp;H$15,Dados!$A$2:$A$49,0))/1000000),"")</f>
        <v>3727.9965598000003</v>
      </c>
      <c r="I16" s="13">
        <f>IFERROR(IF(INDEX(Dados!$I$2:$I$49,MATCH($A16&amp;"|"&amp;I$15,Dados!$A$2:$A$49,0))="","",INDEX(Dados!$I$2:$I$49,MATCH($A16&amp;"|"&amp;I$15,Dados!$A$2:$A$49,0))/1000000),"")</f>
        <v>4133.0181972800001</v>
      </c>
      <c r="J16" s="13">
        <f>IFERROR(IF(INDEX(Dados!$I$2:$I$49,MATCH($A16&amp;"|"&amp;J$15,Dados!$A$2:$A$49,0))="","",INDEX(Dados!$I$2:$I$49,MATCH($A16&amp;"|"&amp;J$15,Dados!$A$2:$A$49,0))/1000000),"")</f>
        <v>4531.0974125399998</v>
      </c>
    </row>
    <row r="17" spans="1:10" x14ac:dyDescent="0.25">
      <c r="A17" s="8" t="s">
        <v>17</v>
      </c>
      <c r="B17" s="9" t="s">
        <v>18</v>
      </c>
      <c r="C17" s="14">
        <f>IFERROR(IF(INDEX(Dados!$I$2:$I$49,MATCH($A17&amp;"|"&amp;C$15,Dados!$A$2:$A$49,0))="","",INDEX(Dados!$I$2:$I$49,MATCH($A17&amp;"|"&amp;C$15,Dados!$A$2:$A$49,0))/1000000),"")</f>
        <v>145.80636772999998</v>
      </c>
      <c r="D17" s="14">
        <f>IFERROR(IF(INDEX(Dados!$I$2:$I$49,MATCH($A17&amp;"|"&amp;D$15,Dados!$A$2:$A$49,0))="","",INDEX(Dados!$I$2:$I$49,MATCH($A17&amp;"|"&amp;D$15,Dados!$A$2:$A$49,0))/1000000),"")</f>
        <v>146.41145384999999</v>
      </c>
      <c r="E17" s="14">
        <f>IFERROR(IF(INDEX(Dados!$I$2:$I$49,MATCH($A17&amp;"|"&amp;E$15,Dados!$A$2:$A$49,0))="","",INDEX(Dados!$I$2:$I$49,MATCH($A17&amp;"|"&amp;E$15,Dados!$A$2:$A$49,0))/1000000),"")</f>
        <v>146.38417405000001</v>
      </c>
      <c r="F17" s="14">
        <f>IFERROR(IF(INDEX(Dados!$I$2:$I$49,MATCH($A17&amp;"|"&amp;F$15,Dados!$A$2:$A$49,0))="","",INDEX(Dados!$I$2:$I$49,MATCH($A17&amp;"|"&amp;F$15,Dados!$A$2:$A$49,0))/1000000),"")</f>
        <v>147.97881287000001</v>
      </c>
      <c r="G17" s="14">
        <f>IFERROR(IF(INDEX(Dados!$I$2:$I$49,MATCH($A17&amp;"|"&amp;G$15,Dados!$A$2:$A$49,0))="","",INDEX(Dados!$I$2:$I$49,MATCH($A17&amp;"|"&amp;G$15,Dados!$A$2:$A$49,0))/1000000),"")</f>
        <v>146.66749131999998</v>
      </c>
      <c r="H17" s="14">
        <f>IFERROR(IF(INDEX(Dados!$I$2:$I$49,MATCH($A17&amp;"|"&amp;H$15,Dados!$A$2:$A$49,0))="","",INDEX(Dados!$I$2:$I$49,MATCH($A17&amp;"|"&amp;H$15,Dados!$A$2:$A$49,0))/1000000),"")</f>
        <v>153.59216943000001</v>
      </c>
      <c r="I17" s="14">
        <f>IFERROR(IF(INDEX(Dados!$I$2:$I$49,MATCH($A17&amp;"|"&amp;I$15,Dados!$A$2:$A$49,0))="","",INDEX(Dados!$I$2:$I$49,MATCH($A17&amp;"|"&amp;I$15,Dados!$A$2:$A$49,0))/1000000),"")</f>
        <v>154.29160215000002</v>
      </c>
      <c r="J17" s="14" t="str">
        <f>IFERROR(IF(INDEX(Dados!$I$2:$I$49,MATCH($A17&amp;"|"&amp;J$15,Dados!$A$2:$A$49,0))="","",INDEX(Dados!$I$2:$I$49,MATCH($A17&amp;"|"&amp;J$15,Dados!$A$2:$A$49,0))/1000000),"")</f>
        <v/>
      </c>
    </row>
    <row r="18" spans="1:10" x14ac:dyDescent="0.25">
      <c r="A18" s="8" t="s">
        <v>19</v>
      </c>
      <c r="B18" s="9" t="s">
        <v>20</v>
      </c>
      <c r="C18" s="14">
        <f>IFERROR(IF(INDEX(Dados!$I$2:$I$49,MATCH($A18&amp;"|"&amp;C$15,Dados!$A$2:$A$49,0))="","",INDEX(Dados!$I$2:$I$49,MATCH($A18&amp;"|"&amp;C$15,Dados!$A$2:$A$49,0))/1000000),"")</f>
        <v>380.22265018000002</v>
      </c>
      <c r="D18" s="14">
        <f>IFERROR(IF(INDEX(Dados!$I$2:$I$49,MATCH($A18&amp;"|"&amp;D$15,Dados!$A$2:$A$49,0))="","",INDEX(Dados!$I$2:$I$49,MATCH($A18&amp;"|"&amp;D$15,Dados!$A$2:$A$49,0))/1000000),"")</f>
        <v>394.70296556</v>
      </c>
      <c r="E18" s="14">
        <f>IFERROR(IF(INDEX(Dados!$I$2:$I$49,MATCH($A18&amp;"|"&amp;E$15,Dados!$A$2:$A$49,0))="","",INDEX(Dados!$I$2:$I$49,MATCH($A18&amp;"|"&amp;E$15,Dados!$A$2:$A$49,0))/1000000),"")</f>
        <v>409.56347464999999</v>
      </c>
      <c r="F18" s="14">
        <f>IFERROR(IF(INDEX(Dados!$I$2:$I$49,MATCH($A18&amp;"|"&amp;F$15,Dados!$A$2:$A$49,0))="","",INDEX(Dados!$I$2:$I$49,MATCH($A18&amp;"|"&amp;F$15,Dados!$A$2:$A$49,0))/1000000),"")</f>
        <v>425.33072905</v>
      </c>
      <c r="G18" s="14">
        <f>IFERROR(IF(INDEX(Dados!$I$2:$I$49,MATCH($A18&amp;"|"&amp;G$15,Dados!$A$2:$A$49,0))="","",INDEX(Dados!$I$2:$I$49,MATCH($A18&amp;"|"&amp;G$15,Dados!$A$2:$A$49,0))/1000000),"")</f>
        <v>446.99409062000001</v>
      </c>
      <c r="H18" s="14">
        <f>IFERROR(IF(INDEX(Dados!$I$2:$I$49,MATCH($A18&amp;"|"&amp;H$15,Dados!$A$2:$A$49,0))="","",INDEX(Dados!$I$2:$I$49,MATCH($A18&amp;"|"&amp;H$15,Dados!$A$2:$A$49,0))/1000000),"")</f>
        <v>445.91029523000003</v>
      </c>
      <c r="I18" s="14">
        <f>IFERROR(IF(INDEX(Dados!$I$2:$I$49,MATCH($A18&amp;"|"&amp;I$15,Dados!$A$2:$A$49,0))="","",INDEX(Dados!$I$2:$I$49,MATCH($A18&amp;"|"&amp;I$15,Dados!$A$2:$A$49,0))/1000000),"")</f>
        <v>485.90676591000005</v>
      </c>
      <c r="J18" s="14">
        <f>IFERROR(IF(INDEX(Dados!$I$2:$I$49,MATCH($A18&amp;"|"&amp;J$15,Dados!$A$2:$A$49,0))="","",INDEX(Dados!$I$2:$I$49,MATCH($A18&amp;"|"&amp;J$15,Dados!$A$2:$A$49,0))/1000000),"")</f>
        <v>481.89009020999998</v>
      </c>
    </row>
    <row r="19" spans="1:10" x14ac:dyDescent="0.25">
      <c r="A19" s="8" t="s">
        <v>21</v>
      </c>
      <c r="B19" s="9" t="s">
        <v>21</v>
      </c>
      <c r="C19" s="14">
        <f>IFERROR(IF(INDEX(Dados!$I$2:$I$49,MATCH($A19&amp;"|"&amp;C$15,Dados!$A$2:$A$49,0))="","",INDEX(Dados!$I$2:$I$49,MATCH($A19&amp;"|"&amp;C$15,Dados!$A$2:$A$49,0))/1000000),"")</f>
        <v>56.077155789999999</v>
      </c>
      <c r="D19" s="14">
        <f>IFERROR(IF(INDEX(Dados!$I$2:$I$49,MATCH($A19&amp;"|"&amp;D$15,Dados!$A$2:$A$49,0))="","",INDEX(Dados!$I$2:$I$49,MATCH($A19&amp;"|"&amp;D$15,Dados!$A$2:$A$49,0))/1000000),"")</f>
        <v>59.564616520000001</v>
      </c>
      <c r="E19" s="14">
        <f>IFERROR(IF(INDEX(Dados!$I$2:$I$49,MATCH($A19&amp;"|"&amp;E$15,Dados!$A$2:$A$49,0))="","",INDEX(Dados!$I$2:$I$49,MATCH($A19&amp;"|"&amp;E$15,Dados!$A$2:$A$49,0))/1000000),"")</f>
        <v>59.863095219999998</v>
      </c>
      <c r="F19" s="14">
        <f>IFERROR(IF(INDEX(Dados!$I$2:$I$49,MATCH($A19&amp;"|"&amp;F$15,Dados!$A$2:$A$49,0))="","",INDEX(Dados!$I$2:$I$49,MATCH($A19&amp;"|"&amp;F$15,Dados!$A$2:$A$49,0))/1000000),"")</f>
        <v>62.29504343</v>
      </c>
      <c r="G19" s="14">
        <f>IFERROR(IF(INDEX(Dados!$I$2:$I$49,MATCH($A19&amp;"|"&amp;G$15,Dados!$A$2:$A$49,0))="","",INDEX(Dados!$I$2:$I$49,MATCH($A19&amp;"|"&amp;G$15,Dados!$A$2:$A$49,0))/1000000),"")</f>
        <v>63.769351219999997</v>
      </c>
      <c r="H19" s="14">
        <f>IFERROR(IF(INDEX(Dados!$I$2:$I$49,MATCH($A19&amp;"|"&amp;H$15,Dados!$A$2:$A$49,0))="","",INDEX(Dados!$I$2:$I$49,MATCH($A19&amp;"|"&amp;H$15,Dados!$A$2:$A$49,0))/1000000),"")</f>
        <v>64.475012179999993</v>
      </c>
      <c r="I19" s="14">
        <f>IFERROR(IF(INDEX(Dados!$I$2:$I$49,MATCH($A19&amp;"|"&amp;I$15,Dados!$A$2:$A$49,0))="","",INDEX(Dados!$I$2:$I$49,MATCH($A19&amp;"|"&amp;I$15,Dados!$A$2:$A$49,0))/1000000),"")</f>
        <v>66.226769360000006</v>
      </c>
      <c r="J19" s="14">
        <f>IFERROR(IF(INDEX(Dados!$I$2:$I$49,MATCH($A19&amp;"|"&amp;J$15,Dados!$A$2:$A$49,0))="","",INDEX(Dados!$I$2:$I$49,MATCH($A19&amp;"|"&amp;J$15,Dados!$A$2:$A$49,0))/1000000),"")</f>
        <v>67.443714689999993</v>
      </c>
    </row>
    <row r="20" spans="1:10" x14ac:dyDescent="0.25">
      <c r="A20" s="8" t="s">
        <v>22</v>
      </c>
      <c r="B20" s="9" t="s">
        <v>22</v>
      </c>
      <c r="C20" s="14">
        <f>IFERROR(IF(INDEX(Dados!$I$2:$I$49,MATCH($A20&amp;"|"&amp;C$15,Dados!$A$2:$A$49,0))="","",INDEX(Dados!$I$2:$I$49,MATCH($A20&amp;"|"&amp;C$15,Dados!$A$2:$A$49,0))/1000000),"")</f>
        <v>48.710216659999993</v>
      </c>
      <c r="D20" s="14">
        <f>IFERROR(IF(INDEX(Dados!$I$2:$I$49,MATCH($A20&amp;"|"&amp;D$15,Dados!$A$2:$A$49,0))="","",INDEX(Dados!$I$2:$I$49,MATCH($A20&amp;"|"&amp;D$15,Dados!$A$2:$A$49,0))/1000000),"")</f>
        <v>51.611080000000001</v>
      </c>
      <c r="E20" s="14">
        <f>IFERROR(IF(INDEX(Dados!$I$2:$I$49,MATCH($A20&amp;"|"&amp;E$15,Dados!$A$2:$A$49,0))="","",INDEX(Dados!$I$2:$I$49,MATCH($A20&amp;"|"&amp;E$15,Dados!$A$2:$A$49,0))/1000000),"")</f>
        <v>55.447593009999999</v>
      </c>
      <c r="F20" s="14">
        <f>IFERROR(IF(INDEX(Dados!$I$2:$I$49,MATCH($A20&amp;"|"&amp;F$15,Dados!$A$2:$A$49,0))="","",INDEX(Dados!$I$2:$I$49,MATCH($A20&amp;"|"&amp;F$15,Dados!$A$2:$A$49,0))/1000000),"")</f>
        <v>55.105242329999996</v>
      </c>
      <c r="G20" s="14">
        <f>IFERROR(IF(INDEX(Dados!$I$2:$I$49,MATCH($A20&amp;"|"&amp;G$15,Dados!$A$2:$A$49,0))="","",INDEX(Dados!$I$2:$I$49,MATCH($A20&amp;"|"&amp;G$15,Dados!$A$2:$A$49,0))/1000000),"")</f>
        <v>56.970820789999998</v>
      </c>
      <c r="H20" s="14">
        <f>IFERROR(IF(INDEX(Dados!$I$2:$I$49,MATCH($A20&amp;"|"&amp;H$15,Dados!$A$2:$A$49,0))="","",INDEX(Dados!$I$2:$I$49,MATCH($A20&amp;"|"&amp;H$15,Dados!$A$2:$A$49,0))/1000000),"")</f>
        <v>60.609930520000006</v>
      </c>
      <c r="I20" s="14">
        <f>IFERROR(IF(INDEX(Dados!$I$2:$I$49,MATCH($A20&amp;"|"&amp;I$15,Dados!$A$2:$A$49,0))="","",INDEX(Dados!$I$2:$I$49,MATCH($A20&amp;"|"&amp;I$15,Dados!$A$2:$A$49,0))/1000000),"")</f>
        <v>61.975009039999996</v>
      </c>
      <c r="J20" s="14">
        <f>IFERROR(IF(INDEX(Dados!$I$2:$I$49,MATCH($A20&amp;"|"&amp;J$15,Dados!$A$2:$A$49,0))="","",INDEX(Dados!$I$2:$I$49,MATCH($A20&amp;"|"&amp;J$15,Dados!$A$2:$A$49,0))/1000000),"")</f>
        <v>63.313758299999996</v>
      </c>
    </row>
    <row r="21" spans="1:10" x14ac:dyDescent="0.25">
      <c r="A21" s="8" t="s">
        <v>23</v>
      </c>
      <c r="B21" s="9" t="s">
        <v>23</v>
      </c>
      <c r="C21" s="14">
        <f>IFERROR(IF(INDEX(Dados!$I$2:$I$49,MATCH($A21&amp;"|"&amp;C$15,Dados!$A$2:$A$49,0))="","",INDEX(Dados!$I$2:$I$49,MATCH($A21&amp;"|"&amp;C$15,Dados!$A$2:$A$49,0))/1000000),"")</f>
        <v>129.85815332999999</v>
      </c>
      <c r="D21" s="14">
        <f>IFERROR(IF(INDEX(Dados!$I$2:$I$49,MATCH($A21&amp;"|"&amp;D$15,Dados!$A$2:$A$49,0))="","",INDEX(Dados!$I$2:$I$49,MATCH($A21&amp;"|"&amp;D$15,Dados!$A$2:$A$49,0))/1000000),"")</f>
        <v>133.57074126999998</v>
      </c>
      <c r="E21" s="14">
        <f>IFERROR(IF(INDEX(Dados!$I$2:$I$49,MATCH($A21&amp;"|"&amp;E$15,Dados!$A$2:$A$49,0))="","",INDEX(Dados!$I$2:$I$49,MATCH($A21&amp;"|"&amp;E$15,Dados!$A$2:$A$49,0))/1000000),"")</f>
        <v>134.14572440999999</v>
      </c>
      <c r="F21" s="14">
        <f>IFERROR(IF(INDEX(Dados!$I$2:$I$49,MATCH($A21&amp;"|"&amp;F$15,Dados!$A$2:$A$49,0))="","",INDEX(Dados!$I$2:$I$49,MATCH($A21&amp;"|"&amp;F$15,Dados!$A$2:$A$49,0))/1000000),"")</f>
        <v>137.69597191999998</v>
      </c>
      <c r="G21" s="14">
        <f>IFERROR(IF(INDEX(Dados!$I$2:$I$49,MATCH($A21&amp;"|"&amp;G$15,Dados!$A$2:$A$49,0))="","",INDEX(Dados!$I$2:$I$49,MATCH($A21&amp;"|"&amp;G$15,Dados!$A$2:$A$49,0))/1000000),"")</f>
        <v>140.17676765000002</v>
      </c>
      <c r="H21" s="14">
        <f>IFERROR(IF(INDEX(Dados!$I$2:$I$49,MATCH($A21&amp;"|"&amp;H$15,Dados!$A$2:$A$49,0))="","",INDEX(Dados!$I$2:$I$49,MATCH($A21&amp;"|"&amp;H$15,Dados!$A$2:$A$49,0))/1000000),"")</f>
        <v>142.70088196</v>
      </c>
      <c r="I21" s="14">
        <f>IFERROR(IF(INDEX(Dados!$I$2:$I$49,MATCH($A21&amp;"|"&amp;I$15,Dados!$A$2:$A$49,0))="","",INDEX(Dados!$I$2:$I$49,MATCH($A21&amp;"|"&amp;I$15,Dados!$A$2:$A$49,0))/1000000),"")</f>
        <v>141.71307281999998</v>
      </c>
      <c r="J21" s="14">
        <f>IFERROR(IF(INDEX(Dados!$I$2:$I$49,MATCH($A21&amp;"|"&amp;J$15,Dados!$A$2:$A$49,0))="","",INDEX(Dados!$I$2:$I$49,MATCH($A21&amp;"|"&amp;J$15,Dados!$A$2:$A$49,0))/1000000),"")</f>
        <v>155.31791318999998</v>
      </c>
    </row>
    <row r="23" spans="1:10" x14ac:dyDescent="0.25">
      <c r="A23" s="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hidden="1" customWidth="1"/>
    <col min="2" max="2" width="30" customWidth="1"/>
    <col min="3" max="3" width="20" customWidth="1"/>
    <col min="4" max="4" width="44" customWidth="1"/>
    <col min="5" max="5" width="10" customWidth="1"/>
    <col min="6" max="6" width="12" customWidth="1"/>
    <col min="7" max="7" width="15" customWidth="1"/>
    <col min="8" max="8" width="20" customWidth="1"/>
    <col min="9" max="10" width="22" customWidth="1"/>
    <col min="11" max="12" width="13" customWidth="1"/>
    <col min="13" max="13" width="14" customWidth="1"/>
    <col min="14" max="16" width="11" customWidth="1"/>
    <col min="17" max="19" width="20" customWidth="1"/>
    <col min="20" max="20" width="26" customWidth="1"/>
    <col min="21" max="21" width="44" customWidth="1"/>
  </cols>
  <sheetData>
    <row r="1" spans="1:21" ht="42" customHeight="1" x14ac:dyDescent="0.25">
      <c r="A1" s="4" t="s">
        <v>28</v>
      </c>
      <c r="B1" s="4" t="s">
        <v>3</v>
      </c>
      <c r="C1" s="4" t="s">
        <v>4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  <c r="O1" s="4" t="s">
        <v>40</v>
      </c>
      <c r="P1" s="4" t="s">
        <v>41</v>
      </c>
      <c r="Q1" s="4" t="s">
        <v>42</v>
      </c>
      <c r="R1" s="4" t="s">
        <v>43</v>
      </c>
      <c r="S1" s="4" t="s">
        <v>44</v>
      </c>
      <c r="T1" s="4" t="s">
        <v>45</v>
      </c>
      <c r="U1" s="4" t="s">
        <v>46</v>
      </c>
    </row>
    <row r="2" spans="1:21" x14ac:dyDescent="0.25">
      <c r="A2" s="9" t="str">
        <f t="shared" ref="A2:A49" si="0">B2&amp;"|"&amp;G2</f>
        <v>Governo|1º quad. 2024</v>
      </c>
      <c r="B2" s="9" t="s">
        <v>15</v>
      </c>
      <c r="C2" s="9" t="s">
        <v>16</v>
      </c>
      <c r="D2" s="9" t="s">
        <v>47</v>
      </c>
      <c r="E2" s="9" t="s">
        <v>48</v>
      </c>
      <c r="F2" s="9">
        <v>1</v>
      </c>
      <c r="G2" s="9" t="s">
        <v>5</v>
      </c>
      <c r="H2" s="9" t="s">
        <v>49</v>
      </c>
      <c r="I2" s="15">
        <v>3441317732.5599999</v>
      </c>
      <c r="J2" s="15">
        <v>8361681876.1099997</v>
      </c>
      <c r="K2" s="10">
        <f t="shared" ref="K2:K49" si="1">IF(OR(I2="",J2="",J2=0),"",I2/J2)</f>
        <v>0.41155807928930216</v>
      </c>
      <c r="L2" s="16">
        <v>0.41160000000000002</v>
      </c>
      <c r="M2" s="9" t="str">
        <f t="shared" ref="M2:M49" si="2">IF(L2="","Não declarado",IF(K2="","Sem dado",IF(ABS(K2-L2)&lt;=0.00005,"Sim","Não")))</f>
        <v>Sim</v>
      </c>
      <c r="N2" s="16">
        <v>4.8999999999999998E-3</v>
      </c>
      <c r="O2" s="16">
        <v>4.6999999999999993E-3</v>
      </c>
      <c r="P2" s="16">
        <v>4.4000000000000003E-3</v>
      </c>
      <c r="Q2" s="15">
        <v>4097224119.29</v>
      </c>
      <c r="R2" s="15">
        <v>3892362913.3299999</v>
      </c>
      <c r="S2" s="15">
        <v>3687501707.3600001</v>
      </c>
      <c r="T2" s="9" t="str">
        <f t="shared" ref="T2:T49" si="3">IF(K2="","Sem dado",IF(N2="","Sem limite próprio na LRF",IF(AND(Q2&lt;&gt;"",R2&lt;&gt;"",S2&lt;&gt;""),IF(I2&gt;Q2,"Acima do limite máximo",IF(I2&gt;R2,"Acima do limite prudencial",IF(I2&gt;S2,"Acima do limite de alerta","Abaixo do limite de alerta"))),IF(K2&gt;N2,"Acima do limite máximo",IF(K2&gt;O2,"Acima do limite prudencial",IF(K2&gt;P2,"Acima do limite de alerta","Abaixo do limite de alerta"))))))</f>
        <v>Abaixo do limite de alerta</v>
      </c>
      <c r="U2" s="9" t="s">
        <v>50</v>
      </c>
    </row>
    <row r="3" spans="1:21" x14ac:dyDescent="0.25">
      <c r="A3" s="9" t="str">
        <f t="shared" si="0"/>
        <v>Governo|2º quad. 2024</v>
      </c>
      <c r="B3" s="9" t="s">
        <v>15</v>
      </c>
      <c r="C3" s="9" t="s">
        <v>16</v>
      </c>
      <c r="D3" s="9" t="s">
        <v>47</v>
      </c>
      <c r="E3" s="9" t="s">
        <v>48</v>
      </c>
      <c r="F3" s="9">
        <v>2</v>
      </c>
      <c r="G3" s="9" t="s">
        <v>6</v>
      </c>
      <c r="H3" s="9" t="s">
        <v>51</v>
      </c>
      <c r="I3" s="15">
        <v>3537189095.0599999</v>
      </c>
      <c r="J3" s="15">
        <v>8864337774.2700005</v>
      </c>
      <c r="K3" s="10">
        <f t="shared" si="1"/>
        <v>0.39903591053662169</v>
      </c>
      <c r="L3" s="16">
        <v>0.39900000000000002</v>
      </c>
      <c r="M3" s="9" t="str">
        <f t="shared" si="2"/>
        <v>Sim</v>
      </c>
      <c r="N3" s="16">
        <v>0.49</v>
      </c>
      <c r="O3" s="16">
        <v>0.46550000000000002</v>
      </c>
      <c r="P3" s="16">
        <v>0.441</v>
      </c>
      <c r="Q3" s="15">
        <v>4343525509.3900003</v>
      </c>
      <c r="R3" s="15">
        <v>4126349233.9200001</v>
      </c>
      <c r="S3" s="15">
        <v>3909172958.4499998</v>
      </c>
      <c r="T3" s="9" t="str">
        <f t="shared" si="3"/>
        <v>Abaixo do limite de alerta</v>
      </c>
      <c r="U3" s="9" t="s">
        <v>50</v>
      </c>
    </row>
    <row r="4" spans="1:21" x14ac:dyDescent="0.25">
      <c r="A4" s="9" t="str">
        <f t="shared" si="0"/>
        <v>Governo|3º quad. 2024</v>
      </c>
      <c r="B4" s="9" t="s">
        <v>15</v>
      </c>
      <c r="C4" s="9" t="s">
        <v>16</v>
      </c>
      <c r="D4" s="9" t="s">
        <v>47</v>
      </c>
      <c r="E4" s="9" t="s">
        <v>48</v>
      </c>
      <c r="F4" s="9">
        <v>3</v>
      </c>
      <c r="G4" s="9" t="s">
        <v>7</v>
      </c>
      <c r="H4" s="9" t="s">
        <v>52</v>
      </c>
      <c r="I4" s="15">
        <v>3853904262.2199998</v>
      </c>
      <c r="J4" s="15">
        <v>8857393483.2700005</v>
      </c>
      <c r="K4" s="10">
        <f t="shared" si="1"/>
        <v>0.43510591118022718</v>
      </c>
      <c r="L4" s="16">
        <v>0.43509999999999999</v>
      </c>
      <c r="M4" s="9" t="str">
        <f t="shared" si="2"/>
        <v>Sim</v>
      </c>
      <c r="N4" s="16">
        <v>0.49</v>
      </c>
      <c r="O4" s="16">
        <v>0.46550000000000002</v>
      </c>
      <c r="P4" s="16">
        <v>0.441</v>
      </c>
      <c r="Q4" s="15">
        <v>4340122806.8000002</v>
      </c>
      <c r="R4" s="15">
        <v>4123116666.46</v>
      </c>
      <c r="S4" s="15">
        <v>3906110526.1199999</v>
      </c>
      <c r="T4" s="9" t="str">
        <f t="shared" si="3"/>
        <v>Abaixo do limite de alerta</v>
      </c>
      <c r="U4" s="9" t="s">
        <v>50</v>
      </c>
    </row>
    <row r="5" spans="1:21" x14ac:dyDescent="0.25">
      <c r="A5" s="9" t="str">
        <f t="shared" si="0"/>
        <v>Governo|1º quad. 2025</v>
      </c>
      <c r="B5" s="9" t="s">
        <v>15</v>
      </c>
      <c r="C5" s="9" t="s">
        <v>16</v>
      </c>
      <c r="D5" s="9" t="s">
        <v>47</v>
      </c>
      <c r="E5" s="9" t="s">
        <v>53</v>
      </c>
      <c r="F5" s="9">
        <v>1</v>
      </c>
      <c r="G5" s="9" t="s">
        <v>8</v>
      </c>
      <c r="H5" s="9" t="s">
        <v>54</v>
      </c>
      <c r="I5" s="15">
        <v>3731346221.3499999</v>
      </c>
      <c r="J5" s="15">
        <v>9015583981.9400005</v>
      </c>
      <c r="K5" s="10">
        <f t="shared" si="1"/>
        <v>0.41387737375910699</v>
      </c>
      <c r="L5" s="16">
        <v>0.41389999999999999</v>
      </c>
      <c r="M5" s="9" t="str">
        <f t="shared" si="2"/>
        <v>Sim</v>
      </c>
      <c r="N5" s="16">
        <v>0.49</v>
      </c>
      <c r="O5" s="16">
        <v>0.46550000000000002</v>
      </c>
      <c r="P5" s="16">
        <v>0.441</v>
      </c>
      <c r="Q5" s="15">
        <v>4417636151.1499996</v>
      </c>
      <c r="R5" s="15">
        <v>4196754343.5900002</v>
      </c>
      <c r="S5" s="15">
        <v>3975872536.04</v>
      </c>
      <c r="T5" s="9" t="str">
        <f t="shared" si="3"/>
        <v>Abaixo do limite de alerta</v>
      </c>
      <c r="U5" s="9" t="s">
        <v>50</v>
      </c>
    </row>
    <row r="6" spans="1:21" x14ac:dyDescent="0.25">
      <c r="A6" s="9" t="str">
        <f t="shared" si="0"/>
        <v>Governo|2º quad. 2025</v>
      </c>
      <c r="B6" s="9" t="s">
        <v>15</v>
      </c>
      <c r="C6" s="9" t="s">
        <v>16</v>
      </c>
      <c r="D6" s="9" t="s">
        <v>47</v>
      </c>
      <c r="E6" s="9" t="s">
        <v>53</v>
      </c>
      <c r="F6" s="9">
        <v>2</v>
      </c>
      <c r="G6" s="9" t="s">
        <v>9</v>
      </c>
      <c r="H6" s="9" t="s">
        <v>55</v>
      </c>
      <c r="I6" s="15">
        <v>3840918076.8600001</v>
      </c>
      <c r="J6" s="15">
        <v>9129030974.2000008</v>
      </c>
      <c r="K6" s="10">
        <f t="shared" si="1"/>
        <v>0.42073666829644962</v>
      </c>
      <c r="L6" s="16">
        <v>0.42070000000000002</v>
      </c>
      <c r="M6" s="9" t="str">
        <f t="shared" si="2"/>
        <v>Sim</v>
      </c>
      <c r="N6" s="16">
        <v>0.49</v>
      </c>
      <c r="O6" s="16">
        <v>0.46550000000000002</v>
      </c>
      <c r="P6" s="16">
        <v>0.441</v>
      </c>
      <c r="Q6" s="15">
        <v>4473225177.3599997</v>
      </c>
      <c r="R6" s="15">
        <v>4249563918.4899998</v>
      </c>
      <c r="S6" s="15">
        <v>4025902659.6199999</v>
      </c>
      <c r="T6" s="9" t="str">
        <f t="shared" si="3"/>
        <v>Abaixo do limite de alerta</v>
      </c>
      <c r="U6" s="9" t="s">
        <v>50</v>
      </c>
    </row>
    <row r="7" spans="1:21" x14ac:dyDescent="0.25">
      <c r="A7" s="9" t="str">
        <f t="shared" si="0"/>
        <v>Governo|3º quad. 2025</v>
      </c>
      <c r="B7" s="9" t="s">
        <v>15</v>
      </c>
      <c r="C7" s="9" t="s">
        <v>16</v>
      </c>
      <c r="D7" s="9" t="s">
        <v>47</v>
      </c>
      <c r="E7" s="9" t="s">
        <v>53</v>
      </c>
      <c r="F7" s="9">
        <v>3</v>
      </c>
      <c r="G7" s="9" t="s">
        <v>10</v>
      </c>
      <c r="H7" s="9" t="s">
        <v>56</v>
      </c>
      <c r="I7" s="15">
        <v>3727996559.8000002</v>
      </c>
      <c r="J7" s="15">
        <v>9693533943.3799992</v>
      </c>
      <c r="K7" s="10">
        <f t="shared" si="1"/>
        <v>0.38458590866605047</v>
      </c>
      <c r="L7" s="16">
        <v>0.3846</v>
      </c>
      <c r="M7" s="9" t="str">
        <f t="shared" si="2"/>
        <v>Sim</v>
      </c>
      <c r="N7" s="16">
        <v>0.49</v>
      </c>
      <c r="O7" s="16">
        <v>0.46550000000000002</v>
      </c>
      <c r="P7" s="16">
        <v>0.441</v>
      </c>
      <c r="Q7" s="15">
        <v>4749831632.2600002</v>
      </c>
      <c r="R7" s="15">
        <v>4512340050.6499996</v>
      </c>
      <c r="S7" s="15">
        <v>4274848469.0300002</v>
      </c>
      <c r="T7" s="9" t="str">
        <f t="shared" si="3"/>
        <v>Abaixo do limite de alerta</v>
      </c>
      <c r="U7" s="9" t="s">
        <v>50</v>
      </c>
    </row>
    <row r="8" spans="1:21" x14ac:dyDescent="0.25">
      <c r="A8" s="9" t="str">
        <f t="shared" si="0"/>
        <v>Governo|1º quad. 2026</v>
      </c>
      <c r="B8" s="9" t="s">
        <v>15</v>
      </c>
      <c r="C8" s="9" t="s">
        <v>16</v>
      </c>
      <c r="D8" s="9" t="s">
        <v>47</v>
      </c>
      <c r="E8" s="9" t="s">
        <v>57</v>
      </c>
      <c r="F8" s="9">
        <v>1</v>
      </c>
      <c r="G8" s="9" t="s">
        <v>11</v>
      </c>
      <c r="H8" s="9" t="s">
        <v>58</v>
      </c>
      <c r="I8" s="15">
        <v>4133018197.2800002</v>
      </c>
      <c r="J8" s="15">
        <v>10091046473.65</v>
      </c>
      <c r="K8" s="10">
        <f t="shared" si="1"/>
        <v>0.40957280377929522</v>
      </c>
      <c r="L8" s="16">
        <v>0.40960000000000002</v>
      </c>
      <c r="M8" s="9" t="str">
        <f t="shared" si="2"/>
        <v>Sim</v>
      </c>
      <c r="N8" s="16">
        <v>0.49</v>
      </c>
      <c r="O8" s="16">
        <v>0.46550000000000002</v>
      </c>
      <c r="P8" s="16">
        <v>0.441</v>
      </c>
      <c r="Q8" s="15">
        <v>4944612772.0900002</v>
      </c>
      <c r="R8" s="15">
        <v>4697382133.4899998</v>
      </c>
      <c r="S8" s="15">
        <v>4450151494.8800001</v>
      </c>
      <c r="T8" s="9" t="str">
        <f t="shared" si="3"/>
        <v>Abaixo do limite de alerta</v>
      </c>
      <c r="U8" s="9" t="s">
        <v>50</v>
      </c>
    </row>
    <row r="9" spans="1:21" x14ac:dyDescent="0.25">
      <c r="A9" s="9" t="str">
        <f t="shared" si="0"/>
        <v>Governo|2º quad. 2026</v>
      </c>
      <c r="B9" s="9" t="s">
        <v>15</v>
      </c>
      <c r="C9" s="9" t="s">
        <v>16</v>
      </c>
      <c r="D9" s="9" t="s">
        <v>47</v>
      </c>
      <c r="E9" s="9" t="s">
        <v>57</v>
      </c>
      <c r="F9" s="9">
        <v>2</v>
      </c>
      <c r="G9" s="9" t="s">
        <v>12</v>
      </c>
      <c r="H9" s="9" t="s">
        <v>59</v>
      </c>
      <c r="I9" s="15">
        <v>4531097412.54</v>
      </c>
      <c r="J9" s="15">
        <v>10832918771.42</v>
      </c>
      <c r="K9" s="10">
        <f t="shared" si="1"/>
        <v>0.41827115186113917</v>
      </c>
      <c r="L9" s="16">
        <v>0.41830000000000001</v>
      </c>
      <c r="M9" s="9" t="str">
        <f t="shared" si="2"/>
        <v>Sim</v>
      </c>
      <c r="N9" s="16">
        <v>4.8999999999999998E-3</v>
      </c>
      <c r="O9" s="16">
        <v>4.6999999999999993E-3</v>
      </c>
      <c r="P9" s="16">
        <v>4.4000000000000003E-3</v>
      </c>
      <c r="Q9" s="15">
        <v>5308130198</v>
      </c>
      <c r="R9" s="15">
        <v>5042723688.1000004</v>
      </c>
      <c r="S9" s="15">
        <v>4777317178.1999998</v>
      </c>
      <c r="T9" s="9" t="str">
        <f t="shared" si="3"/>
        <v>Abaixo do limite de alerta</v>
      </c>
      <c r="U9" s="9" t="s">
        <v>50</v>
      </c>
    </row>
    <row r="10" spans="1:21" x14ac:dyDescent="0.25">
      <c r="A10" s="9" t="str">
        <f t="shared" si="0"/>
        <v>Assembleia Legislativa|1º quad. 2024</v>
      </c>
      <c r="B10" s="9" t="s">
        <v>17</v>
      </c>
      <c r="C10" s="9" t="s">
        <v>18</v>
      </c>
      <c r="D10" s="9" t="s">
        <v>60</v>
      </c>
      <c r="E10" s="9" t="s">
        <v>48</v>
      </c>
      <c r="F10" s="9">
        <v>1</v>
      </c>
      <c r="G10" s="9" t="s">
        <v>5</v>
      </c>
      <c r="H10" s="9" t="s">
        <v>49</v>
      </c>
      <c r="I10" s="15">
        <v>145806367.72999999</v>
      </c>
      <c r="J10" s="15">
        <v>8361681876.1099997</v>
      </c>
      <c r="K10" s="10">
        <f t="shared" si="1"/>
        <v>1.7437444988977702E-2</v>
      </c>
      <c r="L10" s="16">
        <v>1.7399999999999999E-2</v>
      </c>
      <c r="M10" s="9" t="str">
        <f t="shared" si="2"/>
        <v>Sim</v>
      </c>
      <c r="N10" s="16">
        <v>1.84E-2</v>
      </c>
      <c r="O10" s="16">
        <v>1.7500000000000002E-2</v>
      </c>
      <c r="P10" s="16">
        <v>1.66E-2</v>
      </c>
      <c r="Q10" s="15">
        <v>153854946.52000001</v>
      </c>
      <c r="R10" s="15">
        <v>146162199.19</v>
      </c>
      <c r="S10" s="15">
        <v>138469451.87</v>
      </c>
      <c r="T10" s="9" t="str">
        <f t="shared" si="3"/>
        <v>Acima do limite de alerta</v>
      </c>
      <c r="U10" s="9" t="s">
        <v>50</v>
      </c>
    </row>
    <row r="11" spans="1:21" x14ac:dyDescent="0.25">
      <c r="A11" s="9" t="str">
        <f t="shared" si="0"/>
        <v>Assembleia Legislativa|2º quad. 2024</v>
      </c>
      <c r="B11" s="9" t="s">
        <v>17</v>
      </c>
      <c r="C11" s="9" t="s">
        <v>18</v>
      </c>
      <c r="D11" s="9" t="s">
        <v>60</v>
      </c>
      <c r="E11" s="9" t="s">
        <v>48</v>
      </c>
      <c r="F11" s="9">
        <v>2</v>
      </c>
      <c r="G11" s="9" t="s">
        <v>6</v>
      </c>
      <c r="H11" s="9" t="s">
        <v>51</v>
      </c>
      <c r="I11" s="15">
        <v>146411453.84999999</v>
      </c>
      <c r="J11" s="15">
        <v>8864337774.2700005</v>
      </c>
      <c r="K11" s="10">
        <f t="shared" si="1"/>
        <v>1.6516908265271663E-2</v>
      </c>
      <c r="L11" s="16">
        <v>1.6500000000000001E-2</v>
      </c>
      <c r="M11" s="9" t="str">
        <f t="shared" si="2"/>
        <v>Sim</v>
      </c>
      <c r="N11" s="16">
        <v>1.84E-2</v>
      </c>
      <c r="O11" s="16">
        <v>1.7500000000000002E-2</v>
      </c>
      <c r="P11" s="16">
        <v>1.66E-2</v>
      </c>
      <c r="Q11" s="15">
        <v>163103815.05000001</v>
      </c>
      <c r="R11" s="15">
        <v>154948624.30000001</v>
      </c>
      <c r="S11" s="15">
        <v>146793433.55000001</v>
      </c>
      <c r="T11" s="9" t="str">
        <f t="shared" si="3"/>
        <v>Abaixo do limite de alerta</v>
      </c>
      <c r="U11" s="9" t="s">
        <v>50</v>
      </c>
    </row>
    <row r="12" spans="1:21" x14ac:dyDescent="0.25">
      <c r="A12" s="9" t="str">
        <f t="shared" si="0"/>
        <v>Assembleia Legislativa|3º quad. 2024</v>
      </c>
      <c r="B12" s="9" t="s">
        <v>17</v>
      </c>
      <c r="C12" s="9" t="s">
        <v>18</v>
      </c>
      <c r="D12" s="9" t="s">
        <v>60</v>
      </c>
      <c r="E12" s="9" t="s">
        <v>48</v>
      </c>
      <c r="F12" s="9">
        <v>3</v>
      </c>
      <c r="G12" s="9" t="s">
        <v>7</v>
      </c>
      <c r="H12" s="9" t="s">
        <v>52</v>
      </c>
      <c r="I12" s="15">
        <v>146384174.05000001</v>
      </c>
      <c r="J12" s="15">
        <v>8857393483.2700005</v>
      </c>
      <c r="K12" s="10">
        <f t="shared" si="1"/>
        <v>1.6526777807319162E-2</v>
      </c>
      <c r="L12" s="16">
        <v>1.6500000000000001E-2</v>
      </c>
      <c r="M12" s="9" t="str">
        <f t="shared" si="2"/>
        <v>Sim</v>
      </c>
      <c r="N12" s="16">
        <v>1.84E-2</v>
      </c>
      <c r="O12" s="16">
        <v>1.7500000000000002E-2</v>
      </c>
      <c r="P12" s="16">
        <v>1.66E-2</v>
      </c>
      <c r="Q12" s="15">
        <v>162976040.09</v>
      </c>
      <c r="R12" s="15">
        <v>154827238.09</v>
      </c>
      <c r="S12" s="15">
        <v>146678436.08000001</v>
      </c>
      <c r="T12" s="9" t="str">
        <f t="shared" si="3"/>
        <v>Abaixo do limite de alerta</v>
      </c>
      <c r="U12" s="9" t="s">
        <v>50</v>
      </c>
    </row>
    <row r="13" spans="1:21" x14ac:dyDescent="0.25">
      <c r="A13" s="9" t="str">
        <f t="shared" si="0"/>
        <v>Assembleia Legislativa|1º quad. 2025</v>
      </c>
      <c r="B13" s="9" t="s">
        <v>17</v>
      </c>
      <c r="C13" s="9" t="s">
        <v>18</v>
      </c>
      <c r="D13" s="9" t="s">
        <v>60</v>
      </c>
      <c r="E13" s="9" t="s">
        <v>53</v>
      </c>
      <c r="F13" s="9">
        <v>1</v>
      </c>
      <c r="G13" s="9" t="s">
        <v>8</v>
      </c>
      <c r="H13" s="9" t="s">
        <v>54</v>
      </c>
      <c r="I13" s="15">
        <v>147978812.87</v>
      </c>
      <c r="J13" s="15">
        <v>9019744640.8199997</v>
      </c>
      <c r="K13" s="10">
        <f t="shared" si="1"/>
        <v>1.6406097817925253E-2</v>
      </c>
      <c r="L13" s="16">
        <v>1.6400000000000001E-2</v>
      </c>
      <c r="M13" s="9" t="str">
        <f t="shared" si="2"/>
        <v>Sim</v>
      </c>
      <c r="N13" s="16">
        <v>1.84E-2</v>
      </c>
      <c r="O13" s="16">
        <v>1.7500000000000002E-2</v>
      </c>
      <c r="P13" s="16">
        <v>1.66E-2</v>
      </c>
      <c r="Q13" s="15">
        <v>165963301.38999999</v>
      </c>
      <c r="R13" s="15">
        <v>157665136.31999999</v>
      </c>
      <c r="S13" s="15">
        <v>149366971.25</v>
      </c>
      <c r="T13" s="9" t="str">
        <f t="shared" si="3"/>
        <v>Abaixo do limite de alerta</v>
      </c>
      <c r="U13" s="9" t="s">
        <v>50</v>
      </c>
    </row>
    <row r="14" spans="1:21" x14ac:dyDescent="0.25">
      <c r="A14" s="9" t="str">
        <f t="shared" si="0"/>
        <v>Assembleia Legislativa|2º quad. 2025</v>
      </c>
      <c r="B14" s="9" t="s">
        <v>17</v>
      </c>
      <c r="C14" s="9" t="s">
        <v>18</v>
      </c>
      <c r="D14" s="9" t="s">
        <v>60</v>
      </c>
      <c r="E14" s="9" t="s">
        <v>53</v>
      </c>
      <c r="F14" s="9">
        <v>2</v>
      </c>
      <c r="G14" s="9" t="s">
        <v>9</v>
      </c>
      <c r="H14" s="9" t="s">
        <v>55</v>
      </c>
      <c r="I14" s="15">
        <v>146667491.31999999</v>
      </c>
      <c r="J14" s="15">
        <v>9133174252.3999996</v>
      </c>
      <c r="K14" s="10">
        <f t="shared" si="1"/>
        <v>1.6058764156553672E-2</v>
      </c>
      <c r="L14" s="16">
        <v>1.61E-2</v>
      </c>
      <c r="M14" s="9" t="str">
        <f t="shared" si="2"/>
        <v>Sim</v>
      </c>
      <c r="N14" s="16">
        <v>1.84E-2</v>
      </c>
      <c r="O14" s="16">
        <v>1.7500000000000002E-2</v>
      </c>
      <c r="P14" s="16">
        <v>1.66E-2</v>
      </c>
      <c r="Q14" s="15">
        <v>168050406.24000001</v>
      </c>
      <c r="R14" s="15">
        <v>159647885.93000001</v>
      </c>
      <c r="S14" s="15">
        <v>151245365.62</v>
      </c>
      <c r="T14" s="9" t="str">
        <f t="shared" si="3"/>
        <v>Abaixo do limite de alerta</v>
      </c>
      <c r="U14" s="9" t="s">
        <v>50</v>
      </c>
    </row>
    <row r="15" spans="1:21" x14ac:dyDescent="0.25">
      <c r="A15" s="9" t="str">
        <f t="shared" si="0"/>
        <v>Assembleia Legislativa|3º quad. 2025</v>
      </c>
      <c r="B15" s="9" t="s">
        <v>17</v>
      </c>
      <c r="C15" s="9" t="s">
        <v>18</v>
      </c>
      <c r="D15" s="9" t="s">
        <v>60</v>
      </c>
      <c r="E15" s="9" t="s">
        <v>53</v>
      </c>
      <c r="F15" s="9">
        <v>3</v>
      </c>
      <c r="G15" s="9" t="s">
        <v>10</v>
      </c>
      <c r="H15" s="9" t="s">
        <v>56</v>
      </c>
      <c r="I15" s="15">
        <v>153592169.43000001</v>
      </c>
      <c r="J15" s="15">
        <v>9693533943.3799992</v>
      </c>
      <c r="K15" s="10">
        <f t="shared" si="1"/>
        <v>1.5844806478951121E-2</v>
      </c>
      <c r="L15" s="16">
        <v>1.5800000000000002E-2</v>
      </c>
      <c r="M15" s="9" t="str">
        <f t="shared" si="2"/>
        <v>Sim</v>
      </c>
      <c r="N15" s="16">
        <v>1.84E-2</v>
      </c>
      <c r="O15" s="16">
        <v>1.7500000000000002E-2</v>
      </c>
      <c r="P15" s="16">
        <v>1.66E-2</v>
      </c>
      <c r="Q15" s="15">
        <v>178338131.37</v>
      </c>
      <c r="R15" s="15">
        <v>169421224.80000001</v>
      </c>
      <c r="S15" s="15">
        <v>160504318.22999999</v>
      </c>
      <c r="T15" s="9" t="str">
        <f t="shared" si="3"/>
        <v>Abaixo do limite de alerta</v>
      </c>
      <c r="U15" s="9" t="s">
        <v>50</v>
      </c>
    </row>
    <row r="16" spans="1:21" x14ac:dyDescent="0.25">
      <c r="A16" s="9" t="str">
        <f t="shared" si="0"/>
        <v>Assembleia Legislativa|1º quad. 2026</v>
      </c>
      <c r="B16" s="9" t="s">
        <v>17</v>
      </c>
      <c r="C16" s="9" t="s">
        <v>18</v>
      </c>
      <c r="D16" s="9" t="s">
        <v>60</v>
      </c>
      <c r="E16" s="9" t="s">
        <v>57</v>
      </c>
      <c r="F16" s="9">
        <v>1</v>
      </c>
      <c r="G16" s="9" t="s">
        <v>11</v>
      </c>
      <c r="H16" s="9" t="s">
        <v>58</v>
      </c>
      <c r="I16" s="15">
        <v>154291602.15000001</v>
      </c>
      <c r="J16" s="15">
        <v>10080453473.65</v>
      </c>
      <c r="K16" s="10">
        <f t="shared" si="1"/>
        <v>1.5306017983547426E-2</v>
      </c>
      <c r="L16" s="16">
        <v>1.5299999999999999E-2</v>
      </c>
      <c r="M16" s="9" t="str">
        <f t="shared" si="2"/>
        <v>Sim</v>
      </c>
      <c r="N16" s="16">
        <v>1.84E-2</v>
      </c>
      <c r="O16" s="16">
        <v>1.7500000000000002E-2</v>
      </c>
      <c r="P16" s="16">
        <v>1.66E-2</v>
      </c>
      <c r="Q16" s="15">
        <v>185480343.91999999</v>
      </c>
      <c r="R16" s="15">
        <v>176206326.72</v>
      </c>
      <c r="S16" s="15">
        <v>166932309.53</v>
      </c>
      <c r="T16" s="9" t="str">
        <f t="shared" si="3"/>
        <v>Abaixo do limite de alerta</v>
      </c>
      <c r="U16" s="9" t="s">
        <v>50</v>
      </c>
    </row>
    <row r="17" spans="1:21" x14ac:dyDescent="0.25">
      <c r="A17" s="9" t="str">
        <f t="shared" si="0"/>
        <v>Assembleia Legislativa|2º quad. 2026</v>
      </c>
      <c r="B17" s="9" t="s">
        <v>17</v>
      </c>
      <c r="C17" s="9" t="s">
        <v>18</v>
      </c>
      <c r="D17" s="9" t="s">
        <v>60</v>
      </c>
      <c r="E17" s="9" t="s">
        <v>57</v>
      </c>
      <c r="F17" s="9">
        <v>2</v>
      </c>
      <c r="G17" s="9" t="s">
        <v>12</v>
      </c>
      <c r="H17" s="9" t="s">
        <v>59</v>
      </c>
      <c r="I17" s="17"/>
      <c r="J17" s="15">
        <v>10832918771.42</v>
      </c>
      <c r="K17" s="10" t="str">
        <f t="shared" si="1"/>
        <v/>
      </c>
      <c r="L17" s="10"/>
      <c r="M17" s="9" t="str">
        <f t="shared" si="2"/>
        <v>Não declarado</v>
      </c>
      <c r="N17" s="10"/>
      <c r="O17" s="10"/>
      <c r="P17" s="10"/>
      <c r="Q17" s="17"/>
      <c r="R17" s="17"/>
      <c r="S17" s="17"/>
      <c r="T17" s="9" t="str">
        <f t="shared" si="3"/>
        <v>Sem dado</v>
      </c>
      <c r="U17" s="9"/>
    </row>
    <row r="18" spans="1:21" x14ac:dyDescent="0.25">
      <c r="A18" s="9" t="str">
        <f t="shared" si="0"/>
        <v>Tribunal de Justiça|1º quad. 2024</v>
      </c>
      <c r="B18" s="9" t="s">
        <v>19</v>
      </c>
      <c r="C18" s="9" t="s">
        <v>20</v>
      </c>
      <c r="D18" s="9" t="s">
        <v>61</v>
      </c>
      <c r="E18" s="9" t="s">
        <v>48</v>
      </c>
      <c r="F18" s="9">
        <v>1</v>
      </c>
      <c r="G18" s="9" t="s">
        <v>5</v>
      </c>
      <c r="H18" s="9" t="s">
        <v>49</v>
      </c>
      <c r="I18" s="15">
        <v>380222650.18000001</v>
      </c>
      <c r="J18" s="15">
        <v>8361681876.1099997</v>
      </c>
      <c r="K18" s="10">
        <f t="shared" si="1"/>
        <v>4.5472030126657514E-2</v>
      </c>
      <c r="L18" s="16">
        <v>4.5499999999999999E-2</v>
      </c>
      <c r="M18" s="9" t="str">
        <f t="shared" si="2"/>
        <v>Sim</v>
      </c>
      <c r="N18" s="16">
        <v>0.06</v>
      </c>
      <c r="O18" s="16">
        <v>5.7000000000000002E-2</v>
      </c>
      <c r="P18" s="16">
        <v>5.4000000000000013E-2</v>
      </c>
      <c r="Q18" s="15">
        <v>501700912.56999999</v>
      </c>
      <c r="R18" s="15">
        <v>476615866.94</v>
      </c>
      <c r="S18" s="15">
        <v>451530821.31</v>
      </c>
      <c r="T18" s="9" t="str">
        <f t="shared" si="3"/>
        <v>Abaixo do limite de alerta</v>
      </c>
      <c r="U18" s="9" t="s">
        <v>50</v>
      </c>
    </row>
    <row r="19" spans="1:21" x14ac:dyDescent="0.25">
      <c r="A19" s="9" t="str">
        <f t="shared" si="0"/>
        <v>Tribunal de Justiça|2º quad. 2024</v>
      </c>
      <c r="B19" s="9" t="s">
        <v>19</v>
      </c>
      <c r="C19" s="9" t="s">
        <v>20</v>
      </c>
      <c r="D19" s="9" t="s">
        <v>61</v>
      </c>
      <c r="E19" s="9" t="s">
        <v>48</v>
      </c>
      <c r="F19" s="9">
        <v>2</v>
      </c>
      <c r="G19" s="9" t="s">
        <v>6</v>
      </c>
      <c r="H19" s="9" t="s">
        <v>51</v>
      </c>
      <c r="I19" s="15">
        <v>394702965.56</v>
      </c>
      <c r="J19" s="15">
        <v>8864337774.2700005</v>
      </c>
      <c r="K19" s="10">
        <f t="shared" si="1"/>
        <v>4.4527067403239237E-2</v>
      </c>
      <c r="L19" s="16">
        <v>4.4499999999999998E-2</v>
      </c>
      <c r="M19" s="9" t="str">
        <f t="shared" si="2"/>
        <v>Sim</v>
      </c>
      <c r="N19" s="16">
        <v>0.06</v>
      </c>
      <c r="O19" s="16">
        <v>5.7000000000000002E-2</v>
      </c>
      <c r="P19" s="16">
        <v>5.4000000000000013E-2</v>
      </c>
      <c r="Q19" s="15">
        <v>531860266.45999998</v>
      </c>
      <c r="R19" s="15">
        <v>505267253.13999999</v>
      </c>
      <c r="S19" s="15">
        <v>478674239.81</v>
      </c>
      <c r="T19" s="9" t="str">
        <f t="shared" si="3"/>
        <v>Abaixo do limite de alerta</v>
      </c>
      <c r="U19" s="9" t="s">
        <v>50</v>
      </c>
    </row>
    <row r="20" spans="1:21" x14ac:dyDescent="0.25">
      <c r="A20" s="9" t="str">
        <f t="shared" si="0"/>
        <v>Tribunal de Justiça|3º quad. 2024</v>
      </c>
      <c r="B20" s="9" t="s">
        <v>19</v>
      </c>
      <c r="C20" s="9" t="s">
        <v>20</v>
      </c>
      <c r="D20" s="9" t="s">
        <v>61</v>
      </c>
      <c r="E20" s="9" t="s">
        <v>48</v>
      </c>
      <c r="F20" s="9">
        <v>3</v>
      </c>
      <c r="G20" s="9" t="s">
        <v>7</v>
      </c>
      <c r="H20" s="9" t="s">
        <v>52</v>
      </c>
      <c r="I20" s="15">
        <v>409563474.64999998</v>
      </c>
      <c r="J20" s="15">
        <v>8857393483.2700005</v>
      </c>
      <c r="K20" s="10">
        <f t="shared" si="1"/>
        <v>4.6239729038073177E-2</v>
      </c>
      <c r="L20" s="16">
        <v>4.6199999999999998E-2</v>
      </c>
      <c r="M20" s="9" t="str">
        <f t="shared" si="2"/>
        <v>Sim</v>
      </c>
      <c r="N20" s="16">
        <v>0.06</v>
      </c>
      <c r="O20" s="16">
        <v>5.7000000000000002E-2</v>
      </c>
      <c r="P20" s="16">
        <v>5.4000000000000013E-2</v>
      </c>
      <c r="Q20" s="15">
        <v>531443609</v>
      </c>
      <c r="R20" s="15">
        <v>504871428.55000001</v>
      </c>
      <c r="S20" s="15">
        <v>478299248.10000002</v>
      </c>
      <c r="T20" s="9" t="str">
        <f t="shared" si="3"/>
        <v>Abaixo do limite de alerta</v>
      </c>
      <c r="U20" s="9" t="s">
        <v>50</v>
      </c>
    </row>
    <row r="21" spans="1:21" x14ac:dyDescent="0.25">
      <c r="A21" s="9" t="str">
        <f t="shared" si="0"/>
        <v>Tribunal de Justiça|1º quad. 2025</v>
      </c>
      <c r="B21" s="9" t="s">
        <v>19</v>
      </c>
      <c r="C21" s="9" t="s">
        <v>20</v>
      </c>
      <c r="D21" s="9" t="s">
        <v>61</v>
      </c>
      <c r="E21" s="9" t="s">
        <v>53</v>
      </c>
      <c r="F21" s="9">
        <v>1</v>
      </c>
      <c r="G21" s="9" t="s">
        <v>8</v>
      </c>
      <c r="H21" s="9" t="s">
        <v>54</v>
      </c>
      <c r="I21" s="15">
        <v>425330729.05000001</v>
      </c>
      <c r="J21" s="15">
        <v>9019744640.8199997</v>
      </c>
      <c r="K21" s="10">
        <f t="shared" si="1"/>
        <v>4.7155517809796058E-2</v>
      </c>
      <c r="L21" s="16">
        <v>4.7199999999999999E-2</v>
      </c>
      <c r="M21" s="9" t="str">
        <f t="shared" si="2"/>
        <v>Sim</v>
      </c>
      <c r="N21" s="16">
        <v>0.06</v>
      </c>
      <c r="O21" s="16">
        <v>5.7000000000000002E-2</v>
      </c>
      <c r="P21" s="16">
        <v>5.4000000000000013E-2</v>
      </c>
      <c r="Q21" s="15">
        <v>541184678.45000005</v>
      </c>
      <c r="R21" s="15">
        <v>514125444.52999997</v>
      </c>
      <c r="S21" s="15">
        <v>487066210.61000001</v>
      </c>
      <c r="T21" s="9" t="str">
        <f t="shared" si="3"/>
        <v>Abaixo do limite de alerta</v>
      </c>
      <c r="U21" s="9" t="s">
        <v>50</v>
      </c>
    </row>
    <row r="22" spans="1:21" x14ac:dyDescent="0.25">
      <c r="A22" s="9" t="str">
        <f t="shared" si="0"/>
        <v>Tribunal de Justiça|2º quad. 2025</v>
      </c>
      <c r="B22" s="9" t="s">
        <v>19</v>
      </c>
      <c r="C22" s="9" t="s">
        <v>20</v>
      </c>
      <c r="D22" s="9" t="s">
        <v>61</v>
      </c>
      <c r="E22" s="9" t="s">
        <v>53</v>
      </c>
      <c r="F22" s="9">
        <v>2</v>
      </c>
      <c r="G22" s="9" t="s">
        <v>9</v>
      </c>
      <c r="H22" s="9" t="s">
        <v>55</v>
      </c>
      <c r="I22" s="15">
        <v>446994090.62</v>
      </c>
      <c r="J22" s="15">
        <v>9133174252.4799995</v>
      </c>
      <c r="K22" s="10">
        <f t="shared" si="1"/>
        <v>4.8941811276470973E-2</v>
      </c>
      <c r="L22" s="16">
        <v>4.8899999999999999E-2</v>
      </c>
      <c r="M22" s="9" t="str">
        <f t="shared" si="2"/>
        <v>Sim</v>
      </c>
      <c r="N22" s="16">
        <v>0.06</v>
      </c>
      <c r="O22" s="16">
        <v>5.7000000000000002E-2</v>
      </c>
      <c r="P22" s="16">
        <v>5.4000000000000013E-2</v>
      </c>
      <c r="Q22" s="15">
        <v>547990455.14999998</v>
      </c>
      <c r="R22" s="15">
        <v>520590932.38999999</v>
      </c>
      <c r="S22" s="15">
        <v>493191409.63999999</v>
      </c>
      <c r="T22" s="9" t="str">
        <f t="shared" si="3"/>
        <v>Abaixo do limite de alerta</v>
      </c>
      <c r="U22" s="9" t="s">
        <v>50</v>
      </c>
    </row>
    <row r="23" spans="1:21" x14ac:dyDescent="0.25">
      <c r="A23" s="9" t="str">
        <f t="shared" si="0"/>
        <v>Tribunal de Justiça|3º quad. 2025</v>
      </c>
      <c r="B23" s="9" t="s">
        <v>19</v>
      </c>
      <c r="C23" s="9" t="s">
        <v>20</v>
      </c>
      <c r="D23" s="9" t="s">
        <v>61</v>
      </c>
      <c r="E23" s="9" t="s">
        <v>53</v>
      </c>
      <c r="F23" s="9">
        <v>3</v>
      </c>
      <c r="G23" s="9" t="s">
        <v>10</v>
      </c>
      <c r="H23" s="9" t="s">
        <v>56</v>
      </c>
      <c r="I23" s="15">
        <v>445910295.23000002</v>
      </c>
      <c r="J23" s="15">
        <v>9693533943.3799992</v>
      </c>
      <c r="K23" s="10">
        <f t="shared" si="1"/>
        <v>4.6000797834367245E-2</v>
      </c>
      <c r="L23" s="16">
        <v>4.5999999999999999E-2</v>
      </c>
      <c r="M23" s="9" t="str">
        <f t="shared" si="2"/>
        <v>Sim</v>
      </c>
      <c r="N23" s="16">
        <v>0.06</v>
      </c>
      <c r="O23" s="16">
        <v>5.7000000000000002E-2</v>
      </c>
      <c r="P23" s="16">
        <v>5.4000000000000013E-2</v>
      </c>
      <c r="Q23" s="15">
        <v>581612036.60000002</v>
      </c>
      <c r="R23" s="15">
        <v>552531434.76999998</v>
      </c>
      <c r="S23" s="15">
        <v>523450832.94</v>
      </c>
      <c r="T23" s="9" t="str">
        <f t="shared" si="3"/>
        <v>Abaixo do limite de alerta</v>
      </c>
      <c r="U23" s="9" t="s">
        <v>50</v>
      </c>
    </row>
    <row r="24" spans="1:21" x14ac:dyDescent="0.25">
      <c r="A24" s="9" t="str">
        <f t="shared" si="0"/>
        <v>Tribunal de Justiça|1º quad. 2026</v>
      </c>
      <c r="B24" s="9" t="s">
        <v>19</v>
      </c>
      <c r="C24" s="9" t="s">
        <v>20</v>
      </c>
      <c r="D24" s="9" t="s">
        <v>61</v>
      </c>
      <c r="E24" s="9" t="s">
        <v>57</v>
      </c>
      <c r="F24" s="9">
        <v>1</v>
      </c>
      <c r="G24" s="9" t="s">
        <v>11</v>
      </c>
      <c r="H24" s="9" t="s">
        <v>58</v>
      </c>
      <c r="I24" s="15">
        <v>485906765.91000003</v>
      </c>
      <c r="J24" s="15">
        <v>10091046473.65</v>
      </c>
      <c r="K24" s="10">
        <f t="shared" si="1"/>
        <v>4.8152267178514369E-2</v>
      </c>
      <c r="L24" s="16">
        <v>4.82E-2</v>
      </c>
      <c r="M24" s="9" t="str">
        <f t="shared" si="2"/>
        <v>Sim</v>
      </c>
      <c r="N24" s="16">
        <v>0.06</v>
      </c>
      <c r="O24" s="16">
        <v>5.7000000000000002E-2</v>
      </c>
      <c r="P24" s="16">
        <v>5.4000000000000013E-2</v>
      </c>
      <c r="Q24" s="15">
        <v>605462788.41999996</v>
      </c>
      <c r="R24" s="15">
        <v>575189649</v>
      </c>
      <c r="S24" s="15">
        <v>544916509.58000004</v>
      </c>
      <c r="T24" s="9" t="str">
        <f t="shared" si="3"/>
        <v>Abaixo do limite de alerta</v>
      </c>
      <c r="U24" s="9" t="s">
        <v>50</v>
      </c>
    </row>
    <row r="25" spans="1:21" x14ac:dyDescent="0.25">
      <c r="A25" s="9" t="str">
        <f t="shared" si="0"/>
        <v>Tribunal de Justiça|2º quad. 2026</v>
      </c>
      <c r="B25" s="9" t="s">
        <v>19</v>
      </c>
      <c r="C25" s="9" t="s">
        <v>20</v>
      </c>
      <c r="D25" s="9" t="s">
        <v>61</v>
      </c>
      <c r="E25" s="9" t="s">
        <v>57</v>
      </c>
      <c r="F25" s="9">
        <v>2</v>
      </c>
      <c r="G25" s="9" t="s">
        <v>12</v>
      </c>
      <c r="H25" s="9" t="s">
        <v>59</v>
      </c>
      <c r="I25" s="15">
        <v>481890090.20999998</v>
      </c>
      <c r="J25" s="15">
        <v>10832918771.42</v>
      </c>
      <c r="K25" s="10">
        <f t="shared" si="1"/>
        <v>4.4483864448549987E-2</v>
      </c>
      <c r="L25" s="16">
        <v>4.4499999999999998E-2</v>
      </c>
      <c r="M25" s="9" t="str">
        <f t="shared" si="2"/>
        <v>Sim</v>
      </c>
      <c r="N25" s="16">
        <v>0.06</v>
      </c>
      <c r="O25" s="16">
        <v>5.7000000000000002E-2</v>
      </c>
      <c r="P25" s="16">
        <v>5.4000000000000013E-2</v>
      </c>
      <c r="Q25" s="15">
        <v>649975126.28999996</v>
      </c>
      <c r="R25" s="15">
        <v>617476369.98000002</v>
      </c>
      <c r="S25" s="15">
        <v>584977613.65999997</v>
      </c>
      <c r="T25" s="9" t="str">
        <f t="shared" si="3"/>
        <v>Abaixo do limite de alerta</v>
      </c>
      <c r="U25" s="9" t="s">
        <v>50</v>
      </c>
    </row>
    <row r="26" spans="1:21" x14ac:dyDescent="0.25">
      <c r="A26" s="9" t="str">
        <f t="shared" si="0"/>
        <v>Tribunal de Contas|1º quad. 2024</v>
      </c>
      <c r="B26" s="9" t="s">
        <v>21</v>
      </c>
      <c r="C26" s="9" t="s">
        <v>21</v>
      </c>
      <c r="D26" s="9" t="s">
        <v>62</v>
      </c>
      <c r="E26" s="9" t="s">
        <v>48</v>
      </c>
      <c r="F26" s="9">
        <v>1</v>
      </c>
      <c r="G26" s="9" t="s">
        <v>5</v>
      </c>
      <c r="H26" s="9" t="s">
        <v>49</v>
      </c>
      <c r="I26" s="15">
        <v>56077155.789999999</v>
      </c>
      <c r="J26" s="15">
        <v>8361681876.1099997</v>
      </c>
      <c r="K26" s="10">
        <f t="shared" si="1"/>
        <v>6.7064445431985354E-3</v>
      </c>
      <c r="L26" s="16">
        <v>6.7000000000000002E-3</v>
      </c>
      <c r="M26" s="9" t="str">
        <f t="shared" si="2"/>
        <v>Sim</v>
      </c>
      <c r="N26" s="16">
        <v>1.1599999999999999E-2</v>
      </c>
      <c r="O26" s="16">
        <v>1.0999999999999999E-2</v>
      </c>
      <c r="P26" s="16">
        <v>1.04E-2</v>
      </c>
      <c r="Q26" s="15">
        <v>96995509.760000005</v>
      </c>
      <c r="R26" s="15">
        <v>92145734.269999996</v>
      </c>
      <c r="S26" s="15">
        <v>87295958.780000001</v>
      </c>
      <c r="T26" s="9" t="str">
        <f t="shared" si="3"/>
        <v>Abaixo do limite de alerta</v>
      </c>
      <c r="U26" s="9" t="s">
        <v>50</v>
      </c>
    </row>
    <row r="27" spans="1:21" x14ac:dyDescent="0.25">
      <c r="A27" s="9" t="str">
        <f t="shared" si="0"/>
        <v>Tribunal de Contas|2º quad. 2024</v>
      </c>
      <c r="B27" s="9" t="s">
        <v>21</v>
      </c>
      <c r="C27" s="9" t="s">
        <v>21</v>
      </c>
      <c r="D27" s="9" t="s">
        <v>62</v>
      </c>
      <c r="E27" s="9" t="s">
        <v>48</v>
      </c>
      <c r="F27" s="9">
        <v>2</v>
      </c>
      <c r="G27" s="9" t="s">
        <v>6</v>
      </c>
      <c r="H27" s="9" t="s">
        <v>51</v>
      </c>
      <c r="I27" s="15">
        <v>59564616.520000003</v>
      </c>
      <c r="J27" s="15">
        <v>8864337774.2700005</v>
      </c>
      <c r="K27" s="10">
        <f t="shared" si="1"/>
        <v>6.719578837901999E-3</v>
      </c>
      <c r="L27" s="16">
        <v>6.7000000000000002E-3</v>
      </c>
      <c r="M27" s="9" t="str">
        <f t="shared" si="2"/>
        <v>Sim</v>
      </c>
      <c r="N27" s="16">
        <v>1.1599999999999999E-2</v>
      </c>
      <c r="O27" s="16">
        <v>1.0999999999999999E-2</v>
      </c>
      <c r="P27" s="16">
        <v>1.04E-2</v>
      </c>
      <c r="Q27" s="15">
        <v>102826318.18000001</v>
      </c>
      <c r="R27" s="15">
        <v>97685002.269999996</v>
      </c>
      <c r="S27" s="15">
        <v>92543686.359999999</v>
      </c>
      <c r="T27" s="9" t="str">
        <f t="shared" si="3"/>
        <v>Abaixo do limite de alerta</v>
      </c>
      <c r="U27" s="9" t="s">
        <v>50</v>
      </c>
    </row>
    <row r="28" spans="1:21" x14ac:dyDescent="0.25">
      <c r="A28" s="9" t="str">
        <f t="shared" si="0"/>
        <v>Tribunal de Contas|3º quad. 2024</v>
      </c>
      <c r="B28" s="9" t="s">
        <v>21</v>
      </c>
      <c r="C28" s="9" t="s">
        <v>21</v>
      </c>
      <c r="D28" s="9" t="s">
        <v>62</v>
      </c>
      <c r="E28" s="9" t="s">
        <v>48</v>
      </c>
      <c r="F28" s="9">
        <v>3</v>
      </c>
      <c r="G28" s="9" t="s">
        <v>7</v>
      </c>
      <c r="H28" s="9" t="s">
        <v>52</v>
      </c>
      <c r="I28" s="15">
        <v>59863095.219999999</v>
      </c>
      <c r="J28" s="15">
        <v>8857393483</v>
      </c>
      <c r="K28" s="10">
        <f t="shared" si="1"/>
        <v>6.7585453141373103E-3</v>
      </c>
      <c r="L28" s="16">
        <v>6.7999999999999996E-3</v>
      </c>
      <c r="M28" s="9" t="str">
        <f t="shared" si="2"/>
        <v>Sim</v>
      </c>
      <c r="N28" s="16">
        <v>1.1599999999999999E-2</v>
      </c>
      <c r="O28" s="16">
        <v>1.0999999999999999E-2</v>
      </c>
      <c r="P28" s="16">
        <v>1.04E-2</v>
      </c>
      <c r="Q28" s="15">
        <v>103516305.59999999</v>
      </c>
      <c r="R28" s="15">
        <v>98340490.319999993</v>
      </c>
      <c r="S28" s="15">
        <v>93164675.040000007</v>
      </c>
      <c r="T28" s="9" t="str">
        <f t="shared" si="3"/>
        <v>Abaixo do limite de alerta</v>
      </c>
      <c r="U28" s="9" t="s">
        <v>50</v>
      </c>
    </row>
    <row r="29" spans="1:21" x14ac:dyDescent="0.25">
      <c r="A29" s="9" t="str">
        <f t="shared" si="0"/>
        <v>Tribunal de Contas|1º quad. 2025</v>
      </c>
      <c r="B29" s="9" t="s">
        <v>21</v>
      </c>
      <c r="C29" s="9" t="s">
        <v>21</v>
      </c>
      <c r="D29" s="9" t="s">
        <v>62</v>
      </c>
      <c r="E29" s="9" t="s">
        <v>53</v>
      </c>
      <c r="F29" s="9">
        <v>1</v>
      </c>
      <c r="G29" s="9" t="s">
        <v>8</v>
      </c>
      <c r="H29" s="9" t="s">
        <v>54</v>
      </c>
      <c r="I29" s="15">
        <v>62295043.43</v>
      </c>
      <c r="J29" s="15">
        <v>9019744640.8199997</v>
      </c>
      <c r="K29" s="10">
        <f t="shared" si="1"/>
        <v>6.9065196311740209E-3</v>
      </c>
      <c r="L29" s="16">
        <v>6.8999999999999999E-3</v>
      </c>
      <c r="M29" s="9" t="str">
        <f t="shared" si="2"/>
        <v>Sim</v>
      </c>
      <c r="N29" s="16">
        <v>1.1599999999999999E-2</v>
      </c>
      <c r="O29" s="16">
        <v>1.0999999999999999E-2</v>
      </c>
      <c r="P29" s="16">
        <v>1.04E-2</v>
      </c>
      <c r="Q29" s="15">
        <v>104629037.83</v>
      </c>
      <c r="R29" s="15">
        <v>99397585.939999998</v>
      </c>
      <c r="S29" s="15">
        <v>94166134.049999997</v>
      </c>
      <c r="T29" s="9" t="str">
        <f t="shared" si="3"/>
        <v>Abaixo do limite de alerta</v>
      </c>
      <c r="U29" s="9" t="s">
        <v>50</v>
      </c>
    </row>
    <row r="30" spans="1:21" x14ac:dyDescent="0.25">
      <c r="A30" s="9" t="str">
        <f t="shared" si="0"/>
        <v>Tribunal de Contas|2º quad. 2025</v>
      </c>
      <c r="B30" s="9" t="s">
        <v>21</v>
      </c>
      <c r="C30" s="9" t="s">
        <v>21</v>
      </c>
      <c r="D30" s="9" t="s">
        <v>62</v>
      </c>
      <c r="E30" s="9" t="s">
        <v>53</v>
      </c>
      <c r="F30" s="9">
        <v>2</v>
      </c>
      <c r="G30" s="9" t="s">
        <v>9</v>
      </c>
      <c r="H30" s="9" t="s">
        <v>55</v>
      </c>
      <c r="I30" s="15">
        <v>63769351.219999999</v>
      </c>
      <c r="J30" s="15">
        <v>9133174252.4799995</v>
      </c>
      <c r="K30" s="10">
        <f t="shared" si="1"/>
        <v>6.9821673666944683E-3</v>
      </c>
      <c r="L30" s="16">
        <v>6.9999999999999993E-3</v>
      </c>
      <c r="M30" s="9" t="str">
        <f t="shared" si="2"/>
        <v>Sim</v>
      </c>
      <c r="N30" s="16">
        <v>1.1599999999999999E-2</v>
      </c>
      <c r="O30" s="16">
        <v>1.0999999999999999E-2</v>
      </c>
      <c r="P30" s="16">
        <v>1.04E-2</v>
      </c>
      <c r="Q30" s="15">
        <v>105944821.33</v>
      </c>
      <c r="R30" s="15">
        <v>100647580.26000001</v>
      </c>
      <c r="S30" s="15">
        <v>95350339.200000003</v>
      </c>
      <c r="T30" s="9" t="str">
        <f t="shared" si="3"/>
        <v>Abaixo do limite de alerta</v>
      </c>
      <c r="U30" s="9" t="s">
        <v>50</v>
      </c>
    </row>
    <row r="31" spans="1:21" x14ac:dyDescent="0.25">
      <c r="A31" s="9" t="str">
        <f t="shared" si="0"/>
        <v>Tribunal de Contas|3º quad. 2025</v>
      </c>
      <c r="B31" s="9" t="s">
        <v>21</v>
      </c>
      <c r="C31" s="9" t="s">
        <v>21</v>
      </c>
      <c r="D31" s="9" t="s">
        <v>62</v>
      </c>
      <c r="E31" s="9" t="s">
        <v>53</v>
      </c>
      <c r="F31" s="9">
        <v>3</v>
      </c>
      <c r="G31" s="9" t="s">
        <v>10</v>
      </c>
      <c r="H31" s="9" t="s">
        <v>56</v>
      </c>
      <c r="I31" s="15">
        <v>64475012.18</v>
      </c>
      <c r="J31" s="15">
        <v>9693533943.3799992</v>
      </c>
      <c r="K31" s="10">
        <f t="shared" si="1"/>
        <v>6.6513422820406887E-3</v>
      </c>
      <c r="L31" s="16">
        <v>6.7000000000000002E-3</v>
      </c>
      <c r="M31" s="9" t="str">
        <f t="shared" si="2"/>
        <v>Sim</v>
      </c>
      <c r="N31" s="16">
        <v>1.1599999999999999E-2</v>
      </c>
      <c r="O31" s="16">
        <v>1.0999999999999999E-2</v>
      </c>
      <c r="P31" s="16">
        <v>1.04E-2</v>
      </c>
      <c r="Q31" s="15">
        <v>112444993.73999999</v>
      </c>
      <c r="R31" s="15">
        <v>106822744.05</v>
      </c>
      <c r="S31" s="15">
        <v>101200494.37</v>
      </c>
      <c r="T31" s="9" t="str">
        <f t="shared" si="3"/>
        <v>Abaixo do limite de alerta</v>
      </c>
      <c r="U31" s="9" t="s">
        <v>50</v>
      </c>
    </row>
    <row r="32" spans="1:21" x14ac:dyDescent="0.25">
      <c r="A32" s="9" t="str">
        <f t="shared" si="0"/>
        <v>Tribunal de Contas|1º quad. 2026</v>
      </c>
      <c r="B32" s="9" t="s">
        <v>21</v>
      </c>
      <c r="C32" s="9" t="s">
        <v>21</v>
      </c>
      <c r="D32" s="9" t="s">
        <v>62</v>
      </c>
      <c r="E32" s="9" t="s">
        <v>57</v>
      </c>
      <c r="F32" s="9">
        <v>1</v>
      </c>
      <c r="G32" s="9" t="s">
        <v>11</v>
      </c>
      <c r="H32" s="9" t="s">
        <v>58</v>
      </c>
      <c r="I32" s="15">
        <v>66226769.359999999</v>
      </c>
      <c r="J32" s="15">
        <v>10091046473.65</v>
      </c>
      <c r="K32" s="10">
        <f t="shared" si="1"/>
        <v>6.5629238288549205E-3</v>
      </c>
      <c r="L32" s="16">
        <v>6.6E-3</v>
      </c>
      <c r="M32" s="9" t="str">
        <f t="shared" si="2"/>
        <v>Sim</v>
      </c>
      <c r="N32" s="16">
        <v>1.1599999999999999E-2</v>
      </c>
      <c r="O32" s="16">
        <v>1.0999999999999999E-2</v>
      </c>
      <c r="P32" s="16">
        <v>1.04E-2</v>
      </c>
      <c r="Q32" s="15">
        <v>117056139.09</v>
      </c>
      <c r="R32" s="15">
        <v>111203332.14</v>
      </c>
      <c r="S32" s="15">
        <v>105350525.18000001</v>
      </c>
      <c r="T32" s="9" t="str">
        <f t="shared" si="3"/>
        <v>Abaixo do limite de alerta</v>
      </c>
      <c r="U32" s="9" t="s">
        <v>50</v>
      </c>
    </row>
    <row r="33" spans="1:21" x14ac:dyDescent="0.25">
      <c r="A33" s="9" t="str">
        <f t="shared" si="0"/>
        <v>Tribunal de Contas|2º quad. 2026</v>
      </c>
      <c r="B33" s="9" t="s">
        <v>21</v>
      </c>
      <c r="C33" s="9" t="s">
        <v>21</v>
      </c>
      <c r="D33" s="9" t="s">
        <v>62</v>
      </c>
      <c r="E33" s="9" t="s">
        <v>57</v>
      </c>
      <c r="F33" s="9">
        <v>2</v>
      </c>
      <c r="G33" s="9" t="s">
        <v>12</v>
      </c>
      <c r="H33" s="9" t="s">
        <v>59</v>
      </c>
      <c r="I33" s="15">
        <v>67443714.689999998</v>
      </c>
      <c r="J33" s="15">
        <v>10832918771.42</v>
      </c>
      <c r="K33" s="10">
        <f t="shared" si="1"/>
        <v>6.2258119084150892E-3</v>
      </c>
      <c r="L33" s="16">
        <v>6.1999999999999998E-3</v>
      </c>
      <c r="M33" s="9" t="str">
        <f t="shared" si="2"/>
        <v>Sim</v>
      </c>
      <c r="N33" s="16">
        <v>1.1599999999999999E-2</v>
      </c>
      <c r="O33" s="16">
        <v>1.0999999999999999E-2</v>
      </c>
      <c r="P33" s="16">
        <v>1.04E-2</v>
      </c>
      <c r="Q33" s="15">
        <v>125661857.75</v>
      </c>
      <c r="R33" s="15">
        <v>119378764.86</v>
      </c>
      <c r="S33" s="15">
        <v>113095671.98</v>
      </c>
      <c r="T33" s="9" t="str">
        <f t="shared" si="3"/>
        <v>Abaixo do limite de alerta</v>
      </c>
      <c r="U33" s="9" t="s">
        <v>50</v>
      </c>
    </row>
    <row r="34" spans="1:21" x14ac:dyDescent="0.25">
      <c r="A34" s="9" t="str">
        <f t="shared" si="0"/>
        <v>Defensoria Pública|1º quad. 2024</v>
      </c>
      <c r="B34" s="9" t="s">
        <v>22</v>
      </c>
      <c r="C34" s="9" t="s">
        <v>22</v>
      </c>
      <c r="D34" s="9" t="s">
        <v>63</v>
      </c>
      <c r="E34" s="9" t="s">
        <v>48</v>
      </c>
      <c r="F34" s="9">
        <v>1</v>
      </c>
      <c r="G34" s="9" t="s">
        <v>5</v>
      </c>
      <c r="H34" s="9" t="s">
        <v>49</v>
      </c>
      <c r="I34" s="15">
        <v>48710216.659999996</v>
      </c>
      <c r="J34" s="15">
        <v>8361681876.1099997</v>
      </c>
      <c r="K34" s="10">
        <f t="shared" si="1"/>
        <v>5.8254089765324632E-3</v>
      </c>
      <c r="L34" s="10"/>
      <c r="M34" s="9" t="str">
        <f t="shared" si="2"/>
        <v>Não declarado</v>
      </c>
      <c r="N34" s="10"/>
      <c r="O34" s="10"/>
      <c r="P34" s="10"/>
      <c r="Q34" s="17"/>
      <c r="R34" s="17"/>
      <c r="S34" s="17"/>
      <c r="T34" s="9" t="str">
        <f t="shared" si="3"/>
        <v>Sem limite próprio na LRF</v>
      </c>
      <c r="U34" s="9" t="s">
        <v>64</v>
      </c>
    </row>
    <row r="35" spans="1:21" x14ac:dyDescent="0.25">
      <c r="A35" s="9" t="str">
        <f t="shared" si="0"/>
        <v>Defensoria Pública|2º quad. 2024</v>
      </c>
      <c r="B35" s="9" t="s">
        <v>22</v>
      </c>
      <c r="C35" s="9" t="s">
        <v>22</v>
      </c>
      <c r="D35" s="9" t="s">
        <v>63</v>
      </c>
      <c r="E35" s="9" t="s">
        <v>48</v>
      </c>
      <c r="F35" s="9">
        <v>2</v>
      </c>
      <c r="G35" s="9" t="s">
        <v>6</v>
      </c>
      <c r="H35" s="9" t="s">
        <v>51</v>
      </c>
      <c r="I35" s="15">
        <v>51611080</v>
      </c>
      <c r="J35" s="15">
        <v>8864337774.2700005</v>
      </c>
      <c r="K35" s="10">
        <f t="shared" si="1"/>
        <v>5.8223277716028029E-3</v>
      </c>
      <c r="L35" s="10"/>
      <c r="M35" s="9" t="str">
        <f t="shared" si="2"/>
        <v>Não declarado</v>
      </c>
      <c r="N35" s="10"/>
      <c r="O35" s="10"/>
      <c r="P35" s="10"/>
      <c r="Q35" s="17"/>
      <c r="R35" s="17"/>
      <c r="S35" s="17"/>
      <c r="T35" s="9" t="str">
        <f t="shared" si="3"/>
        <v>Sem limite próprio na LRF</v>
      </c>
      <c r="U35" s="9" t="s">
        <v>64</v>
      </c>
    </row>
    <row r="36" spans="1:21" x14ac:dyDescent="0.25">
      <c r="A36" s="9" t="str">
        <f t="shared" si="0"/>
        <v>Defensoria Pública|3º quad. 2024</v>
      </c>
      <c r="B36" s="9" t="s">
        <v>22</v>
      </c>
      <c r="C36" s="9" t="s">
        <v>22</v>
      </c>
      <c r="D36" s="9" t="s">
        <v>63</v>
      </c>
      <c r="E36" s="9" t="s">
        <v>48</v>
      </c>
      <c r="F36" s="9">
        <v>3</v>
      </c>
      <c r="G36" s="9" t="s">
        <v>7</v>
      </c>
      <c r="H36" s="9" t="s">
        <v>52</v>
      </c>
      <c r="I36" s="15">
        <v>55447593.009999998</v>
      </c>
      <c r="J36" s="15">
        <v>8857393483.2700005</v>
      </c>
      <c r="K36" s="10">
        <f t="shared" si="1"/>
        <v>6.2600349769636387E-3</v>
      </c>
      <c r="L36" s="10"/>
      <c r="M36" s="9" t="str">
        <f t="shared" si="2"/>
        <v>Não declarado</v>
      </c>
      <c r="N36" s="10"/>
      <c r="O36" s="10"/>
      <c r="P36" s="10"/>
      <c r="Q36" s="17"/>
      <c r="R36" s="17"/>
      <c r="S36" s="17"/>
      <c r="T36" s="9" t="str">
        <f t="shared" si="3"/>
        <v>Sem limite próprio na LRF</v>
      </c>
      <c r="U36" s="9" t="s">
        <v>64</v>
      </c>
    </row>
    <row r="37" spans="1:21" x14ac:dyDescent="0.25">
      <c r="A37" s="9" t="str">
        <f t="shared" si="0"/>
        <v>Defensoria Pública|1º quad. 2025</v>
      </c>
      <c r="B37" s="9" t="s">
        <v>22</v>
      </c>
      <c r="C37" s="9" t="s">
        <v>22</v>
      </c>
      <c r="D37" s="9" t="s">
        <v>63</v>
      </c>
      <c r="E37" s="9" t="s">
        <v>53</v>
      </c>
      <c r="F37" s="9">
        <v>1</v>
      </c>
      <c r="G37" s="9" t="s">
        <v>8</v>
      </c>
      <c r="H37" s="9" t="s">
        <v>54</v>
      </c>
      <c r="I37" s="15">
        <v>55105242.329999998</v>
      </c>
      <c r="J37" s="15">
        <v>9015583981.9400005</v>
      </c>
      <c r="K37" s="10">
        <f t="shared" si="1"/>
        <v>6.1122210652561947E-3</v>
      </c>
      <c r="L37" s="10"/>
      <c r="M37" s="9" t="str">
        <f t="shared" si="2"/>
        <v>Não declarado</v>
      </c>
      <c r="N37" s="10"/>
      <c r="O37" s="10"/>
      <c r="P37" s="10"/>
      <c r="Q37" s="17"/>
      <c r="R37" s="17"/>
      <c r="S37" s="17"/>
      <c r="T37" s="9" t="str">
        <f t="shared" si="3"/>
        <v>Sem limite próprio na LRF</v>
      </c>
      <c r="U37" s="9" t="s">
        <v>64</v>
      </c>
    </row>
    <row r="38" spans="1:21" x14ac:dyDescent="0.25">
      <c r="A38" s="9" t="str">
        <f t="shared" si="0"/>
        <v>Defensoria Pública|2º quad. 2025</v>
      </c>
      <c r="B38" s="9" t="s">
        <v>22</v>
      </c>
      <c r="C38" s="9" t="s">
        <v>22</v>
      </c>
      <c r="D38" s="9" t="s">
        <v>63</v>
      </c>
      <c r="E38" s="9" t="s">
        <v>53</v>
      </c>
      <c r="F38" s="9">
        <v>2</v>
      </c>
      <c r="G38" s="9" t="s">
        <v>9</v>
      </c>
      <c r="H38" s="9" t="s">
        <v>55</v>
      </c>
      <c r="I38" s="15">
        <v>56970820.789999999</v>
      </c>
      <c r="J38" s="15">
        <v>9129030974.2000008</v>
      </c>
      <c r="K38" s="10">
        <f t="shared" si="1"/>
        <v>6.2406208228461503E-3</v>
      </c>
      <c r="L38" s="10"/>
      <c r="M38" s="9" t="str">
        <f t="shared" si="2"/>
        <v>Não declarado</v>
      </c>
      <c r="N38" s="10"/>
      <c r="O38" s="10"/>
      <c r="P38" s="10"/>
      <c r="Q38" s="17"/>
      <c r="R38" s="17"/>
      <c r="S38" s="17"/>
      <c r="T38" s="9" t="str">
        <f t="shared" si="3"/>
        <v>Sem limite próprio na LRF</v>
      </c>
      <c r="U38" s="9" t="s">
        <v>64</v>
      </c>
    </row>
    <row r="39" spans="1:21" x14ac:dyDescent="0.25">
      <c r="A39" s="9" t="str">
        <f t="shared" si="0"/>
        <v>Defensoria Pública|3º quad. 2025</v>
      </c>
      <c r="B39" s="9" t="s">
        <v>22</v>
      </c>
      <c r="C39" s="9" t="s">
        <v>22</v>
      </c>
      <c r="D39" s="9" t="s">
        <v>63</v>
      </c>
      <c r="E39" s="9" t="s">
        <v>53</v>
      </c>
      <c r="F39" s="9">
        <v>3</v>
      </c>
      <c r="G39" s="9" t="s">
        <v>10</v>
      </c>
      <c r="H39" s="9" t="s">
        <v>56</v>
      </c>
      <c r="I39" s="15">
        <v>60609930.520000003</v>
      </c>
      <c r="J39" s="15">
        <v>9693533943.3799992</v>
      </c>
      <c r="K39" s="10">
        <f t="shared" si="1"/>
        <v>6.2526144617662703E-3</v>
      </c>
      <c r="L39" s="10"/>
      <c r="M39" s="9" t="str">
        <f t="shared" si="2"/>
        <v>Não declarado</v>
      </c>
      <c r="N39" s="10"/>
      <c r="O39" s="10"/>
      <c r="P39" s="10"/>
      <c r="Q39" s="17"/>
      <c r="R39" s="17"/>
      <c r="S39" s="17"/>
      <c r="T39" s="9" t="str">
        <f t="shared" si="3"/>
        <v>Sem limite próprio na LRF</v>
      </c>
      <c r="U39" s="9" t="s">
        <v>64</v>
      </c>
    </row>
    <row r="40" spans="1:21" x14ac:dyDescent="0.25">
      <c r="A40" s="9" t="str">
        <f t="shared" si="0"/>
        <v>Defensoria Pública|1º quad. 2026</v>
      </c>
      <c r="B40" s="9" t="s">
        <v>22</v>
      </c>
      <c r="C40" s="9" t="s">
        <v>22</v>
      </c>
      <c r="D40" s="9" t="s">
        <v>63</v>
      </c>
      <c r="E40" s="9" t="s">
        <v>57</v>
      </c>
      <c r="F40" s="9">
        <v>1</v>
      </c>
      <c r="G40" s="9" t="s">
        <v>11</v>
      </c>
      <c r="H40" s="9" t="s">
        <v>58</v>
      </c>
      <c r="I40" s="15">
        <v>61975009.039999999</v>
      </c>
      <c r="J40" s="15">
        <v>10091046473.65</v>
      </c>
      <c r="K40" s="10">
        <f t="shared" si="1"/>
        <v>6.1415839478918995E-3</v>
      </c>
      <c r="L40" s="10"/>
      <c r="M40" s="9" t="str">
        <f t="shared" si="2"/>
        <v>Não declarado</v>
      </c>
      <c r="N40" s="10"/>
      <c r="O40" s="10"/>
      <c r="P40" s="10"/>
      <c r="Q40" s="17"/>
      <c r="R40" s="17"/>
      <c r="S40" s="17"/>
      <c r="T40" s="9" t="str">
        <f t="shared" si="3"/>
        <v>Sem limite próprio na LRF</v>
      </c>
      <c r="U40" s="9" t="s">
        <v>64</v>
      </c>
    </row>
    <row r="41" spans="1:21" x14ac:dyDescent="0.25">
      <c r="A41" s="9" t="str">
        <f t="shared" si="0"/>
        <v>Defensoria Pública|2º quad. 2026</v>
      </c>
      <c r="B41" s="9" t="s">
        <v>22</v>
      </c>
      <c r="C41" s="9" t="s">
        <v>22</v>
      </c>
      <c r="D41" s="9" t="s">
        <v>63</v>
      </c>
      <c r="E41" s="9" t="s">
        <v>57</v>
      </c>
      <c r="F41" s="9">
        <v>2</v>
      </c>
      <c r="G41" s="9" t="s">
        <v>12</v>
      </c>
      <c r="H41" s="9" t="s">
        <v>59</v>
      </c>
      <c r="I41" s="15">
        <v>63313758.299999997</v>
      </c>
      <c r="J41" s="15">
        <v>10832918771.42</v>
      </c>
      <c r="K41" s="10">
        <f t="shared" si="1"/>
        <v>5.8445705756640419E-3</v>
      </c>
      <c r="L41" s="10"/>
      <c r="M41" s="9" t="str">
        <f t="shared" si="2"/>
        <v>Não declarado</v>
      </c>
      <c r="N41" s="10"/>
      <c r="O41" s="10"/>
      <c r="P41" s="10"/>
      <c r="Q41" s="17"/>
      <c r="R41" s="17"/>
      <c r="S41" s="17"/>
      <c r="T41" s="9" t="str">
        <f t="shared" si="3"/>
        <v>Sem limite próprio na LRF</v>
      </c>
      <c r="U41" s="9" t="s">
        <v>64</v>
      </c>
    </row>
    <row r="42" spans="1:21" x14ac:dyDescent="0.25">
      <c r="A42" s="9" t="str">
        <f t="shared" si="0"/>
        <v>Ministério Público|1º quad. 2024</v>
      </c>
      <c r="B42" s="9" t="s">
        <v>23</v>
      </c>
      <c r="C42" s="9" t="s">
        <v>23</v>
      </c>
      <c r="D42" s="9" t="s">
        <v>65</v>
      </c>
      <c r="E42" s="9" t="s">
        <v>48</v>
      </c>
      <c r="F42" s="9">
        <v>1</v>
      </c>
      <c r="G42" s="9" t="s">
        <v>5</v>
      </c>
      <c r="H42" s="9" t="s">
        <v>49</v>
      </c>
      <c r="I42" s="15">
        <v>129858153.33</v>
      </c>
      <c r="J42" s="15">
        <v>8361681786.1099997</v>
      </c>
      <c r="K42" s="10">
        <f t="shared" si="1"/>
        <v>1.5530147720487731E-2</v>
      </c>
      <c r="L42" s="16">
        <v>1.55E-2</v>
      </c>
      <c r="M42" s="9" t="str">
        <f t="shared" si="2"/>
        <v>Sim</v>
      </c>
      <c r="N42" s="16">
        <v>0.02</v>
      </c>
      <c r="O42" s="16">
        <v>1.9E-2</v>
      </c>
      <c r="P42" s="16">
        <v>1.7999999999999999E-2</v>
      </c>
      <c r="Q42" s="15">
        <v>167233635</v>
      </c>
      <c r="R42" s="15">
        <v>158871953.25</v>
      </c>
      <c r="S42" s="15">
        <v>150510271.5</v>
      </c>
      <c r="T42" s="9" t="str">
        <f t="shared" si="3"/>
        <v>Abaixo do limite de alerta</v>
      </c>
      <c r="U42" s="9" t="s">
        <v>50</v>
      </c>
    </row>
    <row r="43" spans="1:21" x14ac:dyDescent="0.25">
      <c r="A43" s="9" t="str">
        <f t="shared" si="0"/>
        <v>Ministério Público|2º quad. 2024</v>
      </c>
      <c r="B43" s="9" t="s">
        <v>23</v>
      </c>
      <c r="C43" s="9" t="s">
        <v>23</v>
      </c>
      <c r="D43" s="9" t="s">
        <v>65</v>
      </c>
      <c r="E43" s="9" t="s">
        <v>48</v>
      </c>
      <c r="F43" s="9">
        <v>2</v>
      </c>
      <c r="G43" s="9" t="s">
        <v>6</v>
      </c>
      <c r="H43" s="9" t="s">
        <v>51</v>
      </c>
      <c r="I43" s="15">
        <v>133570741.27</v>
      </c>
      <c r="J43" s="15">
        <v>8864337774.2700005</v>
      </c>
      <c r="K43" s="10">
        <f t="shared" si="1"/>
        <v>1.5068327118322143E-2</v>
      </c>
      <c r="L43" s="16">
        <v>1.5100000000000001E-2</v>
      </c>
      <c r="M43" s="9" t="str">
        <f t="shared" si="2"/>
        <v>Sim</v>
      </c>
      <c r="N43" s="16">
        <v>0.02</v>
      </c>
      <c r="O43" s="16">
        <v>1.9E-2</v>
      </c>
      <c r="P43" s="16">
        <v>1.7999999999999999E-2</v>
      </c>
      <c r="Q43" s="15">
        <v>177286755</v>
      </c>
      <c r="R43" s="15">
        <v>168422417.25</v>
      </c>
      <c r="S43" s="15">
        <v>159558079.5</v>
      </c>
      <c r="T43" s="9" t="str">
        <f t="shared" si="3"/>
        <v>Abaixo do limite de alerta</v>
      </c>
      <c r="U43" s="9" t="s">
        <v>50</v>
      </c>
    </row>
    <row r="44" spans="1:21" x14ac:dyDescent="0.25">
      <c r="A44" s="9" t="str">
        <f t="shared" si="0"/>
        <v>Ministério Público|3º quad. 2024</v>
      </c>
      <c r="B44" s="9" t="s">
        <v>23</v>
      </c>
      <c r="C44" s="9" t="s">
        <v>23</v>
      </c>
      <c r="D44" s="9" t="s">
        <v>65</v>
      </c>
      <c r="E44" s="9" t="s">
        <v>48</v>
      </c>
      <c r="F44" s="9">
        <v>3</v>
      </c>
      <c r="G44" s="9" t="s">
        <v>7</v>
      </c>
      <c r="H44" s="9" t="s">
        <v>52</v>
      </c>
      <c r="I44" s="15">
        <v>134145724.41</v>
      </c>
      <c r="J44" s="15">
        <v>8857393483.2700005</v>
      </c>
      <c r="K44" s="10">
        <f t="shared" si="1"/>
        <v>1.5145056461968951E-2</v>
      </c>
      <c r="L44" s="16">
        <v>1.5100000000000001E-2</v>
      </c>
      <c r="M44" s="9" t="str">
        <f t="shared" si="2"/>
        <v>Sim</v>
      </c>
      <c r="N44" s="16">
        <v>0.02</v>
      </c>
      <c r="O44" s="16">
        <v>1.9E-2</v>
      </c>
      <c r="P44" s="16">
        <v>1.7999999999999999E-2</v>
      </c>
      <c r="Q44" s="15">
        <v>177147869.66</v>
      </c>
      <c r="R44" s="15">
        <v>168290476.18000001</v>
      </c>
      <c r="S44" s="15">
        <v>159433082.69</v>
      </c>
      <c r="T44" s="9" t="str">
        <f t="shared" si="3"/>
        <v>Abaixo do limite de alerta</v>
      </c>
      <c r="U44" s="9" t="s">
        <v>50</v>
      </c>
    </row>
    <row r="45" spans="1:21" x14ac:dyDescent="0.25">
      <c r="A45" s="9" t="str">
        <f t="shared" si="0"/>
        <v>Ministério Público|1º quad. 2025</v>
      </c>
      <c r="B45" s="9" t="s">
        <v>23</v>
      </c>
      <c r="C45" s="9" t="s">
        <v>23</v>
      </c>
      <c r="D45" s="9" t="s">
        <v>65</v>
      </c>
      <c r="E45" s="9" t="s">
        <v>53</v>
      </c>
      <c r="F45" s="9">
        <v>1</v>
      </c>
      <c r="G45" s="9" t="s">
        <v>8</v>
      </c>
      <c r="H45" s="9" t="s">
        <v>54</v>
      </c>
      <c r="I45" s="15">
        <v>137695971.91999999</v>
      </c>
      <c r="J45" s="15">
        <v>9019744640.8199997</v>
      </c>
      <c r="K45" s="10">
        <f t="shared" si="1"/>
        <v>1.5266061003195077E-2</v>
      </c>
      <c r="L45" s="16">
        <v>1.5299999999999999E-2</v>
      </c>
      <c r="M45" s="9" t="str">
        <f t="shared" si="2"/>
        <v>Sim</v>
      </c>
      <c r="N45" s="16">
        <v>0.02</v>
      </c>
      <c r="O45" s="16">
        <v>1.9E-2</v>
      </c>
      <c r="P45" s="16">
        <v>1.7999999999999999E-2</v>
      </c>
      <c r="Q45" s="15">
        <v>180394892.81999999</v>
      </c>
      <c r="R45" s="15">
        <v>171375148.18000001</v>
      </c>
      <c r="S45" s="15">
        <v>162355403.53999999</v>
      </c>
      <c r="T45" s="9" t="str">
        <f t="shared" si="3"/>
        <v>Abaixo do limite de alerta</v>
      </c>
      <c r="U45" s="9" t="s">
        <v>50</v>
      </c>
    </row>
    <row r="46" spans="1:21" x14ac:dyDescent="0.25">
      <c r="A46" s="9" t="str">
        <f t="shared" si="0"/>
        <v>Ministério Público|2º quad. 2025</v>
      </c>
      <c r="B46" s="9" t="s">
        <v>23</v>
      </c>
      <c r="C46" s="9" t="s">
        <v>23</v>
      </c>
      <c r="D46" s="9" t="s">
        <v>65</v>
      </c>
      <c r="E46" s="9" t="s">
        <v>53</v>
      </c>
      <c r="F46" s="9">
        <v>2</v>
      </c>
      <c r="G46" s="9" t="s">
        <v>9</v>
      </c>
      <c r="H46" s="9" t="s">
        <v>55</v>
      </c>
      <c r="I46" s="15">
        <v>140176767.65000001</v>
      </c>
      <c r="J46" s="15">
        <v>9133174252.4799995</v>
      </c>
      <c r="K46" s="10">
        <f t="shared" si="1"/>
        <v>1.5348088602594739E-2</v>
      </c>
      <c r="L46" s="16">
        <v>1.5299999999999999E-2</v>
      </c>
      <c r="M46" s="9" t="str">
        <f t="shared" si="2"/>
        <v>Sim</v>
      </c>
      <c r="N46" s="16">
        <v>0.02</v>
      </c>
      <c r="O46" s="16">
        <v>1.9E-2</v>
      </c>
      <c r="P46" s="16">
        <v>1.7999999999999999E-2</v>
      </c>
      <c r="Q46" s="15">
        <v>182663485.05000001</v>
      </c>
      <c r="R46" s="15">
        <v>173530310.80000001</v>
      </c>
      <c r="S46" s="15">
        <v>164397136.55000001</v>
      </c>
      <c r="T46" s="9" t="str">
        <f t="shared" si="3"/>
        <v>Abaixo do limite de alerta</v>
      </c>
      <c r="U46" s="9" t="s">
        <v>50</v>
      </c>
    </row>
    <row r="47" spans="1:21" x14ac:dyDescent="0.25">
      <c r="A47" s="9" t="str">
        <f t="shared" si="0"/>
        <v>Ministério Público|3º quad. 2025</v>
      </c>
      <c r="B47" s="9" t="s">
        <v>23</v>
      </c>
      <c r="C47" s="9" t="s">
        <v>23</v>
      </c>
      <c r="D47" s="9" t="s">
        <v>65</v>
      </c>
      <c r="E47" s="9" t="s">
        <v>53</v>
      </c>
      <c r="F47" s="9">
        <v>3</v>
      </c>
      <c r="G47" s="9" t="s">
        <v>10</v>
      </c>
      <c r="H47" s="9" t="s">
        <v>56</v>
      </c>
      <c r="I47" s="15">
        <v>142700881.96000001</v>
      </c>
      <c r="J47" s="15">
        <v>9693533943.3799992</v>
      </c>
      <c r="K47" s="10">
        <f t="shared" si="1"/>
        <v>1.4721244366968422E-2</v>
      </c>
      <c r="L47" s="16">
        <v>1.47E-2</v>
      </c>
      <c r="M47" s="9" t="str">
        <f t="shared" si="2"/>
        <v>Sim</v>
      </c>
      <c r="N47" s="16">
        <v>0.02</v>
      </c>
      <c r="O47" s="16">
        <v>1.9E-2</v>
      </c>
      <c r="P47" s="16">
        <v>1.7999999999999999E-2</v>
      </c>
      <c r="Q47" s="15">
        <v>193870678.87</v>
      </c>
      <c r="R47" s="15">
        <v>184177144.93000001</v>
      </c>
      <c r="S47" s="15">
        <v>174483610.97999999</v>
      </c>
      <c r="T47" s="9" t="str">
        <f t="shared" si="3"/>
        <v>Abaixo do limite de alerta</v>
      </c>
      <c r="U47" s="9" t="s">
        <v>50</v>
      </c>
    </row>
    <row r="48" spans="1:21" x14ac:dyDescent="0.25">
      <c r="A48" s="9" t="str">
        <f t="shared" si="0"/>
        <v>Ministério Público|1º quad. 2026</v>
      </c>
      <c r="B48" s="9" t="s">
        <v>23</v>
      </c>
      <c r="C48" s="9" t="s">
        <v>23</v>
      </c>
      <c r="D48" s="9" t="s">
        <v>65</v>
      </c>
      <c r="E48" s="9" t="s">
        <v>57</v>
      </c>
      <c r="F48" s="9">
        <v>1</v>
      </c>
      <c r="G48" s="9" t="s">
        <v>11</v>
      </c>
      <c r="H48" s="9" t="s">
        <v>58</v>
      </c>
      <c r="I48" s="15">
        <v>141713072.81999999</v>
      </c>
      <c r="J48" s="15">
        <v>10091046473.65</v>
      </c>
      <c r="K48" s="10">
        <f t="shared" si="1"/>
        <v>1.4043446652440341E-2</v>
      </c>
      <c r="L48" s="16">
        <v>1.4E-2</v>
      </c>
      <c r="M48" s="9" t="str">
        <f t="shared" si="2"/>
        <v>Sim</v>
      </c>
      <c r="N48" s="16">
        <v>0.02</v>
      </c>
      <c r="O48" s="16">
        <v>1.9E-2</v>
      </c>
      <c r="P48" s="16">
        <v>1.7999999999999999E-2</v>
      </c>
      <c r="Q48" s="15">
        <v>201820929.47</v>
      </c>
      <c r="R48" s="15">
        <v>191729883</v>
      </c>
      <c r="S48" s="15">
        <v>181638836.52000001</v>
      </c>
      <c r="T48" s="9" t="str">
        <f t="shared" si="3"/>
        <v>Abaixo do limite de alerta</v>
      </c>
      <c r="U48" s="9" t="s">
        <v>50</v>
      </c>
    </row>
    <row r="49" spans="1:21" x14ac:dyDescent="0.25">
      <c r="A49" s="9" t="str">
        <f t="shared" si="0"/>
        <v>Ministério Público|2º quad. 2026</v>
      </c>
      <c r="B49" s="9" t="s">
        <v>23</v>
      </c>
      <c r="C49" s="9" t="s">
        <v>23</v>
      </c>
      <c r="D49" s="9" t="s">
        <v>65</v>
      </c>
      <c r="E49" s="9" t="s">
        <v>57</v>
      </c>
      <c r="F49" s="9">
        <v>2</v>
      </c>
      <c r="G49" s="9" t="s">
        <v>12</v>
      </c>
      <c r="H49" s="9" t="s">
        <v>59</v>
      </c>
      <c r="I49" s="15">
        <v>155317913.19</v>
      </c>
      <c r="J49" s="15">
        <v>10832918771.42</v>
      </c>
      <c r="K49" s="10">
        <f t="shared" si="1"/>
        <v>1.4337586800684615E-2</v>
      </c>
      <c r="L49" s="16">
        <v>1.43E-2</v>
      </c>
      <c r="M49" s="9" t="str">
        <f t="shared" si="2"/>
        <v>Sim</v>
      </c>
      <c r="N49" s="16">
        <v>0.02</v>
      </c>
      <c r="O49" s="16">
        <v>1.9E-2</v>
      </c>
      <c r="P49" s="16">
        <v>1.7999999999999999E-2</v>
      </c>
      <c r="Q49" s="15">
        <v>216658375.43000001</v>
      </c>
      <c r="R49" s="15">
        <v>205825456.66</v>
      </c>
      <c r="S49" s="15">
        <v>194992537.88999999</v>
      </c>
      <c r="T49" s="9" t="str">
        <f t="shared" si="3"/>
        <v>Abaixo do limite de alerta</v>
      </c>
      <c r="U49" s="9" t="s">
        <v>50</v>
      </c>
    </row>
  </sheetData>
  <autoFilter ref="A1:U49" xr:uid="{00000000-0009-0000-0000-000001000000}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5" x14ac:dyDescent="0.25"/>
  <cols>
    <col min="1" max="1" width="22" customWidth="1"/>
    <col min="2" max="2" width="100" customWidth="1"/>
  </cols>
  <sheetData>
    <row r="1" spans="1:2" ht="18" x14ac:dyDescent="0.25">
      <c r="A1" s="1" t="s">
        <v>66</v>
      </c>
    </row>
    <row r="3" spans="1:2" ht="30" customHeight="1" x14ac:dyDescent="0.25">
      <c r="A3" s="18" t="s">
        <v>67</v>
      </c>
      <c r="B3" s="19" t="s">
        <v>68</v>
      </c>
    </row>
    <row r="4" spans="1:2" ht="15" customHeight="1" x14ac:dyDescent="0.25">
      <c r="A4" s="18" t="s">
        <v>69</v>
      </c>
      <c r="B4" s="19" t="s">
        <v>70</v>
      </c>
    </row>
    <row r="5" spans="1:2" ht="30" customHeight="1" x14ac:dyDescent="0.25">
      <c r="A5" s="18" t="s">
        <v>71</v>
      </c>
      <c r="B5" s="19" t="s">
        <v>72</v>
      </c>
    </row>
    <row r="6" spans="1:2" ht="30" customHeight="1" x14ac:dyDescent="0.25">
      <c r="A6" s="18" t="s">
        <v>73</v>
      </c>
      <c r="B6" s="19" t="s">
        <v>74</v>
      </c>
    </row>
    <row r="7" spans="1:2" ht="30" customHeight="1" x14ac:dyDescent="0.25">
      <c r="A7" s="18" t="s">
        <v>75</v>
      </c>
      <c r="B7" s="19" t="s">
        <v>76</v>
      </c>
    </row>
    <row r="8" spans="1:2" ht="60" customHeight="1" x14ac:dyDescent="0.25">
      <c r="A8" s="18" t="s">
        <v>77</v>
      </c>
      <c r="B8" s="19" t="s">
        <v>78</v>
      </c>
    </row>
    <row r="9" spans="1:2" ht="45" customHeight="1" x14ac:dyDescent="0.25">
      <c r="A9" s="18" t="s">
        <v>79</v>
      </c>
      <c r="B9" s="19" t="s">
        <v>80</v>
      </c>
    </row>
    <row r="10" spans="1:2" ht="15" customHeight="1" x14ac:dyDescent="0.25">
      <c r="A10" s="18" t="s">
        <v>81</v>
      </c>
      <c r="B10" s="19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Dados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Medeiros</cp:lastModifiedBy>
  <dcterms:created xsi:type="dcterms:W3CDTF">2026-10-15T09:56:20Z</dcterms:created>
  <dcterms:modified xsi:type="dcterms:W3CDTF">2026-10-15T09:56:50Z</dcterms:modified>
</cp:coreProperties>
</file>