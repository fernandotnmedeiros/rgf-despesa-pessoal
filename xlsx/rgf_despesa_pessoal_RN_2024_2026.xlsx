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3896C68B924E728DE5C6A873A4C8551F97071D9F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C11" i="1" s="1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F12" i="1"/>
  <c r="E12" i="1"/>
  <c r="D12" i="1"/>
  <c r="C12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F11" i="1"/>
  <c r="E11" i="1"/>
  <c r="D11" i="1"/>
  <c r="G11" i="1"/>
  <c r="K11" i="1"/>
  <c r="J11" i="1"/>
  <c r="I11" i="1"/>
  <c r="H11" i="1"/>
  <c r="M30" i="2"/>
  <c r="T30" i="2"/>
  <c r="T11" i="2"/>
  <c r="M11" i="2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T32" i="2"/>
  <c r="M32" i="2"/>
  <c r="T31" i="2"/>
  <c r="M31" i="2"/>
  <c r="T29" i="2"/>
  <c r="M29" i="2"/>
  <c r="T28" i="2"/>
  <c r="M28" i="2"/>
  <c r="T27" i="2"/>
  <c r="M27" i="2"/>
  <c r="T26" i="2"/>
  <c r="M26" i="2"/>
  <c r="T25" i="2"/>
  <c r="L8" i="1" s="1"/>
  <c r="M25" i="2"/>
  <c r="T24" i="2"/>
  <c r="M24" i="2"/>
  <c r="T23" i="2"/>
  <c r="M23" i="2"/>
  <c r="M22" i="2"/>
  <c r="T22" i="2"/>
  <c r="T21" i="2"/>
  <c r="M21" i="2"/>
  <c r="M20" i="2"/>
  <c r="T20" i="2"/>
  <c r="T19" i="2"/>
  <c r="M19" i="2"/>
  <c r="T18" i="2"/>
  <c r="M18" i="2"/>
  <c r="T17" i="2"/>
  <c r="L7" i="1" s="1"/>
  <c r="M17" i="2"/>
  <c r="T16" i="2"/>
  <c r="M16" i="2"/>
  <c r="T15" i="2"/>
  <c r="M15" i="2"/>
  <c r="T14" i="2"/>
  <c r="M14" i="2"/>
  <c r="M13" i="2"/>
  <c r="T13" i="2"/>
  <c r="M12" i="2"/>
  <c r="T12" i="2"/>
  <c r="T10" i="2"/>
  <c r="M10" i="2"/>
  <c r="T9" i="2"/>
  <c r="L6" i="1" s="1"/>
  <c r="M9" i="2"/>
  <c r="T8" i="2"/>
  <c r="M8" i="2"/>
  <c r="T7" i="2"/>
  <c r="M7" i="2"/>
  <c r="T6" i="2"/>
  <c r="M6" i="2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T5" i="2"/>
  <c r="M5" i="2"/>
  <c r="T4" i="2"/>
  <c r="M4" i="2"/>
  <c r="T3" i="2"/>
  <c r="M3" i="2"/>
  <c r="T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<sst xmlns="http://schemas.openxmlformats.org/spreadsheetml/2006/main" count="427" uniqueCount="83">
  <si>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Rio Grande do Norte (RN)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</si>
  <si>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</si>
  <si>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</si>
  <si>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</si>
  <si>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</si>
  <si>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</si>
  <si>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</si>
  <si>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</si>
  <si>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</si>
  <si>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</si>
  <si>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</si>
  <si>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</si>
  <si>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</si>
  <si>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</si>
  <si>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</si>
  <si>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</si>
  <si>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</si>
  <si>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</si>
  <si>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</si>
  <si>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</si>
  <si>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</si>
  <si>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</si>
  <si>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</si>
  <si>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</si>
  <si>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</si>
  <si>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</si>
  <si>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</si>
  <si>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</si>
  <si>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</si>
  <si>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</si>
  <si>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</si>
  <si>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</si>
  <si>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</si>
  <si>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</si>
  <si>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</si>
  <si>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</si>
  <si>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</si>
  <si>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</si>
  <si>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</si>
  <si>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</si>
  <si>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</si>
  <si>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</si>
  <si>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</si>
  <si>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</si>
  <si>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</si>
  <si>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</si>
  <si>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</si>
  <si>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Rio Grande do Norte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</si>
  <si>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</si>
  <si>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</si>
  <si>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</si>
  <si>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</si>
  <si>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</si>
  <si>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</si>
  <si>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</si>
  <si>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</si>
  <si>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</si>
  <si>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</si>
  <si>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</si>
  <si>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</si>
  <si>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Rio Grande do Norte</t>
  </si>
  <si>
    <t>Tribunal de Justiça do Estado do Rio Grande do Norte</t>
  </si>
  <si>
    <t>Tribunal de Contas do Estado do Rio Grande do Norte</t>
  </si>
  <si>
    <t>Defensoria Pública do Estado do Rio Grande do Norte</t>
  </si>
  <si>
    <t>Calculado (despesa líquida / RCL Ajustada do Executivo)</t>
  </si>
  <si>
    <t>Ministério Público do Estado do Rio Grande do Norte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</si>
  <si>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</si>
  <si>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</si>
  <si>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</si>
  <si>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</si>
  <si>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Rio Grande do Norte (RN).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</si>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</sst>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0.56864666236309724</v>
      </c>
      <c r="D6" s="7">
        <f>IFERROR(IF(INDEX(Dados!$K$2:$K$49,MATCH($A6&amp;"|"&amp;D$5,Dados!$A$2:$A$49,0))="","",INDEX(Dados!$K$2:$K$49,MATCH($A6&amp;"|"&amp;D$5,Dados!$A$2:$A$49,0))),"")</f>
        <v>0.58264739744047456</v>
      </c>
      <c r="E6" s="7">
        <f>IFERROR(IF(INDEX(Dados!$K$2:$K$49,MATCH($A6&amp;"|"&amp;E$5,Dados!$A$2:$A$49,0))="","",INDEX(Dados!$K$2:$K$49,MATCH($A6&amp;"|"&amp;E$5,Dados!$A$2:$A$49,0))),"")</f>
        <v>0.57562379578421252</v>
      </c>
      <c r="F6" s="7">
        <f>IFERROR(IF(INDEX(Dados!$K$2:$K$49,MATCH($A6&amp;"|"&amp;F$5,Dados!$A$2:$A$49,0))="","",INDEX(Dados!$K$2:$K$49,MATCH($A6&amp;"|"&amp;F$5,Dados!$A$2:$A$49,0))),"")</f>
        <v>0.56008169676618025</v>
      </c>
      <c r="G6" s="7">
        <f>IFERROR(IF(INDEX(Dados!$K$2:$K$49,MATCH($A6&amp;"|"&amp;G$5,Dados!$A$2:$A$49,0))="","",INDEX(Dados!$K$2:$K$49,MATCH($A6&amp;"|"&amp;G$5,Dados!$A$2:$A$49,0))),"")</f>
        <v>0.55732789937323401</v>
      </c>
      <c r="H6" s="7">
        <f>IFERROR(IF(INDEX(Dados!$K$2:$K$49,MATCH($A6&amp;"|"&amp;H$5,Dados!$A$2:$A$49,0))="","",INDEX(Dados!$K$2:$K$49,MATCH($A6&amp;"|"&amp;H$5,Dados!$A$2:$A$49,0))),"")</f>
        <v>0.56410922111477235</v>
      </c>
      <c r="I6" s="7">
        <f>IFERROR(IF(INDEX(Dados!$K$2:$K$49,MATCH($A6&amp;"|"&amp;I$5,Dados!$A$2:$A$49,0))="","",INDEX(Dados!$K$2:$K$49,MATCH($A6&amp;"|"&amp;I$5,Dados!$A$2:$A$49,0))),"")</f>
        <v>0.56122710541793974</v>
      </c>
      <c r="J6" s="7">
        <f>IFERROR(IF(INDEX(Dados!$K$2:$K$49,MATCH($A6&amp;"|"&amp;J$5,Dados!$A$2:$A$49,0))="","",INDEX(Dados!$K$2:$K$49,MATCH($A6&amp;"|"&amp;J$5,Dados!$A$2:$A$49,0))),"")</f>
        <v>0.55173685946714401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Acima do limite máximo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1.9887263527121224E-2</v>
      </c>
      <c r="D7" s="10">
        <f>IFERROR(IF(INDEX(Dados!$K$2:$K$49,MATCH($A7&amp;"|"&amp;D$5,Dados!$A$2:$A$49,0))="","",INDEX(Dados!$K$2:$K$49,MATCH($A7&amp;"|"&amp;D$5,Dados!$A$2:$A$49,0))),"")</f>
        <v>1.9228213579975721E-2</v>
      </c>
      <c r="E7" s="10">
        <f>IFERROR(IF(INDEX(Dados!$K$2:$K$49,MATCH($A7&amp;"|"&amp;E$5,Dados!$A$2:$A$49,0))="","",INDEX(Dados!$K$2:$K$49,MATCH($A7&amp;"|"&amp;E$5,Dados!$A$2:$A$49,0))),"")</f>
        <v>2.1435061353256662E-2</v>
      </c>
      <c r="F7" s="10">
        <f>IFERROR(IF(INDEX(Dados!$K$2:$K$49,MATCH($A7&amp;"|"&amp;F$5,Dados!$A$2:$A$49,0))="","",INDEX(Dados!$K$2:$K$49,MATCH($A7&amp;"|"&amp;F$5,Dados!$A$2:$A$49,0))),"")</f>
        <v>2.1716070007424877E-2</v>
      </c>
      <c r="G7" s="10">
        <f>IFERROR(IF(INDEX(Dados!$K$2:$K$49,MATCH($A7&amp;"|"&amp;G$5,Dados!$A$2:$A$49,0))="","",INDEX(Dados!$K$2:$K$49,MATCH($A7&amp;"|"&amp;G$5,Dados!$A$2:$A$49,0))),"")</f>
        <v>2.2043264341563368E-2</v>
      </c>
      <c r="H7" s="10">
        <f>IFERROR(IF(INDEX(Dados!$K$2:$K$49,MATCH($A7&amp;"|"&amp;H$5,Dados!$A$2:$A$49,0))="","",INDEX(Dados!$K$2:$K$49,MATCH($A7&amp;"|"&amp;H$5,Dados!$A$2:$A$49,0))),"")</f>
        <v>2.0594632131700537E-2</v>
      </c>
      <c r="I7" s="10">
        <f>IFERROR(IF(INDEX(Dados!$K$2:$K$49,MATCH($A7&amp;"|"&amp;I$5,Dados!$A$2:$A$49,0))="","",INDEX(Dados!$K$2:$K$49,MATCH($A7&amp;"|"&amp;I$5,Dados!$A$2:$A$49,0))),"")</f>
        <v>2.0468958674884154E-2</v>
      </c>
      <c r="J7" s="10">
        <f>IFERROR(IF(INDEX(Dados!$K$2:$K$49,MATCH($A7&amp;"|"&amp;J$5,Dados!$A$2:$A$49,0))="","",INDEX(Dados!$K$2:$K$49,MATCH($A7&amp;"|"&amp;J$5,Dados!$A$2:$A$49,0))),"")</f>
        <v>2.0054267808184634E-2</v>
      </c>
      <c r="K7" s="10">
        <f>IFERROR(IF(INDEX(Dados!$N$2:$N$49,MATCH($A7&amp;"|"&amp;J$5,Dados!$A$2:$A$49,0))=0,"—",INDEX(Dados!$N$2:$N$49,MATCH($A7&amp;"|"&amp;J$5,Dados!$A$2:$A$49,0))),"—")</f>
        <v>2.2599999999999999E-2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5.1312787945089047E-2</v>
      </c>
      <c r="D8" s="10">
        <f>IFERROR(IF(INDEX(Dados!$K$2:$K$49,MATCH($A8&amp;"|"&amp;D$5,Dados!$A$2:$A$49,0))="","",INDEX(Dados!$K$2:$K$49,MATCH($A8&amp;"|"&amp;D$5,Dados!$A$2:$A$49,0))),"")</f>
        <v>5.1913507317753141E-2</v>
      </c>
      <c r="E8" s="10">
        <f>IFERROR(IF(INDEX(Dados!$K$2:$K$49,MATCH($A8&amp;"|"&amp;E$5,Dados!$A$2:$A$49,0))="","",INDEX(Dados!$K$2:$K$49,MATCH($A8&amp;"|"&amp;E$5,Dados!$A$2:$A$49,0))),"")</f>
        <v>5.1981805072830282E-2</v>
      </c>
      <c r="F8" s="10">
        <f>IFERROR(IF(INDEX(Dados!$K$2:$K$49,MATCH($A8&amp;"|"&amp;F$5,Dados!$A$2:$A$49,0))="","",INDEX(Dados!$K$2:$K$49,MATCH($A8&amp;"|"&amp;F$5,Dados!$A$2:$A$49,0))),"")</f>
        <v>5.150959232750367E-2</v>
      </c>
      <c r="G8" s="10">
        <f>IFERROR(IF(INDEX(Dados!$K$2:$K$49,MATCH($A8&amp;"|"&amp;G$5,Dados!$A$2:$A$49,0))="","",INDEX(Dados!$K$2:$K$49,MATCH($A8&amp;"|"&amp;G$5,Dados!$A$2:$A$49,0))),"")</f>
        <v>5.2215723215005831E-2</v>
      </c>
      <c r="H8" s="10">
        <f>IFERROR(IF(INDEX(Dados!$K$2:$K$49,MATCH($A8&amp;"|"&amp;H$5,Dados!$A$2:$A$49,0))="","",INDEX(Dados!$K$2:$K$49,MATCH($A8&amp;"|"&amp;H$5,Dados!$A$2:$A$49,0))),"")</f>
        <v>5.067308212012496E-2</v>
      </c>
      <c r="I8" s="10">
        <f>IFERROR(IF(INDEX(Dados!$K$2:$K$49,MATCH($A8&amp;"|"&amp;I$5,Dados!$A$2:$A$49,0))="","",INDEX(Dados!$K$2:$K$49,MATCH($A8&amp;"|"&amp;I$5,Dados!$A$2:$A$49,0))),"")</f>
        <v>5.0004991017496996E-2</v>
      </c>
      <c r="J8" s="10">
        <f>IFERROR(IF(INDEX(Dados!$K$2:$K$49,MATCH($A8&amp;"|"&amp;J$5,Dados!$A$2:$A$49,0))="","",INDEX(Dados!$K$2:$K$49,MATCH($A8&amp;"|"&amp;J$5,Dados!$A$2:$A$49,0))),"")</f>
        <v>4.8166699923705592E-2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5.109552500183522E-3</v>
      </c>
      <c r="D9" s="10">
        <f>IFERROR(IF(INDEX(Dados!$K$2:$K$49,MATCH($A9&amp;"|"&amp;D$5,Dados!$A$2:$A$49,0))="","",INDEX(Dados!$K$2:$K$49,MATCH($A9&amp;"|"&amp;D$5,Dados!$A$2:$A$49,0))),"")</f>
        <v>5.3357883641764019E-3</v>
      </c>
      <c r="E9" s="10">
        <f>IFERROR(IF(INDEX(Dados!$K$2:$K$49,MATCH($A9&amp;"|"&amp;E$5,Dados!$A$2:$A$49,0))="","",INDEX(Dados!$K$2:$K$49,MATCH($A9&amp;"|"&amp;E$5,Dados!$A$2:$A$49,0))),"")</f>
        <v>5.826142148268292E-3</v>
      </c>
      <c r="F9" s="10">
        <f>IFERROR(IF(INDEX(Dados!$K$2:$K$49,MATCH($A9&amp;"|"&amp;F$5,Dados!$A$2:$A$49,0))="","",INDEX(Dados!$K$2:$K$49,MATCH($A9&amp;"|"&amp;F$5,Dados!$A$2:$A$49,0))),"")</f>
        <v>6.3285713546644435E-3</v>
      </c>
      <c r="G9" s="10">
        <f>IFERROR(IF(INDEX(Dados!$K$2:$K$49,MATCH($A9&amp;"|"&amp;G$5,Dados!$A$2:$A$49,0))="","",INDEX(Dados!$K$2:$K$49,MATCH($A9&amp;"|"&amp;G$5,Dados!$A$2:$A$49,0))),"")</f>
        <v>6.6879696790688031E-3</v>
      </c>
      <c r="H9" s="10">
        <f>IFERROR(IF(INDEX(Dados!$K$2:$K$49,MATCH($A9&amp;"|"&amp;H$5,Dados!$A$2:$A$49,0))="","",INDEX(Dados!$K$2:$K$49,MATCH($A9&amp;"|"&amp;H$5,Dados!$A$2:$A$49,0))),"")</f>
        <v>6.5426998602568284E-3</v>
      </c>
      <c r="I9" s="10">
        <f>IFERROR(IF(INDEX(Dados!$K$2:$K$49,MATCH($A9&amp;"|"&amp;I$5,Dados!$A$2:$A$49,0))="","",INDEX(Dados!$K$2:$K$49,MATCH($A9&amp;"|"&amp;I$5,Dados!$A$2:$A$49,0))),"")</f>
        <v>6.5654008240765265E-3</v>
      </c>
      <c r="J9" s="10">
        <f>IFERROR(IF(INDEX(Dados!$K$2:$K$49,MATCH($A9&amp;"|"&amp;J$5,Dados!$A$2:$A$49,0))="","",INDEX(Dados!$K$2:$K$49,MATCH($A9&amp;"|"&amp;J$5,Dados!$A$2:$A$49,0))),"")</f>
        <v>6.2275166831209164E-3</v>
      </c>
      <c r="K9" s="10">
        <f>IFERROR(IF(INDEX(Dados!$N$2:$N$49,MATCH($A9&amp;"|"&amp;J$5,Dados!$A$2:$A$49,0))=0,"—",INDEX(Dados!$N$2:$N$49,MATCH($A9&amp;"|"&amp;J$5,Dados!$A$2:$A$49,0))),"—")</f>
        <v>7.4000000000000003E-3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3.8739927537503539E-3</v>
      </c>
      <c r="D10" s="10">
        <f>IFERROR(IF(INDEX(Dados!$K$2:$K$49,MATCH($A10&amp;"|"&amp;D$5,Dados!$A$2:$A$49,0))="","",INDEX(Dados!$K$2:$K$49,MATCH($A10&amp;"|"&amp;D$5,Dados!$A$2:$A$49,0))),"")</f>
        <v>3.9094219937385651E-3</v>
      </c>
      <c r="E10" s="10">
        <f>IFERROR(IF(INDEX(Dados!$K$2:$K$49,MATCH($A10&amp;"|"&amp;E$5,Dados!$A$2:$A$49,0))="","",INDEX(Dados!$K$2:$K$49,MATCH($A10&amp;"|"&amp;E$5,Dados!$A$2:$A$49,0))),"")</f>
        <v>4.2232036875788402E-3</v>
      </c>
      <c r="F10" s="10">
        <f>IFERROR(IF(INDEX(Dados!$K$2:$K$49,MATCH($A10&amp;"|"&amp;F$5,Dados!$A$2:$A$49,0))="","",INDEX(Dados!$K$2:$K$49,MATCH($A10&amp;"|"&amp;F$5,Dados!$A$2:$A$49,0))),"")</f>
        <v>4.2713500895576861E-3</v>
      </c>
      <c r="G10" s="10">
        <f>IFERROR(IF(INDEX(Dados!$K$2:$K$49,MATCH($A10&amp;"|"&amp;G$5,Dados!$A$2:$A$49,0))="","",INDEX(Dados!$K$2:$K$49,MATCH($A10&amp;"|"&amp;G$5,Dados!$A$2:$A$49,0))),"")</f>
        <v>4.4054512876505305E-3</v>
      </c>
      <c r="H10" s="10">
        <f>IFERROR(IF(INDEX(Dados!$K$2:$K$49,MATCH($A10&amp;"|"&amp;H$5,Dados!$A$2:$A$49,0))="","",INDEX(Dados!$K$2:$K$49,MATCH($A10&amp;"|"&amp;H$5,Dados!$A$2:$A$49,0))),"")</f>
        <v>4.1730366585776115E-3</v>
      </c>
      <c r="I10" s="10">
        <f>IFERROR(IF(INDEX(Dados!$K$2:$K$49,MATCH($A10&amp;"|"&amp;I$5,Dados!$A$2:$A$49,0))="","",INDEX(Dados!$K$2:$K$49,MATCH($A10&amp;"|"&amp;I$5,Dados!$A$2:$A$49,0))),"")</f>
        <v>4.2243050966130225E-3</v>
      </c>
      <c r="J10" s="10">
        <f>IFERROR(IF(INDEX(Dados!$K$2:$K$49,MATCH($A10&amp;"|"&amp;J$5,Dados!$A$2:$A$49,0))="","",INDEX(Dados!$K$2:$K$49,MATCH($A10&amp;"|"&amp;J$5,Dados!$A$2:$A$49,0))),"")</f>
        <v>4.1338050785129036E-3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1.6200508674619567E-2</v>
      </c>
      <c r="D11" s="10">
        <f>IFERROR(IF(INDEX(Dados!$K$2:$K$49,MATCH($A11&amp;"|"&amp;D$5,Dados!$A$2:$A$49,0))="","",INDEX(Dados!$K$2:$K$49,MATCH($A11&amp;"|"&amp;D$5,Dados!$A$2:$A$49,0))),"")</f>
        <v>1.669097457898807E-2</v>
      </c>
      <c r="E11" s="10">
        <f>IFERROR(IF(INDEX(Dados!$K$2:$K$49,MATCH($A11&amp;"|"&amp;E$5,Dados!$A$2:$A$49,0))="","",INDEX(Dados!$K$2:$K$49,MATCH($A11&amp;"|"&amp;E$5,Dados!$A$2:$A$49,0))),"")</f>
        <v>1.7333356959302947E-2</v>
      </c>
      <c r="F11" s="10">
        <f>IFERROR(IF(INDEX(Dados!$K$2:$K$49,MATCH($A11&amp;"|"&amp;F$5,Dados!$A$2:$A$49,0))="","",INDEX(Dados!$K$2:$K$49,MATCH($A11&amp;"|"&amp;F$5,Dados!$A$2:$A$49,0))),"")</f>
        <v>1.7348468327068618E-2</v>
      </c>
      <c r="G11" s="10">
        <f>IFERROR(IF(INDEX(Dados!$K$2:$K$49,MATCH($A11&amp;"|"&amp;G$5,Dados!$A$2:$A$49,0))="","",INDEX(Dados!$K$2:$K$49,MATCH($A11&amp;"|"&amp;G$5,Dados!$A$2:$A$49,0))),"")</f>
        <v>1.7233607356831403E-2</v>
      </c>
      <c r="H11" s="10">
        <f>IFERROR(IF(INDEX(Dados!$K$2:$K$49,MATCH($A11&amp;"|"&amp;H$5,Dados!$A$2:$A$49,0))="","",INDEX(Dados!$K$2:$K$49,MATCH($A11&amp;"|"&amp;H$5,Dados!$A$2:$A$49,0))),"")</f>
        <v>1.6929848536354923E-2</v>
      </c>
      <c r="I11" s="10">
        <f>IFERROR(IF(INDEX(Dados!$K$2:$K$49,MATCH($A11&amp;"|"&amp;I$5,Dados!$A$2:$A$49,0))="","",INDEX(Dados!$K$2:$K$49,MATCH($A11&amp;"|"&amp;I$5,Dados!$A$2:$A$49,0))),"")</f>
        <v>1.6759180720493518E-2</v>
      </c>
      <c r="J11" s="10">
        <f>IFERROR(IF(INDEX(Dados!$K$2:$K$49,MATCH($A11&amp;"|"&amp;J$5,Dados!$A$2:$A$49,0))="","",INDEX(Dados!$K$2:$K$49,MATCH($A11&amp;"|"&amp;J$5,Dados!$A$2:$A$49,0))),"")</f>
        <v>1.6340962362870998E-2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17113.274976010001</v>
      </c>
      <c r="D12" s="12">
        <f>IFERROR(INDEX(Dados!$J$2:$J$49,MATCH("Governo|"&amp;D$5,Dados!$A$2:$A$49,0))/1000000,"")</f>
        <v>17260.958432750002</v>
      </c>
      <c r="E12" s="12">
        <f>IFERROR(INDEX(Dados!$J$2:$J$49,MATCH("Governo|"&amp;E$5,Dados!$A$2:$A$49,0))/1000000,"")</f>
        <v>17233.040024580001</v>
      </c>
      <c r="F12" s="12">
        <f>IFERROR(INDEX(Dados!$J$2:$J$49,MATCH("Governo|"&amp;F$5,Dados!$A$2:$A$49,0))/1000000,"")</f>
        <v>17882.129591000001</v>
      </c>
      <c r="G12" s="12">
        <f>IFERROR(INDEX(Dados!$J$2:$J$49,MATCH("Governo|"&amp;G$5,Dados!$A$2:$A$49,0))/1000000,"")</f>
        <v>18626.81678266</v>
      </c>
      <c r="H12" s="12">
        <f>IFERROR(INDEX(Dados!$J$2:$J$49,MATCH("Governo|"&amp;H$5,Dados!$A$2:$A$49,0))/1000000,"")</f>
        <v>19507.44907852</v>
      </c>
      <c r="I12" s="12">
        <f>IFERROR(INDEX(Dados!$J$2:$J$49,MATCH("Governo|"&amp;I$5,Dados!$A$2:$A$49,0))/1000000,"")</f>
        <v>20112.661608679999</v>
      </c>
      <c r="J12" s="12">
        <f>IFERROR(INDEX(Dados!$J$2:$J$49,MATCH("Governo|"&amp;J$5,Dados!$A$2:$A$49,0))/1000000,"")</f>
        <v>20958.175998750001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9731.406697209999</v>
      </c>
      <c r="D16" s="13">
        <f>IFERROR(IF(INDEX(Dados!$I$2:$I$49,MATCH($A16&amp;"|"&amp;D$15,Dados!$A$2:$A$49,0))="","",INDEX(Dados!$I$2:$I$49,MATCH($A16&amp;"|"&amp;D$15,Dados!$A$2:$A$49,0))/1000000),"")</f>
        <v>10057.05250817</v>
      </c>
      <c r="E16" s="13">
        <f>IFERROR(IF(INDEX(Dados!$I$2:$I$49,MATCH($A16&amp;"|"&amp;E$15,Dados!$A$2:$A$49,0))="","",INDEX(Dados!$I$2:$I$49,MATCH($A16&amp;"|"&amp;E$15,Dados!$A$2:$A$49,0))/1000000),"")</f>
        <v>9919.7479118499996</v>
      </c>
      <c r="F16" s="13">
        <f>IFERROR(IF(INDEX(Dados!$I$2:$I$49,MATCH($A16&amp;"|"&amp;F$15,Dados!$A$2:$A$49,0))="","",INDEX(Dados!$I$2:$I$49,MATCH($A16&amp;"|"&amp;F$15,Dados!$A$2:$A$49,0))/1000000),"")</f>
        <v>10015.453483120002</v>
      </c>
      <c r="G16" s="13">
        <f>IFERROR(IF(INDEX(Dados!$I$2:$I$49,MATCH($A16&amp;"|"&amp;G$15,Dados!$A$2:$A$49,0))="","",INDEX(Dados!$I$2:$I$49,MATCH($A16&amp;"|"&amp;G$15,Dados!$A$2:$A$49,0))/1000000),"")</f>
        <v>10381.244669489999</v>
      </c>
      <c r="H16" s="13">
        <f>IFERROR(IF(INDEX(Dados!$I$2:$I$49,MATCH($A16&amp;"|"&amp;H$15,Dados!$A$2:$A$49,0))="","",INDEX(Dados!$I$2:$I$49,MATCH($A16&amp;"|"&amp;H$15,Dados!$A$2:$A$49,0))/1000000),"")</f>
        <v>11004.331905620002</v>
      </c>
      <c r="I16" s="13">
        <f>IFERROR(IF(INDEX(Dados!$I$2:$I$49,MATCH($A16&amp;"|"&amp;I$15,Dados!$A$2:$A$49,0))="","",INDEX(Dados!$I$2:$I$49,MATCH($A16&amp;"|"&amp;I$15,Dados!$A$2:$A$49,0))/1000000),"")</f>
        <v>11287.77085689</v>
      </c>
      <c r="J16" s="13">
        <f>IFERROR(IF(INDEX(Dados!$I$2:$I$49,MATCH($A16&amp;"|"&amp;J$15,Dados!$A$2:$A$49,0))="","",INDEX(Dados!$I$2:$I$49,MATCH($A16&amp;"|"&amp;J$15,Dados!$A$2:$A$49,0))/1000000),"")</f>
        <v>11563.398205709998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340.33620925999998</v>
      </c>
      <c r="D17" s="14">
        <f>IFERROR(IF(INDEX(Dados!$I$2:$I$49,MATCH($A17&amp;"|"&amp;D$15,Dados!$A$2:$A$49,0))="","",INDEX(Dados!$I$2:$I$49,MATCH($A17&amp;"|"&amp;D$15,Dados!$A$2:$A$49,0))/1000000),"")</f>
        <v>331.89739533999995</v>
      </c>
      <c r="E17" s="14">
        <f>IFERROR(IF(INDEX(Dados!$I$2:$I$49,MATCH($A17&amp;"|"&amp;E$15,Dados!$A$2:$A$49,0))="","",INDEX(Dados!$I$2:$I$49,MATCH($A17&amp;"|"&amp;E$15,Dados!$A$2:$A$49,0))/1000000),"")</f>
        <v>369.39127023000003</v>
      </c>
      <c r="F17" s="14">
        <f>IFERROR(IF(INDEX(Dados!$I$2:$I$49,MATCH($A17&amp;"|"&amp;F$15,Dados!$A$2:$A$49,0))="","",INDEX(Dados!$I$2:$I$49,MATCH($A17&amp;"|"&amp;F$15,Dados!$A$2:$A$49,0))/1000000),"")</f>
        <v>388.32957807999998</v>
      </c>
      <c r="G17" s="14">
        <f>IFERROR(IF(INDEX(Dados!$I$2:$I$49,MATCH($A17&amp;"|"&amp;G$15,Dados!$A$2:$A$49,0))="","",INDEX(Dados!$I$2:$I$49,MATCH($A17&amp;"|"&amp;G$15,Dados!$A$2:$A$49,0))/1000000),"")</f>
        <v>410.59584616000001</v>
      </c>
      <c r="H17" s="14">
        <f>IFERROR(IF(INDEX(Dados!$I$2:$I$49,MATCH($A17&amp;"|"&amp;H$15,Dados!$A$2:$A$49,0))="","",INDEX(Dados!$I$2:$I$49,MATCH($A17&amp;"|"&amp;H$15,Dados!$A$2:$A$49,0))/1000000),"")</f>
        <v>401.74873760000003</v>
      </c>
      <c r="I17" s="14">
        <f>IFERROR(IF(INDEX(Dados!$I$2:$I$49,MATCH($A17&amp;"|"&amp;I$15,Dados!$A$2:$A$49,0))="","",INDEX(Dados!$I$2:$I$49,MATCH($A17&amp;"|"&amp;I$15,Dados!$A$2:$A$49,0))/1000000),"")</f>
        <v>411.68523930999999</v>
      </c>
      <c r="J17" s="14">
        <f>IFERROR(IF(INDEX(Dados!$I$2:$I$49,MATCH($A17&amp;"|"&amp;J$15,Dados!$A$2:$A$49,0))="","",INDEX(Dados!$I$2:$I$49,MATCH($A17&amp;"|"&amp;J$15,Dados!$A$2:$A$49,0))/1000000),"")</f>
        <v>420.30087424999999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878.12984988999995</v>
      </c>
      <c r="D18" s="14">
        <f>IFERROR(IF(INDEX(Dados!$I$2:$I$49,MATCH($A18&amp;"|"&amp;D$15,Dados!$A$2:$A$49,0))="","",INDEX(Dados!$I$2:$I$49,MATCH($A18&amp;"|"&amp;D$15,Dados!$A$2:$A$49,0))/1000000),"")</f>
        <v>896.07689190999997</v>
      </c>
      <c r="E18" s="14">
        <f>IFERROR(IF(INDEX(Dados!$I$2:$I$49,MATCH($A18&amp;"|"&amp;E$15,Dados!$A$2:$A$49,0))="","",INDEX(Dados!$I$2:$I$49,MATCH($A18&amp;"|"&amp;E$15,Dados!$A$2:$A$49,0))/1000000),"")</f>
        <v>895.80452736999996</v>
      </c>
      <c r="F18" s="14">
        <f>IFERROR(IF(INDEX(Dados!$I$2:$I$49,MATCH($A18&amp;"|"&amp;F$15,Dados!$A$2:$A$49,0))="","",INDEX(Dados!$I$2:$I$49,MATCH($A18&amp;"|"&amp;F$15,Dados!$A$2:$A$49,0))/1000000),"")</f>
        <v>921.10120517999997</v>
      </c>
      <c r="G18" s="14">
        <f>IFERROR(IF(INDEX(Dados!$I$2:$I$49,MATCH($A18&amp;"|"&amp;G$15,Dados!$A$2:$A$49,0))="","",INDEX(Dados!$I$2:$I$49,MATCH($A18&amp;"|"&amp;G$15,Dados!$A$2:$A$49,0))/1000000),"")</f>
        <v>972.61270950000005</v>
      </c>
      <c r="H18" s="14">
        <f>IFERROR(IF(INDEX(Dados!$I$2:$I$49,MATCH($A18&amp;"|"&amp;H$15,Dados!$A$2:$A$49,0))="","",INDEX(Dados!$I$2:$I$49,MATCH($A18&amp;"|"&amp;H$15,Dados!$A$2:$A$49,0))/1000000),"")</f>
        <v>988.50256910999997</v>
      </c>
      <c r="I18" s="14">
        <f>IFERROR(IF(INDEX(Dados!$I$2:$I$49,MATCH($A18&amp;"|"&amp;I$15,Dados!$A$2:$A$49,0))="","",INDEX(Dados!$I$2:$I$49,MATCH($A18&amp;"|"&amp;I$15,Dados!$A$2:$A$49,0))/1000000),"")</f>
        <v>1005.7334630800001</v>
      </c>
      <c r="J18" s="14">
        <f>IFERROR(IF(INDEX(Dados!$I$2:$I$49,MATCH($A18&amp;"|"&amp;J$15,Dados!$A$2:$A$49,0))="","",INDEX(Dados!$I$2:$I$49,MATCH($A18&amp;"|"&amp;J$15,Dados!$A$2:$A$49,0))/1000000),"")</f>
        <v>1009.48617428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87.441176939999991</v>
      </c>
      <c r="D19" s="14">
        <f>IFERROR(IF(INDEX(Dados!$I$2:$I$49,MATCH($A19&amp;"|"&amp;D$15,Dados!$A$2:$A$49,0))="","",INDEX(Dados!$I$2:$I$49,MATCH($A19&amp;"|"&amp;D$15,Dados!$A$2:$A$49,0))/1000000),"")</f>
        <v>92.100821159999995</v>
      </c>
      <c r="E19" s="14">
        <f>IFERROR(IF(INDEX(Dados!$I$2:$I$49,MATCH($A19&amp;"|"&amp;E$15,Dados!$A$2:$A$49,0))="","",INDEX(Dados!$I$2:$I$49,MATCH($A19&amp;"|"&amp;E$15,Dados!$A$2:$A$49,0))/1000000),"")</f>
        <v>100.40214082999999</v>
      </c>
      <c r="F19" s="14">
        <f>IFERROR(IF(INDEX(Dados!$I$2:$I$49,MATCH($A19&amp;"|"&amp;F$15,Dados!$A$2:$A$49,0))="","",INDEX(Dados!$I$2:$I$49,MATCH($A19&amp;"|"&amp;F$15,Dados!$A$2:$A$49,0))/1000000),"")</f>
        <v>113.16833309</v>
      </c>
      <c r="G19" s="14">
        <f>IFERROR(IF(INDEX(Dados!$I$2:$I$49,MATCH($A19&amp;"|"&amp;G$15,Dados!$A$2:$A$49,0))="","",INDEX(Dados!$I$2:$I$49,MATCH($A19&amp;"|"&amp;G$15,Dados!$A$2:$A$49,0))/1000000),"")</f>
        <v>124.57558586</v>
      </c>
      <c r="H19" s="14">
        <f>IFERROR(IF(INDEX(Dados!$I$2:$I$49,MATCH($A19&amp;"|"&amp;H$15,Dados!$A$2:$A$49,0))="","",INDEX(Dados!$I$2:$I$49,MATCH($A19&amp;"|"&amp;H$15,Dados!$A$2:$A$49,0))/1000000),"")</f>
        <v>127.63138436</v>
      </c>
      <c r="I19" s="14">
        <f>IFERROR(IF(INDEX(Dados!$I$2:$I$49,MATCH($A19&amp;"|"&amp;I$15,Dados!$A$2:$A$49,0))="","",INDEX(Dados!$I$2:$I$49,MATCH($A19&amp;"|"&amp;I$15,Dados!$A$2:$A$49,0))/1000000),"")</f>
        <v>132.0476851</v>
      </c>
      <c r="J19" s="14">
        <f>IFERROR(IF(INDEX(Dados!$I$2:$I$49,MATCH($A19&amp;"|"&amp;J$15,Dados!$A$2:$A$49,0))="","",INDEX(Dados!$I$2:$I$49,MATCH($A19&amp;"|"&amp;J$15,Dados!$A$2:$A$49,0))/1000000),"")</f>
        <v>130.51739068000001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66.296703249999993</v>
      </c>
      <c r="D20" s="14">
        <f>IFERROR(IF(INDEX(Dados!$I$2:$I$49,MATCH($A20&amp;"|"&amp;D$15,Dados!$A$2:$A$49,0))="","",INDEX(Dados!$I$2:$I$49,MATCH($A20&amp;"|"&amp;D$15,Dados!$A$2:$A$49,0))/1000000),"")</f>
        <v>67.480370530000002</v>
      </c>
      <c r="E20" s="14">
        <f>IFERROR(IF(INDEX(Dados!$I$2:$I$49,MATCH($A20&amp;"|"&amp;E$15,Dados!$A$2:$A$49,0))="","",INDEX(Dados!$I$2:$I$49,MATCH($A20&amp;"|"&amp;E$15,Dados!$A$2:$A$49,0))/1000000),"")</f>
        <v>72.778638180000002</v>
      </c>
      <c r="F20" s="14">
        <f>IFERROR(IF(INDEX(Dados!$I$2:$I$49,MATCH($A20&amp;"|"&amp;F$15,Dados!$A$2:$A$49,0))="","",INDEX(Dados!$I$2:$I$49,MATCH($A20&amp;"|"&amp;F$15,Dados!$A$2:$A$49,0))/1000000),"")</f>
        <v>76.380835829999995</v>
      </c>
      <c r="G20" s="14">
        <f>IFERROR(IF(INDEX(Dados!$I$2:$I$49,MATCH($A20&amp;"|"&amp;G$15,Dados!$A$2:$A$49,0))="","",INDEX(Dados!$I$2:$I$49,MATCH($A20&amp;"|"&amp;G$15,Dados!$A$2:$A$49,0))/1000000),"")</f>
        <v>82.059533979999998</v>
      </c>
      <c r="H20" s="14">
        <f>IFERROR(IF(INDEX(Dados!$I$2:$I$49,MATCH($A20&amp;"|"&amp;H$15,Dados!$A$2:$A$49,0))="","",INDEX(Dados!$I$2:$I$49,MATCH($A20&amp;"|"&amp;H$15,Dados!$A$2:$A$49,0))/1000000),"")</f>
        <v>81.405300120000007</v>
      </c>
      <c r="I20" s="14">
        <f>IFERROR(IF(INDEX(Dados!$I$2:$I$49,MATCH($A20&amp;"|"&amp;I$15,Dados!$A$2:$A$49,0))="","",INDEX(Dados!$I$2:$I$49,MATCH($A20&amp;"|"&amp;I$15,Dados!$A$2:$A$49,0))/1000000),"")</f>
        <v>84.962018939999993</v>
      </c>
      <c r="J20" s="14">
        <f>IFERROR(IF(INDEX(Dados!$I$2:$I$49,MATCH($A20&amp;"|"&amp;J$15,Dados!$A$2:$A$49,0))="","",INDEX(Dados!$I$2:$I$49,MATCH($A20&amp;"|"&amp;J$15,Dados!$A$2:$A$49,0))/1000000),"")</f>
        <v>86.637014379999997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277.2437597</v>
      </c>
      <c r="D21" s="14">
        <f>IFERROR(IF(INDEX(Dados!$I$2:$I$49,MATCH($A21&amp;"|"&amp;D$15,Dados!$A$2:$A$49,0))="","",INDEX(Dados!$I$2:$I$49,MATCH($A21&amp;"|"&amp;D$15,Dados!$A$2:$A$49,0))/1000000),"")</f>
        <v>288.10221841000003</v>
      </c>
      <c r="E21" s="14">
        <f>IFERROR(IF(INDEX(Dados!$I$2:$I$49,MATCH($A21&amp;"|"&amp;E$15,Dados!$A$2:$A$49,0))="","",INDEX(Dados!$I$2:$I$49,MATCH($A21&amp;"|"&amp;E$15,Dados!$A$2:$A$49,0))/1000000),"")</f>
        <v>298.70643424000002</v>
      </c>
      <c r="F21" s="14">
        <f>IFERROR(IF(INDEX(Dados!$I$2:$I$49,MATCH($A21&amp;"|"&amp;F$15,Dados!$A$2:$A$49,0))="","",INDEX(Dados!$I$2:$I$49,MATCH($A21&amp;"|"&amp;F$15,Dados!$A$2:$A$49,0))/1000000),"")</f>
        <v>310.22755882999996</v>
      </c>
      <c r="G21" s="14">
        <f>IFERROR(IF(INDEX(Dados!$I$2:$I$49,MATCH($A21&amp;"|"&amp;G$15,Dados!$A$2:$A$49,0))="","",INDEX(Dados!$I$2:$I$49,MATCH($A21&amp;"|"&amp;G$15,Dados!$A$2:$A$49,0))/1000000),"")</f>
        <v>321.00724674000003</v>
      </c>
      <c r="H21" s="14">
        <f>IFERROR(IF(INDEX(Dados!$I$2:$I$49,MATCH($A21&amp;"|"&amp;H$15,Dados!$A$2:$A$49,0))="","",INDEX(Dados!$I$2:$I$49,MATCH($A21&amp;"|"&amp;H$15,Dados!$A$2:$A$49,0))/1000000),"")</f>
        <v>330.25815822999999</v>
      </c>
      <c r="I21" s="14">
        <f>IFERROR(IF(INDEX(Dados!$I$2:$I$49,MATCH($A21&amp;"|"&amp;I$15,Dados!$A$2:$A$49,0))="","",INDEX(Dados!$I$2:$I$49,MATCH($A21&amp;"|"&amp;I$15,Dados!$A$2:$A$49,0))/1000000),"")</f>
        <v>337.07173067000002</v>
      </c>
      <c r="J21" s="14">
        <f>IFERROR(IF(INDEX(Dados!$I$2:$I$49,MATCH($A21&amp;"|"&amp;J$15,Dados!$A$2:$A$49,0))="","",INDEX(Dados!$I$2:$I$49,MATCH($A21&amp;"|"&amp;J$15,Dados!$A$2:$A$49,0))/1000000),"")</f>
        <v>342.47676518999998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9731406697.2099991</v>
      </c>
      <c r="J2" s="15">
        <v>17113274976.01</v>
      </c>
      <c r="K2" s="10">
        <f t="shared" ref="K2:K49" si="1">IF(OR(I2="",J2="",J2=0),"",I2/J2)</f>
        <v>0.56864666236309724</v>
      </c>
      <c r="L2" s="16">
        <v>0.56859999999999999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8385504738.2399998</v>
      </c>
      <c r="R2" s="15">
        <v>7966229501.3299999</v>
      </c>
      <c r="S2" s="15">
        <v>7546954264.4200001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Acima do limite máximo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10057052508.17</v>
      </c>
      <c r="J3" s="15">
        <v>17260958432.75</v>
      </c>
      <c r="K3" s="10">
        <f t="shared" si="1"/>
        <v>0.58264739744047456</v>
      </c>
      <c r="L3" s="16">
        <v>0.58260000000000001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8457869632.0500002</v>
      </c>
      <c r="R3" s="15">
        <v>8034976150.4499998</v>
      </c>
      <c r="S3" s="15">
        <v>7612082668.8500004</v>
      </c>
      <c r="T3" s="9" t="str">
        <f t="shared" si="3"/>
        <v>Acima do limite máximo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9919747911.8500004</v>
      </c>
      <c r="J4" s="15">
        <v>17233040024.580002</v>
      </c>
      <c r="K4" s="10">
        <f t="shared" si="1"/>
        <v>0.57562379578421252</v>
      </c>
      <c r="L4" s="16">
        <v>0.5756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8444189612.04</v>
      </c>
      <c r="R4" s="15">
        <v>8021980131.4399996</v>
      </c>
      <c r="S4" s="15">
        <v>7599770650.8400002</v>
      </c>
      <c r="T4" s="9" t="str">
        <f t="shared" si="3"/>
        <v>Acima do limite máximo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10015453483.120001</v>
      </c>
      <c r="J5" s="15">
        <v>17882129591</v>
      </c>
      <c r="K5" s="10">
        <f t="shared" si="1"/>
        <v>0.56008169676618025</v>
      </c>
      <c r="L5" s="16">
        <v>0.56009999999999993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8762243499.5900002</v>
      </c>
      <c r="R5" s="15">
        <v>8324131324.6099997</v>
      </c>
      <c r="S5" s="15">
        <v>7886019149.6300001</v>
      </c>
      <c r="T5" s="9" t="str">
        <f t="shared" si="3"/>
        <v>Acima do limite máximo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10381244669.49</v>
      </c>
      <c r="J6" s="15">
        <v>18626816782.66</v>
      </c>
      <c r="K6" s="10">
        <f t="shared" si="1"/>
        <v>0.55732789937323401</v>
      </c>
      <c r="L6" s="16">
        <v>0.55730000000000002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9127140223.5</v>
      </c>
      <c r="R6" s="15">
        <v>8670783212.3299999</v>
      </c>
      <c r="S6" s="15">
        <v>8214426201.1499996</v>
      </c>
      <c r="T6" s="9" t="str">
        <f t="shared" si="3"/>
        <v>Acima do limite máximo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11004331905.620001</v>
      </c>
      <c r="J7" s="15">
        <v>19507449078.52</v>
      </c>
      <c r="K7" s="10">
        <f t="shared" si="1"/>
        <v>0.56410922111477235</v>
      </c>
      <c r="L7" s="16">
        <v>0.56409999999999993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9558650048.4699993</v>
      </c>
      <c r="R7" s="15">
        <v>9080717546.0499992</v>
      </c>
      <c r="S7" s="15">
        <v>8602785043.6200008</v>
      </c>
      <c r="T7" s="9" t="str">
        <f t="shared" si="3"/>
        <v>Acima do limite máximo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11287770856.889999</v>
      </c>
      <c r="J8" s="15">
        <v>20112661608.68</v>
      </c>
      <c r="K8" s="10">
        <f t="shared" si="1"/>
        <v>0.56122710541793974</v>
      </c>
      <c r="L8" s="16">
        <v>0.56119999999999992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9855204188.25</v>
      </c>
      <c r="R8" s="15">
        <v>9362443978.8400002</v>
      </c>
      <c r="S8" s="15">
        <v>8869683769.4300003</v>
      </c>
      <c r="T8" s="9" t="str">
        <f t="shared" si="3"/>
        <v>Acima do limite máximo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11563398205.709999</v>
      </c>
      <c r="J9" s="15">
        <v>20958175998.75</v>
      </c>
      <c r="K9" s="10">
        <f t="shared" si="1"/>
        <v>0.55173685946714401</v>
      </c>
      <c r="L9" s="16">
        <v>0.55169999999999997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10269506239.389999</v>
      </c>
      <c r="R9" s="15">
        <v>9756030927.4200001</v>
      </c>
      <c r="S9" s="15">
        <v>9242555615.4500008</v>
      </c>
      <c r="T9" s="9" t="str">
        <f t="shared" si="3"/>
        <v>Acima do limite máximo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340336209.25999999</v>
      </c>
      <c r="J10" s="15">
        <v>17113274976.01</v>
      </c>
      <c r="K10" s="10">
        <f t="shared" si="1"/>
        <v>1.9887263527121224E-2</v>
      </c>
      <c r="L10" s="16">
        <v>1.9900000000000001E-2</v>
      </c>
      <c r="M10" s="9" t="str">
        <f t="shared" si="2"/>
        <v>Sim</v>
      </c>
      <c r="N10" s="16">
        <v>2.35E-2</v>
      </c>
      <c r="O10" s="16">
        <v>2.23E-2</v>
      </c>
      <c r="P10" s="16">
        <v>2.12E-2</v>
      </c>
      <c r="Q10" s="15">
        <v>402161961.94</v>
      </c>
      <c r="R10" s="15">
        <v>382053863.83999997</v>
      </c>
      <c r="S10" s="15">
        <v>361945765.75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331897395.33999997</v>
      </c>
      <c r="J11" s="15">
        <v>17260958432.75</v>
      </c>
      <c r="K11" s="10">
        <f t="shared" si="1"/>
        <v>1.9228213579975721E-2</v>
      </c>
      <c r="L11" s="16">
        <v>1.9199999999999998E-2</v>
      </c>
      <c r="M11" s="9" t="str">
        <f t="shared" si="2"/>
        <v>Sim</v>
      </c>
      <c r="N11" s="16">
        <v>2.3199999999999998E-2</v>
      </c>
      <c r="O11" s="16">
        <v>2.1999999999999999E-2</v>
      </c>
      <c r="P11" s="16">
        <v>2.0899999999999998E-2</v>
      </c>
      <c r="Q11" s="15">
        <v>400454235.63999999</v>
      </c>
      <c r="R11" s="15">
        <v>380431523.86000001</v>
      </c>
      <c r="S11" s="15">
        <v>360408812.07999998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369391270.23000002</v>
      </c>
      <c r="J12" s="15">
        <v>17233040024.580002</v>
      </c>
      <c r="K12" s="10">
        <f t="shared" si="1"/>
        <v>2.1435061353256662E-2</v>
      </c>
      <c r="L12" s="16">
        <v>2.1399999999999999E-2</v>
      </c>
      <c r="M12" s="9" t="str">
        <f t="shared" si="2"/>
        <v>Sim</v>
      </c>
      <c r="N12" s="16">
        <v>2.3199999999999998E-2</v>
      </c>
      <c r="O12" s="16">
        <v>2.1999999999999999E-2</v>
      </c>
      <c r="P12" s="16">
        <v>2.0899999999999998E-2</v>
      </c>
      <c r="Q12" s="15">
        <v>399806528.56999999</v>
      </c>
      <c r="R12" s="15">
        <v>379816202.13999999</v>
      </c>
      <c r="S12" s="15">
        <v>359825875.70999998</v>
      </c>
      <c r="T12" s="9" t="str">
        <f t="shared" si="3"/>
        <v>Acima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388329578.07999998</v>
      </c>
      <c r="J13" s="15">
        <v>17882129591</v>
      </c>
      <c r="K13" s="10">
        <f t="shared" si="1"/>
        <v>2.1716070007424877E-2</v>
      </c>
      <c r="L13" s="16">
        <v>2.1700000000000001E-2</v>
      </c>
      <c r="M13" s="9" t="str">
        <f t="shared" si="2"/>
        <v>Sim</v>
      </c>
      <c r="N13" s="16">
        <v>2.29E-2</v>
      </c>
      <c r="O13" s="16">
        <v>2.18E-2</v>
      </c>
      <c r="P13" s="16">
        <v>2.06E-2</v>
      </c>
      <c r="Q13" s="15">
        <v>409500767.63</v>
      </c>
      <c r="R13" s="15">
        <v>389025729.25</v>
      </c>
      <c r="S13" s="15">
        <v>368550690.87</v>
      </c>
      <c r="T13" s="9" t="str">
        <f t="shared" si="3"/>
        <v>Acima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410595846.16000003</v>
      </c>
      <c r="J14" s="15">
        <v>18626816781.66</v>
      </c>
      <c r="K14" s="10">
        <f t="shared" si="1"/>
        <v>2.2043264341563368E-2</v>
      </c>
      <c r="L14" s="16">
        <v>2.1999999999999999E-2</v>
      </c>
      <c r="M14" s="9" t="str">
        <f t="shared" si="2"/>
        <v>Sim</v>
      </c>
      <c r="N14" s="16">
        <v>2.29E-2</v>
      </c>
      <c r="O14" s="16">
        <v>2.18E-2</v>
      </c>
      <c r="P14" s="16">
        <v>2.06E-2</v>
      </c>
      <c r="Q14" s="15">
        <v>426554104.30000001</v>
      </c>
      <c r="R14" s="15">
        <v>405226399.08999997</v>
      </c>
      <c r="S14" s="15">
        <v>383898693.87</v>
      </c>
      <c r="T14" s="9" t="str">
        <f t="shared" si="3"/>
        <v>Acima do limite prudencial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401748737.60000002</v>
      </c>
      <c r="J15" s="15">
        <v>19507449078.52</v>
      </c>
      <c r="K15" s="10">
        <f t="shared" si="1"/>
        <v>2.0594632131700537E-2</v>
      </c>
      <c r="L15" s="16">
        <v>2.06E-2</v>
      </c>
      <c r="M15" s="9" t="str">
        <f t="shared" si="2"/>
        <v>Sim</v>
      </c>
      <c r="N15" s="16">
        <v>2.29E-2</v>
      </c>
      <c r="O15" s="16">
        <v>2.18E-2</v>
      </c>
      <c r="P15" s="16">
        <v>2.06E-2</v>
      </c>
      <c r="Q15" s="15">
        <v>446720583.89999998</v>
      </c>
      <c r="R15" s="15">
        <v>424384554.70999998</v>
      </c>
      <c r="S15" s="15">
        <v>402048525.50999999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411685239.31</v>
      </c>
      <c r="J16" s="15">
        <v>20112661608.68</v>
      </c>
      <c r="K16" s="10">
        <f t="shared" si="1"/>
        <v>2.0468958674884154E-2</v>
      </c>
      <c r="L16" s="16">
        <v>2.0500000000000001E-2</v>
      </c>
      <c r="M16" s="9" t="str">
        <f t="shared" si="2"/>
        <v>Sim</v>
      </c>
      <c r="N16" s="16">
        <v>2.2599999999999999E-2</v>
      </c>
      <c r="O16" s="16">
        <v>2.1499999999999998E-2</v>
      </c>
      <c r="P16" s="16">
        <v>2.0299999999999999E-2</v>
      </c>
      <c r="Q16" s="15">
        <v>454546152.36000001</v>
      </c>
      <c r="R16" s="15">
        <v>431818844.74000001</v>
      </c>
      <c r="S16" s="15">
        <v>409091537.12</v>
      </c>
      <c r="T16" s="9" t="str">
        <f t="shared" si="3"/>
        <v>Acima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420300874.25</v>
      </c>
      <c r="J17" s="15">
        <v>20958175998.75</v>
      </c>
      <c r="K17" s="10">
        <f t="shared" si="1"/>
        <v>2.0054267808184634E-2</v>
      </c>
      <c r="L17" s="16">
        <v>2.01E-2</v>
      </c>
      <c r="M17" s="9" t="str">
        <f t="shared" si="2"/>
        <v>Sim</v>
      </c>
      <c r="N17" s="16">
        <v>2.2599999999999999E-2</v>
      </c>
      <c r="O17" s="16">
        <v>2.1499999999999998E-2</v>
      </c>
      <c r="P17" s="16">
        <v>2.0299999999999999E-2</v>
      </c>
      <c r="Q17" s="15">
        <v>473654777.56999999</v>
      </c>
      <c r="R17" s="15">
        <v>449972038.69</v>
      </c>
      <c r="S17" s="15">
        <v>426289299.81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878129849.88999999</v>
      </c>
      <c r="J18" s="15">
        <v>17113274976.01</v>
      </c>
      <c r="K18" s="10">
        <f t="shared" si="1"/>
        <v>5.1312787945089047E-2</v>
      </c>
      <c r="L18" s="16">
        <v>5.1299999999999998E-2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1026796498.5599999</v>
      </c>
      <c r="R18" s="15">
        <v>975456673.63</v>
      </c>
      <c r="S18" s="15">
        <v>924116848.70000005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896076891.90999997</v>
      </c>
      <c r="J19" s="15">
        <v>17260958432.75</v>
      </c>
      <c r="K19" s="10">
        <f t="shared" si="1"/>
        <v>5.1913507317753141E-2</v>
      </c>
      <c r="L19" s="16">
        <v>5.1900000000000002E-2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1035657505.97</v>
      </c>
      <c r="R19" s="15">
        <v>983874630.66999996</v>
      </c>
      <c r="S19" s="15">
        <v>932091755.37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895804527.37</v>
      </c>
      <c r="J20" s="15">
        <v>17233040024.580002</v>
      </c>
      <c r="K20" s="10">
        <f t="shared" si="1"/>
        <v>5.1981805072830282E-2</v>
      </c>
      <c r="L20" s="16">
        <v>5.1999999999999998E-2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1033982401.47</v>
      </c>
      <c r="R20" s="15">
        <v>982283281.39999998</v>
      </c>
      <c r="S20" s="15">
        <v>930584161.32000005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921101205.17999995</v>
      </c>
      <c r="J21" s="15">
        <v>17882129591</v>
      </c>
      <c r="K21" s="10">
        <f t="shared" si="1"/>
        <v>5.150959232750367E-2</v>
      </c>
      <c r="L21" s="16">
        <v>5.1499999999999997E-2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1072927775.46</v>
      </c>
      <c r="R21" s="15">
        <v>1019281386.6900001</v>
      </c>
      <c r="S21" s="15">
        <v>965634997.90999997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972612709.5</v>
      </c>
      <c r="J22" s="15">
        <v>18626816782.66</v>
      </c>
      <c r="K22" s="10">
        <f t="shared" si="1"/>
        <v>5.2215723215005831E-2</v>
      </c>
      <c r="L22" s="16">
        <v>5.2200000000000003E-2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1117609006.96</v>
      </c>
      <c r="R22" s="15">
        <v>1061728556.61</v>
      </c>
      <c r="S22" s="15">
        <v>1005848106.26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988502569.11000001</v>
      </c>
      <c r="J23" s="15">
        <v>19507449078.52</v>
      </c>
      <c r="K23" s="10">
        <f t="shared" si="1"/>
        <v>5.067308212012496E-2</v>
      </c>
      <c r="L23" s="16">
        <v>5.0700000000000002E-2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1170446944.71</v>
      </c>
      <c r="R23" s="15">
        <v>1111924597.47</v>
      </c>
      <c r="S23" s="15">
        <v>1053402250.24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1005733463.08</v>
      </c>
      <c r="J24" s="15">
        <v>20112661608.68</v>
      </c>
      <c r="K24" s="10">
        <f t="shared" si="1"/>
        <v>5.0004991017496996E-2</v>
      </c>
      <c r="L24" s="16">
        <v>0.05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1206759696.52</v>
      </c>
      <c r="R24" s="15">
        <v>1146421711.6900001</v>
      </c>
      <c r="S24" s="15">
        <v>1086083726.8699999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1009486174.28</v>
      </c>
      <c r="J25" s="15">
        <v>20958175998.75</v>
      </c>
      <c r="K25" s="10">
        <f t="shared" si="1"/>
        <v>4.8166699923705592E-2</v>
      </c>
      <c r="L25" s="16">
        <v>4.82E-2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1257490559.9300001</v>
      </c>
      <c r="R25" s="15">
        <v>1194616031.9300001</v>
      </c>
      <c r="S25" s="15">
        <v>1131741503.9400001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87441176.939999998</v>
      </c>
      <c r="J26" s="15">
        <v>17113274976.01</v>
      </c>
      <c r="K26" s="10">
        <f t="shared" si="1"/>
        <v>5.109552500183522E-3</v>
      </c>
      <c r="L26" s="16">
        <v>5.1000000000000004E-3</v>
      </c>
      <c r="M26" s="9" t="str">
        <f t="shared" si="2"/>
        <v>Sim</v>
      </c>
      <c r="N26" s="16">
        <v>6.7999999999999996E-3</v>
      </c>
      <c r="O26" s="16">
        <v>6.5000000000000006E-3</v>
      </c>
      <c r="P26" s="16">
        <v>6.1000000000000004E-3</v>
      </c>
      <c r="Q26" s="15">
        <v>116370269.84</v>
      </c>
      <c r="R26" s="15">
        <v>110551756.34999999</v>
      </c>
      <c r="S26" s="15">
        <v>104733242.86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92100821.159999996</v>
      </c>
      <c r="J27" s="15">
        <v>17260958432.75</v>
      </c>
      <c r="K27" s="10">
        <f t="shared" si="1"/>
        <v>5.3357883641764019E-3</v>
      </c>
      <c r="L27" s="16">
        <v>5.3E-3</v>
      </c>
      <c r="M27" s="9" t="str">
        <f t="shared" si="2"/>
        <v>Sim</v>
      </c>
      <c r="N27" s="16">
        <v>6.7999999999999996E-3</v>
      </c>
      <c r="O27" s="16">
        <v>6.5000000000000006E-3</v>
      </c>
      <c r="P27" s="16">
        <v>6.1000000000000004E-3</v>
      </c>
      <c r="Q27" s="15">
        <v>117374517.34</v>
      </c>
      <c r="R27" s="15">
        <v>111505791.47</v>
      </c>
      <c r="S27" s="15">
        <v>105637065.61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100402140.83</v>
      </c>
      <c r="J28" s="15">
        <v>17233040024.580002</v>
      </c>
      <c r="K28" s="10">
        <f t="shared" si="1"/>
        <v>5.826142148268292E-3</v>
      </c>
      <c r="L28" s="16">
        <v>5.7999999999999996E-3</v>
      </c>
      <c r="M28" s="9" t="str">
        <f t="shared" si="2"/>
        <v>Sim</v>
      </c>
      <c r="N28" s="16">
        <v>6.7999999999999996E-3</v>
      </c>
      <c r="O28" s="16">
        <v>6.5000000000000006E-3</v>
      </c>
      <c r="P28" s="16">
        <v>6.1000000000000004E-3</v>
      </c>
      <c r="Q28" s="15">
        <v>117184672.17</v>
      </c>
      <c r="R28" s="15">
        <v>111325438.56</v>
      </c>
      <c r="S28" s="15">
        <v>105466204.95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113168333.09</v>
      </c>
      <c r="J29" s="15">
        <v>17882129591</v>
      </c>
      <c r="K29" s="10">
        <f t="shared" si="1"/>
        <v>6.3285713546644435E-3</v>
      </c>
      <c r="L29" s="16">
        <v>6.3E-3</v>
      </c>
      <c r="M29" s="9" t="str">
        <f t="shared" si="2"/>
        <v>Sim</v>
      </c>
      <c r="N29" s="16">
        <v>7.1000000000000004E-3</v>
      </c>
      <c r="O29" s="16">
        <v>6.7000000000000002E-3</v>
      </c>
      <c r="P29" s="16">
        <v>6.4000000000000003E-3</v>
      </c>
      <c r="Q29" s="15">
        <v>126963120.09999999</v>
      </c>
      <c r="R29" s="15">
        <v>120614964.09999999</v>
      </c>
      <c r="S29" s="15">
        <v>114266808.09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124575585.86</v>
      </c>
      <c r="J30" s="15">
        <v>18626816782.66</v>
      </c>
      <c r="K30" s="10">
        <f t="shared" si="1"/>
        <v>6.6879696790688031E-3</v>
      </c>
      <c r="L30" s="16">
        <v>6.7000000000000002E-3</v>
      </c>
      <c r="M30" s="9" t="str">
        <f t="shared" si="2"/>
        <v>Sim</v>
      </c>
      <c r="N30" s="16">
        <v>7.1000000000000004E-3</v>
      </c>
      <c r="O30" s="16">
        <v>6.7000000000000002E-3</v>
      </c>
      <c r="P30" s="16">
        <v>6.4000000000000003E-3</v>
      </c>
      <c r="Q30" s="15">
        <v>132250399.16</v>
      </c>
      <c r="R30" s="15">
        <v>125637879.2</v>
      </c>
      <c r="S30" s="15">
        <v>119025359.23999999</v>
      </c>
      <c r="T30" s="9" t="str">
        <f t="shared" si="3"/>
        <v>Acima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127631384.36</v>
      </c>
      <c r="J31" s="15">
        <v>19507449078.52</v>
      </c>
      <c r="K31" s="10">
        <f t="shared" si="1"/>
        <v>6.5426998602568284E-3</v>
      </c>
      <c r="L31" s="16">
        <v>6.5000000000000006E-3</v>
      </c>
      <c r="M31" s="9" t="str">
        <f t="shared" si="2"/>
        <v>Sim</v>
      </c>
      <c r="N31" s="16">
        <v>7.1000000000000004E-3</v>
      </c>
      <c r="O31" s="16">
        <v>6.7000000000000002E-3</v>
      </c>
      <c r="P31" s="16">
        <v>6.4000000000000003E-3</v>
      </c>
      <c r="Q31" s="15">
        <v>138502888.46000001</v>
      </c>
      <c r="R31" s="15">
        <v>131577744.04000001</v>
      </c>
      <c r="S31" s="15">
        <v>124652599.61</v>
      </c>
      <c r="T31" s="9" t="str">
        <f t="shared" si="3"/>
        <v>Acima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132047685.09999999</v>
      </c>
      <c r="J32" s="15">
        <v>20112661608.68</v>
      </c>
      <c r="K32" s="10">
        <f t="shared" si="1"/>
        <v>6.5654008240765265E-3</v>
      </c>
      <c r="L32" s="16">
        <v>6.6E-3</v>
      </c>
      <c r="M32" s="9" t="str">
        <f t="shared" si="2"/>
        <v>Sim</v>
      </c>
      <c r="N32" s="16">
        <v>7.4000000000000003E-3</v>
      </c>
      <c r="O32" s="16">
        <v>6.9999999999999993E-3</v>
      </c>
      <c r="P32" s="16">
        <v>6.7000000000000002E-3</v>
      </c>
      <c r="Q32" s="15">
        <v>148833695.90000001</v>
      </c>
      <c r="R32" s="15">
        <v>141392011.11000001</v>
      </c>
      <c r="S32" s="15">
        <v>133950326.31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130517390.68000001</v>
      </c>
      <c r="J33" s="15">
        <v>20958175998.75</v>
      </c>
      <c r="K33" s="10">
        <f t="shared" si="1"/>
        <v>6.2275166831209164E-3</v>
      </c>
      <c r="L33" s="16">
        <v>6.1999999999999998E-3</v>
      </c>
      <c r="M33" s="9" t="str">
        <f t="shared" si="2"/>
        <v>Sim</v>
      </c>
      <c r="N33" s="16">
        <v>7.4000000000000003E-3</v>
      </c>
      <c r="O33" s="16">
        <v>6.9999999999999993E-3</v>
      </c>
      <c r="P33" s="16">
        <v>6.7000000000000002E-3</v>
      </c>
      <c r="Q33" s="15">
        <v>155090502.38999999</v>
      </c>
      <c r="R33" s="15">
        <v>147335977.27000001</v>
      </c>
      <c r="S33" s="15">
        <v>139581452.15000001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66296703.25</v>
      </c>
      <c r="J34" s="15">
        <v>17113274976.01</v>
      </c>
      <c r="K34" s="10">
        <f t="shared" si="1"/>
        <v>3.8739927537503539E-3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67480370.530000001</v>
      </c>
      <c r="J35" s="15">
        <v>17260958432.75</v>
      </c>
      <c r="K35" s="10">
        <f t="shared" si="1"/>
        <v>3.9094219937385651E-3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72778638.180000007</v>
      </c>
      <c r="J36" s="15">
        <v>17233040024.580002</v>
      </c>
      <c r="K36" s="10">
        <f t="shared" si="1"/>
        <v>4.2232036875788402E-3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76380835.829999998</v>
      </c>
      <c r="J37" s="15">
        <v>17882129591</v>
      </c>
      <c r="K37" s="10">
        <f t="shared" si="1"/>
        <v>4.2713500895576861E-3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82059533.980000004</v>
      </c>
      <c r="J38" s="15">
        <v>18626816782.66</v>
      </c>
      <c r="K38" s="10">
        <f t="shared" si="1"/>
        <v>4.4054512876505305E-3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81405300.120000005</v>
      </c>
      <c r="J39" s="15">
        <v>19507449078.52</v>
      </c>
      <c r="K39" s="10">
        <f t="shared" si="1"/>
        <v>4.1730366585776115E-3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84962018.939999998</v>
      </c>
      <c r="J40" s="15">
        <v>20112661608.68</v>
      </c>
      <c r="K40" s="10">
        <f t="shared" si="1"/>
        <v>4.2243050966130225E-3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86637014.379999995</v>
      </c>
      <c r="J41" s="15">
        <v>20958175998.75</v>
      </c>
      <c r="K41" s="10">
        <f t="shared" si="1"/>
        <v>4.1338050785129036E-3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277243759.69999999</v>
      </c>
      <c r="J42" s="15">
        <v>17113274976.01</v>
      </c>
      <c r="K42" s="10">
        <f t="shared" si="1"/>
        <v>1.6200508674619567E-2</v>
      </c>
      <c r="L42" s="16">
        <v>1.6199999999999999E-2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342265499.51999998</v>
      </c>
      <c r="R42" s="15">
        <v>325152224.54000002</v>
      </c>
      <c r="S42" s="15">
        <v>308038949.56999999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288102218.41000003</v>
      </c>
      <c r="J43" s="15">
        <v>17260958432.75</v>
      </c>
      <c r="K43" s="10">
        <f t="shared" si="1"/>
        <v>1.669097457898807E-2</v>
      </c>
      <c r="L43" s="16">
        <v>1.67E-2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345219168.66000003</v>
      </c>
      <c r="R43" s="15">
        <v>327958210.23000002</v>
      </c>
      <c r="S43" s="15">
        <v>310697251.79000002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298706434.24000001</v>
      </c>
      <c r="J44" s="15">
        <v>17233040024.580002</v>
      </c>
      <c r="K44" s="10">
        <f t="shared" si="1"/>
        <v>1.7333356959302947E-2</v>
      </c>
      <c r="L44" s="16">
        <v>1.7299999999999999E-2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344660800.49000001</v>
      </c>
      <c r="R44" s="15">
        <v>327427760.47000003</v>
      </c>
      <c r="S44" s="15">
        <v>310194720.44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310227558.82999998</v>
      </c>
      <c r="J45" s="15">
        <v>17882129591</v>
      </c>
      <c r="K45" s="10">
        <f t="shared" si="1"/>
        <v>1.7348468327068618E-2</v>
      </c>
      <c r="L45" s="16">
        <v>1.7299999999999999E-2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357642591.81999999</v>
      </c>
      <c r="R45" s="15">
        <v>339760462.23000002</v>
      </c>
      <c r="S45" s="15">
        <v>321878332.63999999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321007246.74000001</v>
      </c>
      <c r="J46" s="15">
        <v>18626816782.66</v>
      </c>
      <c r="K46" s="10">
        <f t="shared" si="1"/>
        <v>1.7233607356831403E-2</v>
      </c>
      <c r="L46" s="16">
        <v>1.72E-2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372536335.64999998</v>
      </c>
      <c r="R46" s="15">
        <v>353909518.87</v>
      </c>
      <c r="S46" s="15">
        <v>335282702.08999997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330258158.23000002</v>
      </c>
      <c r="J47" s="15">
        <v>19507449078.52</v>
      </c>
      <c r="K47" s="10">
        <f t="shared" si="1"/>
        <v>1.6929848536354923E-2</v>
      </c>
      <c r="L47" s="16">
        <v>1.6899999999999998E-2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390148981.56999999</v>
      </c>
      <c r="R47" s="15">
        <v>370641532.49000001</v>
      </c>
      <c r="S47" s="15">
        <v>351134083.41000003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337071730.67000002</v>
      </c>
      <c r="J48" s="15">
        <v>20112661608.68</v>
      </c>
      <c r="K48" s="10">
        <f t="shared" si="1"/>
        <v>1.6759180720493518E-2</v>
      </c>
      <c r="L48" s="16">
        <v>1.6799999999999999E-2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402253232.17000002</v>
      </c>
      <c r="R48" s="15">
        <v>382140570.56</v>
      </c>
      <c r="S48" s="15">
        <v>362027908.94999999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342476765.19</v>
      </c>
      <c r="J49" s="15">
        <v>20958175998.75</v>
      </c>
      <c r="K49" s="10">
        <f t="shared" si="1"/>
        <v>1.6340962362870998E-2</v>
      </c>
      <c r="L49" s="16">
        <v>1.6299999999999999E-2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419163519.98000002</v>
      </c>
      <c r="R49" s="15">
        <v>398205343.98000002</v>
      </c>
      <c r="S49" s="15">
        <v>377247167.98000002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30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2026-10-15T10:08:08Z</dcterms:created>
  <dcterms:modified xsi:type="dcterms:W3CDTF">2026-10-15T10:08:38Z</dcterms:modified>
</cp:coreProperties>
</file>