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021994c2887a2fd0/Documents/Claude/SICONVI/publicacao/rgf-despesa-pessoal/xlsx/"/>
    </mc:Choice>
  </mc:AlternateContent>
  <xr:revisionPtr revIDLastSave="0" documentId="11_B80D91AF218992C1F7E95672A4C8551F37051170" xr6:coauthVersionLast="47" xr6:coauthVersionMax="47" xr10:uidLastSave="{00000000-0000-0000-0000-000000000000}"/>
  <bookViews>
    <workbookView xWindow="390" yWindow="390" windowWidth="21600" windowHeight="11295" xr2:uid="{00000000-000D-0000-FFFF-FFFF00000000}"/>
  </bookViews>
  <sheets>
    <sheet name="Resumo" sheetId="1" r:id="rId1"/>
    <sheet name="Dados" sheetId="2" r:id="rId2"/>
    <sheet name="Notas" sheetId="3" r:id="rId3"/>
  </sheets>
  <definedNames>
    <definedName name="_xlnm._FilterDatabase" localSheetId="1" hidden="1">Dados!$A$1:$U$49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9" i="2" l="1"/>
  <c r="A49" i="2"/>
  <c r="K48" i="2"/>
  <c r="A48" i="2"/>
  <c r="K47" i="2"/>
  <c r="A47" i="2"/>
  <c r="K46" i="2"/>
  <c r="A46" i="2"/>
  <c r="K45" i="2"/>
  <c r="A45" i="2"/>
  <c r="K44" i="2"/>
  <c r="A44" i="2"/>
  <c r="K43" i="2"/>
  <c r="A43" i="2"/>
  <c r="K42" i="2"/>
  <c r="A42" i="2"/>
  <c r="M41" i="2"/>
  <c r="K41" i="2"/>
  <c r="T41" i="2" s="1"/>
  <c r="A41" i="2"/>
  <c r="M40" i="2"/>
  <c r="K40" i="2"/>
  <c r="T40" i="2" s="1"/>
  <c r="A40" i="2"/>
  <c r="M39" i="2"/>
  <c r="K39" i="2"/>
  <c r="T39" i="2" s="1"/>
  <c r="A39" i="2"/>
  <c r="M38" i="2"/>
  <c r="K38" i="2"/>
  <c r="T38" i="2" s="1"/>
  <c r="A38" i="2"/>
  <c r="M37" i="2"/>
  <c r="K37" i="2"/>
  <c r="T37" i="2" s="1"/>
  <c r="A37" i="2"/>
  <c r="M36" i="2"/>
  <c r="K36" i="2"/>
  <c r="T36" i="2" s="1"/>
  <c r="A36" i="2"/>
  <c r="M35" i="2"/>
  <c r="K35" i="2"/>
  <c r="T35" i="2" s="1"/>
  <c r="A35" i="2"/>
  <c r="M34" i="2"/>
  <c r="K34" i="2"/>
  <c r="T34" i="2" s="1"/>
  <c r="A34" i="2"/>
  <c r="K33" i="2"/>
  <c r="A33" i="2"/>
  <c r="K32" i="2"/>
  <c r="A32" i="2"/>
  <c r="K31" i="2"/>
  <c r="A31" i="2"/>
  <c r="K30" i="2"/>
  <c r="A30" i="2"/>
  <c r="K29" i="2"/>
  <c r="A29" i="2"/>
  <c r="K28" i="2"/>
  <c r="A28" i="2"/>
  <c r="K27" i="2"/>
  <c r="A27" i="2"/>
  <c r="K26" i="2"/>
  <c r="A26" i="2"/>
  <c r="K25" i="2"/>
  <c r="A25" i="2"/>
  <c r="K24" i="2"/>
  <c r="A24" i="2"/>
  <c r="K23" i="2"/>
  <c r="A23" i="2"/>
  <c r="K22" i="2"/>
  <c r="A22" i="2"/>
  <c r="K21" i="2"/>
  <c r="A21" i="2"/>
  <c r="K20" i="2"/>
  <c r="A20" i="2"/>
  <c r="K19" i="2"/>
  <c r="A19" i="2"/>
  <c r="K18" i="2"/>
  <c r="A18" i="2"/>
  <c r="K17" i="2"/>
  <c r="A17" i="2"/>
  <c r="K16" i="2"/>
  <c r="A16" i="2"/>
  <c r="K15" i="2"/>
  <c r="A15" i="2"/>
  <c r="K14" i="2"/>
  <c r="A14" i="2"/>
  <c r="K13" i="2"/>
  <c r="A13" i="2"/>
  <c r="K12" i="2"/>
  <c r="A12" i="2"/>
  <c r="K11" i="2"/>
  <c r="A11" i="2"/>
  <c r="K10" i="2"/>
  <c r="A10" i="2"/>
  <c r="K9" i="2"/>
  <c r="A9" i="2"/>
  <c r="K8" i="2"/>
  <c r="A8" i="2"/>
  <c r="K7" i="2"/>
  <c r="A7" i="2"/>
  <c r="K6" i="2"/>
  <c r="A6" i="2"/>
  <c r="K5" i="2"/>
  <c r="A5" i="2"/>
  <c r="K4" i="2"/>
  <c r="A4" i="2"/>
  <c r="K3" i="2"/>
  <c r="A3" i="2"/>
  <c r="K2" i="2"/>
  <c r="A2" i="2"/>
  <c r="F20" i="1"/>
  <c r="E20" i="1"/>
  <c r="D20" i="1"/>
  <c r="C20" i="1"/>
  <c r="J19" i="1"/>
  <c r="I19" i="1"/>
  <c r="H19" i="1"/>
  <c r="G19" i="1"/>
  <c r="F19" i="1"/>
  <c r="E19" i="1"/>
  <c r="D19" i="1"/>
  <c r="C19" i="1"/>
  <c r="J18" i="1"/>
  <c r="I18" i="1"/>
  <c r="H18" i="1"/>
  <c r="G18" i="1"/>
  <c r="F18" i="1"/>
  <c r="E18" i="1"/>
  <c r="D18" i="1"/>
  <c r="C18" i="1"/>
  <c r="J17" i="1"/>
  <c r="I17" i="1"/>
  <c r="H17" i="1"/>
  <c r="G17" i="1"/>
  <c r="F17" i="1"/>
  <c r="E17" i="1"/>
  <c r="D17" i="1"/>
  <c r="C17" i="1"/>
  <c r="J16" i="1"/>
  <c r="I16" i="1"/>
  <c r="H16" i="1"/>
  <c r="G16" i="1"/>
  <c r="F16" i="1"/>
  <c r="E16" i="1"/>
  <c r="D16" i="1"/>
  <c r="C16" i="1"/>
  <c r="J12" i="1"/>
  <c r="I12" i="1"/>
  <c r="H12" i="1"/>
  <c r="G12" i="1"/>
  <c r="F12" i="1"/>
  <c r="E12" i="1"/>
  <c r="D12" i="1"/>
  <c r="C12" i="1"/>
  <c r="K11" i="1"/>
  <c r="J11" i="1"/>
  <c r="I11" i="1"/>
  <c r="H11" i="1"/>
  <c r="G11" i="1"/>
  <c r="F11" i="1"/>
  <c r="E11" i="1"/>
  <c r="K10" i="1"/>
  <c r="J10" i="1"/>
  <c r="I10" i="1"/>
  <c r="H10" i="1"/>
  <c r="G10" i="1"/>
  <c r="F10" i="1"/>
  <c r="E10" i="1"/>
  <c r="D10" i="1"/>
  <c r="C10" i="1"/>
  <c r="K9" i="1"/>
  <c r="J9" i="1"/>
  <c r="I9" i="1"/>
  <c r="H9" i="1"/>
  <c r="G9" i="1"/>
  <c r="F9" i="1"/>
  <c r="E9" i="1"/>
  <c r="D9" i="1"/>
  <c r="C9" i="1"/>
  <c r="K8" i="1"/>
  <c r="J8" i="1"/>
  <c r="I8" i="1"/>
  <c r="H8" i="1"/>
  <c r="G8" i="1"/>
  <c r="F8" i="1"/>
  <c r="E8" i="1"/>
  <c r="D8" i="1"/>
  <c r="C8" i="1"/>
  <c r="K7" i="1"/>
  <c r="J7" i="1"/>
  <c r="I7" i="1"/>
  <c r="H7" i="1"/>
  <c r="G7" i="1"/>
  <c r="F7" i="1"/>
  <c r="E7" i="1"/>
  <c r="D7" i="1"/>
  <c r="C7" i="1"/>
  <c r="K6" i="1"/>
  <c r="J6" i="1"/>
  <c r="I6" i="1"/>
  <c r="H6" i="1"/>
  <c r="G6" i="1"/>
  <c r="F6" i="1"/>
  <c r="E6" i="1"/>
  <c r="D6" i="1"/>
  <c r="C6" i="1"/>
  <c r="M43" i="2" l="1"/>
  <c r="T43" i="2"/>
  <c r="M30" i="2"/>
  <c r="T30" i="2"/>
  <c r="T24" i="2"/>
  <c r="M24" i="2"/>
  <c r="M11" i="2"/>
  <c r="T11" i="2"/>
  <c r="T49" i="2"/>
  <c r="L11" i="1" s="1"/>
  <c r="M49" i="2"/>
  <c r="T48" i="2"/>
  <c r="M48" i="2"/>
  <c r="T47" i="2"/>
  <c r="M47" i="2"/>
  <c r="T46" i="2"/>
  <c r="M46" i="2"/>
  <c r="T45" i="2"/>
  <c r="M45" i="2"/>
  <c r="T44" i="2"/>
  <c r="M44" i="2"/>
  <c r="T42" i="2"/>
  <c r="M42" i="2"/>
  <c r="H21" i="1"/>
  <c r="D21" i="1"/>
  <c r="G20" i="1"/>
  <c r="C21" i="1"/>
  <c r="H20" i="1"/>
  <c r="J20" i="1"/>
  <c r="I21" i="1"/>
  <c r="F21" i="1"/>
  <c r="L10" i="1"/>
  <c r="J21" i="1"/>
  <c r="E21" i="1"/>
  <c r="I20" i="1"/>
  <c r="D11" i="1"/>
  <c r="C11" i="1"/>
  <c r="G21" i="1"/>
  <c r="T33" i="2"/>
  <c r="L9" i="1" s="1"/>
  <c r="M33" i="2"/>
  <c r="T32" i="2"/>
  <c r="M32" i="2"/>
  <c r="T31" i="2"/>
  <c r="M31" i="2"/>
  <c r="T29" i="2"/>
  <c r="M29" i="2"/>
  <c r="T28" i="2"/>
  <c r="M28" i="2"/>
  <c r="T27" i="2"/>
  <c r="M27" i="2"/>
  <c r="M26" i="2"/>
  <c r="T26" i="2"/>
  <c r="T25" i="2"/>
  <c r="L8" i="1" s="1"/>
  <c r="M25" i="2"/>
  <c r="T23" i="2"/>
  <c r="M23" i="2"/>
  <c r="T22" i="2"/>
  <c r="M22" i="2"/>
  <c r="T21" i="2"/>
  <c r="M21" i="2"/>
  <c r="T20" i="2"/>
  <c r="M20" i="2"/>
  <c r="T19" i="2"/>
  <c r="M19" i="2"/>
  <c r="T18" i="2"/>
  <c r="M18" i="2"/>
  <c r="T17" i="2"/>
  <c r="L7" i="1" s="1"/>
  <c r="M17" i="2"/>
  <c r="T16" i="2"/>
  <c r="M16" i="2"/>
  <c r="T15" i="2"/>
  <c r="M15" i="2"/>
  <c r="T14" i="2"/>
  <c r="M14" i="2"/>
  <c r="T13" i="2"/>
  <c r="M13" i="2"/>
  <c r="T12" i="2"/>
  <c r="M12" i="2"/>
  <c r="T10" i="2"/>
  <c r="M10" i="2"/>
  <c r="M9" i="2"/>
  <c r="T9" i="2"/>
  <c r="L6" i="1" s="1"/>
  <c r="T8" i="2"/>
  <c r="M8" i="2"/>
  <c r="T7" i="2"/>
  <c r="M7" i="2"/>
  <c r="T6" i="2"/>
  <c r="M6" i="2"/>
  <c r="T5" i="2"/>
  <c r="M5" i="2"/>
  <c r="T4" i="2"/>
  <c r="M4" i="2"/>
  <c r="T3" i="2"/>
  <c r="M3" i="2"/>
  <c r="M2" i="2"/>
  <c r="T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Planilha</author>
  </authors>
  <commentList>
    <comment ref="K1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Fórmula: DTP / RCL Ajustada. Reproduz o % declarado no RGF, que vem arredondado em 2 casas.</t>
        </r>
      </text>
    </comment>
  </commentList>
</comments>
</file>

<file path=xl/sharedStrings.xml><?xml version="1.0" encoding="utf-8"?>
<sst xmlns="http://schemas.openxmlformats.org/spreadsheetml/2006/main" count="427" uniqueCount="83">
  <si>
    <t>Despesa total com pessoal - Mato Grosso do Sul (MS)</t>
  </si>
  <si>
    <t>RGF, Anexo 1 (Siconfi/Tesouro Nacional). Percentual da Despesa Total com Pessoal (DTP) sobre a Receita Corrente Líquida Ajustada, últimos 12 meses de cada quadrimestre.</t>
  </si>
  <si>
    <t>% da DTP sobre a RCL Ajustada</t>
  </si>
  <si>
    <t>Órgão</t>
  </si>
  <si>
    <t>Poder / órgão</t>
  </si>
  <si>
    <t>1º quad. 2024</t>
  </si>
  <si>
    <t>2º quad. 2024</t>
  </si>
  <si>
    <t>3º quad. 2024</t>
  </si>
  <si>
    <t>1º quad. 2025</t>
  </si>
  <si>
    <t>2º quad. 2025</t>
  </si>
  <si>
    <t>3º quad. 2025</t>
  </si>
  <si>
    <t>1º quad. 2026</t>
  </si>
  <si>
    <t>2º quad. 2026</t>
  </si>
  <si>
    <t>Limite máximo (2º quad. 2026)</t>
  </si>
  <si>
    <t>Situação (2º quad. 2026)</t>
  </si>
  <si>
    <t>Governo</t>
  </si>
  <si>
    <t>Poder Executivo</t>
  </si>
  <si>
    <t>Assembleia Legislativa</t>
  </si>
  <si>
    <t>Poder Legislativo</t>
  </si>
  <si>
    <t>Tribunal de Justiça</t>
  </si>
  <si>
    <t>Poder Judiciário</t>
  </si>
  <si>
    <t>Tribunal de Contas</t>
  </si>
  <si>
    <t>Defensoria Pública</t>
  </si>
  <si>
    <t>Ministério Público</t>
  </si>
  <si>
    <t>RCL Ajustada (R$ milhões)</t>
  </si>
  <si>
    <t>base comum</t>
  </si>
  <si>
    <t>Despesa total com pessoal (R$ milhões)</t>
  </si>
  <si>
    <t>Órgãos sem % declarado no RGF (ex.: Defensoria Pública, sem limite próprio na LRF) têm o % calculado como despesa líquida com pessoal / RCL Ajustada do Executivo. Ver aba Notas.</t>
  </si>
  <si>
    <t>Chave</t>
  </si>
  <si>
    <t>Instituição</t>
  </si>
  <si>
    <t>Exercício</t>
  </si>
  <si>
    <t>Quadrimestre</t>
  </si>
  <si>
    <t>Período</t>
  </si>
  <si>
    <t>Meses de referência</t>
  </si>
  <si>
    <t>Despesa total com pessoal - DTP (R$)</t>
  </si>
  <si>
    <t>RCL Ajustada (R$)</t>
  </si>
  <si>
    <t>% DTP / RCL Ajustada</t>
  </si>
  <si>
    <t>% declarado no RGF</t>
  </si>
  <si>
    <t>Confere com o declarado?</t>
  </si>
  <si>
    <t>Limite máximo (%)</t>
  </si>
  <si>
    <t>Limite prudencial (%)</t>
  </si>
  <si>
    <t>Limite de alerta (%)</t>
  </si>
  <si>
    <t>Limite máximo (R$)</t>
  </si>
  <si>
    <t>Limite prudencial (R$)</t>
  </si>
  <si>
    <t>Limite de alerta (R$)</t>
  </si>
  <si>
    <t>Situação</t>
  </si>
  <si>
    <t>Origem do %</t>
  </si>
  <si>
    <t>Governo do Estado do Mato Grosso do Sul</t>
  </si>
  <si>
    <t>2024</t>
  </si>
  <si>
    <t>mai/2023 a abr/2024</t>
  </si>
  <si>
    <t>Declarado no RGF</t>
  </si>
  <si>
    <t>set/2023 a ago/2024</t>
  </si>
  <si>
    <t>jan/2024 a dez/2024</t>
  </si>
  <si>
    <t>2025</t>
  </si>
  <si>
    <t>mai/2024 a abr/2025</t>
  </si>
  <si>
    <t>set/2024 a ago/2025</t>
  </si>
  <si>
    <t>jan/2025 a dez/2025</t>
  </si>
  <si>
    <t>2026</t>
  </si>
  <si>
    <t>mai/2025 a abr/2026</t>
  </si>
  <si>
    <t>set/2025 a ago/2026</t>
  </si>
  <si>
    <t>Assembleia Legislativa do Estado do Mato Grosso do Sul</t>
  </si>
  <si>
    <t>Tribunal de Justiça do Estado do Mato Grosso do Sul</t>
  </si>
  <si>
    <t>Tribunal de Contas do Estado do Mato Grosso do Sul</t>
  </si>
  <si>
    <t>Defensoria Pública do Estado do Mato Grosso do Sul</t>
  </si>
  <si>
    <t>Calculado (despesa líquida / RCL Ajustada do Executivo)</t>
  </si>
  <si>
    <t>Ministério Público do Estado do Mato Grosso do Sul</t>
  </si>
  <si>
    <t>Notas metodológicas</t>
  </si>
  <si>
    <t>Fonte</t>
  </si>
  <si>
    <t>API de dados abertos do Siconfi (Tesouro Nacional), endpoint /rgf, https://apidatalake.tesouro.gov.br/docs/siconfi/ . Extração em 15/10/2026.</t>
  </si>
  <si>
    <t>Relatório</t>
  </si>
  <si>
    <t>RGF - Anexo 01 (Demonstrativo da Despesa com Pessoal), quadrimestral. Ente: Mato Grosso do Sul (MS).</t>
  </si>
  <si>
    <t>Períodos</t>
  </si>
  <si>
    <t>1º a 3º quadrimestres de 2024 e 2025; 1º e 2º de 2026 (o 3º de 2026 ainda não foi publicado). Cada quadrimestre considera os 12 meses encerrados em abril, agosto ou dezembro.</t>
  </si>
  <si>
    <t>Indicador</t>
  </si>
  <si>
    <t>DTP = Despesa Total com Pessoal. % = DTP / Receita Corrente Líquida Ajustada para cálculo dos limites da despesa com pessoal.</t>
  </si>
  <si>
    <t>Tribunais de Contas</t>
  </si>
  <si>
    <t>Não têm código de poder próprio na API: vêm dentro do Poder Legislativo (co_poder = L), identificados pelo nome da instituição.</t>
  </si>
  <si>
    <t>Órgãos sem % declarado</t>
  </si>
  <si>
    <t>A LRF (art. 20) não fixa limite próprio para a Defensoria Pública, e o RGF dela não traz a DTP nem o %. Usou-se a despesa líquida com pessoal dos últimos 12 meses dividida pela RCL Ajustada declarada pelo Executivo no mesmo período; a mesma fórmula reproduz o % declarado pelos demais órgãos.</t>
  </si>
  <si>
    <t>Limites</t>
  </si>
  <si>
    <t>Máximo, prudencial (95% do máximo) e de alerta (90% do máximo), como declarados no RGF de cada órgão. A situação compara a DTP com os limites em R$ quando declarados, porque os % vêm arredondados em 2 casas e podem esconder uma ultrapassagem pequena.</t>
  </si>
  <si>
    <t>Convenções</t>
  </si>
  <si>
    <t>Números em azul: valores da API. Em preto: fórmulas. Percentuais armazenados como fração.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</si>
</sst>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R$&quot;\ #,##0.00;\(&quot;R$&quot;\ #,##0.00\);\-"/>
    <numFmt numFmtId="165" formatCode="0.00%;\(0.00%\);\-"/>
    <numFmt numFmtId="166" formatCode="#,##0.0;\(#,##0.0\);\-"/>
  </numFmts>
  <fonts count="8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color rgb="FF0000FF"/>
      <name val="Arial"/>
    </font>
    <font>
      <sz val="10"/>
      <name val="Arial"/>
    </font>
    <font>
      <b/>
      <sz val="14"/>
      <name val="Arial"/>
    </font>
    <font>
      <i/>
      <sz val="10"/>
      <color rgb="FF555555"/>
      <name val="Arial"/>
    </font>
    <font>
      <b/>
      <sz val="10"/>
      <name val="Arial"/>
    </font>
    <font>
      <i/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EF2F8"/>
      </patternFill>
    </fill>
  </fills>
  <borders count="2">
    <border>
      <left/>
      <right/>
      <top/>
      <bottom/>
      <diagonal/>
    </border>
    <border>
      <left/>
      <right/>
      <top/>
      <bottom style="thin">
        <color rgb="FFC9D2E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4" fillId="0" borderId="0" xfId="0" applyFont="1"/>
    <xf numFmtId="0" fontId="5" fillId="0" borderId="0" xfId="0" applyFont="1"/>
    <xf numFmtId="0" fontId="6" fillId="0" borderId="0" xfId="0" applyFont="1"/>
    <xf numFmtId="0" fontId="1" fillId="2" borderId="0" xfId="0" applyFont="1" applyFill="1" applyAlignment="1">
      <alignment horizontal="center" vertical="center" wrapText="1"/>
    </xf>
    <xf numFmtId="0" fontId="6" fillId="3" borderId="1" xfId="0" applyFont="1" applyFill="1" applyBorder="1"/>
    <xf numFmtId="0" fontId="3" fillId="3" borderId="1" xfId="0" applyFont="1" applyFill="1" applyBorder="1"/>
    <xf numFmtId="165" fontId="3" fillId="3" borderId="1" xfId="0" applyNumberFormat="1" applyFont="1" applyFill="1" applyBorder="1"/>
    <xf numFmtId="0" fontId="6" fillId="0" borderId="1" xfId="0" applyFont="1" applyBorder="1"/>
    <xf numFmtId="0" fontId="3" fillId="0" borderId="1" xfId="0" applyFont="1" applyBorder="1"/>
    <xf numFmtId="165" fontId="3" fillId="0" borderId="1" xfId="0" applyNumberFormat="1" applyFont="1" applyBorder="1"/>
    <xf numFmtId="0" fontId="7" fillId="0" borderId="0" xfId="0" applyFont="1"/>
    <xf numFmtId="166" fontId="7" fillId="0" borderId="0" xfId="0" applyNumberFormat="1" applyFont="1"/>
    <xf numFmtId="166" fontId="3" fillId="3" borderId="1" xfId="0" applyNumberFormat="1" applyFont="1" applyFill="1" applyBorder="1"/>
    <xf numFmtId="166" fontId="3" fillId="0" borderId="1" xfId="0" applyNumberFormat="1" applyFont="1" applyBorder="1"/>
    <xf numFmtId="164" fontId="2" fillId="0" borderId="1" xfId="0" applyNumberFormat="1" applyFont="1" applyBorder="1"/>
    <xf numFmtId="165" fontId="2" fillId="0" borderId="1" xfId="0" applyNumberFormat="1" applyFont="1" applyBorder="1"/>
    <xf numFmtId="164" fontId="3" fillId="0" borderId="1" xfId="0" applyNumberFormat="1" applyFont="1" applyBorder="1"/>
    <xf numFmtId="0" fontId="6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3"/>
  <sheetViews>
    <sheetView tabSelected="1" workbookViewId="0">
      <pane xSplit="2" ySplit="5" topLeftCell="C6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30" customWidth="1"/>
    <col min="2" max="2" width="20" customWidth="1"/>
    <col min="3" max="10" width="12" customWidth="1"/>
    <col min="11" max="11" width="15" customWidth="1"/>
    <col min="12" max="12" width="26" customWidth="1"/>
  </cols>
  <sheetData>
    <row r="1" spans="1:12" ht="18" x14ac:dyDescent="0.25">
      <c r="A1" s="1" t="s">
        <v>0</v>
      </c>
    </row>
    <row r="2" spans="1:12" x14ac:dyDescent="0.25">
      <c r="A2" s="2" t="s">
        <v>1</v>
      </c>
    </row>
    <row r="4" spans="1:12" x14ac:dyDescent="0.25">
      <c r="A4" s="3" t="s">
        <v>2</v>
      </c>
    </row>
    <row r="5" spans="1:12" ht="44.1" customHeight="1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</row>
    <row r="6" spans="1:12" x14ac:dyDescent="0.25">
      <c r="A6" s="5" t="s">
        <v>15</v>
      </c>
      <c r="B6" s="6" t="s">
        <v>16</v>
      </c>
      <c r="C6" s="7">
        <f>IFERROR(IF(INDEX(Dados!$K$2:$K$49,MATCH($A6&amp;"|"&amp;C$5,Dados!$A$2:$A$49,0))="","",INDEX(Dados!$K$2:$K$49,MATCH($A6&amp;"|"&amp;C$5,Dados!$A$2:$A$49,0))),"")</f>
        <v>0.44513968305513341</v>
      </c>
      <c r="D6" s="7">
        <f>IFERROR(IF(INDEX(Dados!$K$2:$K$49,MATCH($A6&amp;"|"&amp;D$5,Dados!$A$2:$A$49,0))="","",INDEX(Dados!$K$2:$K$49,MATCH($A6&amp;"|"&amp;D$5,Dados!$A$2:$A$49,0))),"")</f>
        <v>0.45846641635291158</v>
      </c>
      <c r="E6" s="7">
        <f>IFERROR(IF(INDEX(Dados!$K$2:$K$49,MATCH($A6&amp;"|"&amp;E$5,Dados!$A$2:$A$49,0))="","",INDEX(Dados!$K$2:$K$49,MATCH($A6&amp;"|"&amp;E$5,Dados!$A$2:$A$49,0))),"")</f>
        <v>0.45196570200989034</v>
      </c>
      <c r="F6" s="7">
        <f>IFERROR(IF(INDEX(Dados!$K$2:$K$49,MATCH($A6&amp;"|"&amp;F$5,Dados!$A$2:$A$49,0))="","",INDEX(Dados!$K$2:$K$49,MATCH($A6&amp;"|"&amp;F$5,Dados!$A$2:$A$49,0))),"")</f>
        <v>0.46923901726095441</v>
      </c>
      <c r="G6" s="7">
        <f>IFERROR(IF(INDEX(Dados!$K$2:$K$49,MATCH($A6&amp;"|"&amp;G$5,Dados!$A$2:$A$49,0))="","",INDEX(Dados!$K$2:$K$49,MATCH($A6&amp;"|"&amp;G$5,Dados!$A$2:$A$49,0))),"")</f>
        <v>0.46904308467927086</v>
      </c>
      <c r="H6" s="7">
        <f>IFERROR(IF(INDEX(Dados!$K$2:$K$49,MATCH($A6&amp;"|"&amp;H$5,Dados!$A$2:$A$49,0))="","",INDEX(Dados!$K$2:$K$49,MATCH($A6&amp;"|"&amp;H$5,Dados!$A$2:$A$49,0))),"")</f>
        <v>0.4420086915268755</v>
      </c>
      <c r="I6" s="7">
        <f>IFERROR(IF(INDEX(Dados!$K$2:$K$49,MATCH($A6&amp;"|"&amp;I$5,Dados!$A$2:$A$49,0))="","",INDEX(Dados!$K$2:$K$49,MATCH($A6&amp;"|"&amp;I$5,Dados!$A$2:$A$49,0))),"")</f>
        <v>0.46616192552670155</v>
      </c>
      <c r="J6" s="7">
        <f>IFERROR(IF(INDEX(Dados!$K$2:$K$49,MATCH($A6&amp;"|"&amp;J$5,Dados!$A$2:$A$49,0))="","",INDEX(Dados!$K$2:$K$49,MATCH($A6&amp;"|"&amp;J$5,Dados!$A$2:$A$49,0))),"")</f>
        <v>0.47016971928974333</v>
      </c>
      <c r="K6" s="7">
        <f>IFERROR(IF(INDEX(Dados!$N$2:$N$49,MATCH($A6&amp;"|"&amp;J$5,Dados!$A$2:$A$49,0))=0,"—",INDEX(Dados!$N$2:$N$49,MATCH($A6&amp;"|"&amp;J$5,Dados!$A$2:$A$49,0))),"—")</f>
        <v>0.49</v>
      </c>
      <c r="L6" s="6" t="str">
        <f>IFERROR(IF(INDEX(Dados!$T$2:$T$49,MATCH($A6&amp;"|"&amp;J$5,Dados!$A$2:$A$49,0))="","—",INDEX(Dados!$T$2:$T$49,MATCH($A6&amp;"|"&amp;J$5,Dados!$A$2:$A$49,0))),"—")</f>
        <v>Acima do limite prudencial</v>
      </c>
    </row>
    <row r="7" spans="1:12" x14ac:dyDescent="0.25">
      <c r="A7" s="8" t="s">
        <v>17</v>
      </c>
      <c r="B7" s="9" t="s">
        <v>18</v>
      </c>
      <c r="C7" s="10">
        <f>IFERROR(IF(INDEX(Dados!$K$2:$K$49,MATCH($A7&amp;"|"&amp;C$5,Dados!$A$2:$A$49,0))="","",INDEX(Dados!$K$2:$K$49,MATCH($A7&amp;"|"&amp;C$5,Dados!$A$2:$A$49,0))),"")</f>
        <v>9.8098637523476254E-3</v>
      </c>
      <c r="D7" s="10">
        <f>IFERROR(IF(INDEX(Dados!$K$2:$K$49,MATCH($A7&amp;"|"&amp;D$5,Dados!$A$2:$A$49,0))="","",INDEX(Dados!$K$2:$K$49,MATCH($A7&amp;"|"&amp;D$5,Dados!$A$2:$A$49,0))),"")</f>
        <v>1.0057999883341502E-2</v>
      </c>
      <c r="E7" s="10">
        <f>IFERROR(IF(INDEX(Dados!$K$2:$K$49,MATCH($A7&amp;"|"&amp;E$5,Dados!$A$2:$A$49,0))="","",INDEX(Dados!$K$2:$K$49,MATCH($A7&amp;"|"&amp;E$5,Dados!$A$2:$A$49,0))),"")</f>
        <v>1.0688945022683862E-2</v>
      </c>
      <c r="F7" s="10">
        <f>IFERROR(IF(INDEX(Dados!$K$2:$K$49,MATCH($A7&amp;"|"&amp;F$5,Dados!$A$2:$A$49,0))="","",INDEX(Dados!$K$2:$K$49,MATCH($A7&amp;"|"&amp;F$5,Dados!$A$2:$A$49,0))),"")</f>
        <v>1.1040806707992328E-2</v>
      </c>
      <c r="G7" s="10">
        <f>IFERROR(IF(INDEX(Dados!$K$2:$K$49,MATCH($A7&amp;"|"&amp;G$5,Dados!$A$2:$A$49,0))="","",INDEX(Dados!$K$2:$K$49,MATCH($A7&amp;"|"&amp;G$5,Dados!$A$2:$A$49,0))),"")</f>
        <v>1.1406478423168422E-2</v>
      </c>
      <c r="H7" s="10">
        <f>IFERROR(IF(INDEX(Dados!$K$2:$K$49,MATCH($A7&amp;"|"&amp;H$5,Dados!$A$2:$A$49,0))="","",INDEX(Dados!$K$2:$K$49,MATCH($A7&amp;"|"&amp;H$5,Dados!$A$2:$A$49,0))),"")</f>
        <v>1.1336526636917007E-2</v>
      </c>
      <c r="I7" s="10">
        <f>IFERROR(IF(INDEX(Dados!$K$2:$K$49,MATCH($A7&amp;"|"&amp;I$5,Dados!$A$2:$A$49,0))="","",INDEX(Dados!$K$2:$K$49,MATCH($A7&amp;"|"&amp;I$5,Dados!$A$2:$A$49,0))),"")</f>
        <v>1.1382608328078164E-2</v>
      </c>
      <c r="J7" s="10">
        <f>IFERROR(IF(INDEX(Dados!$K$2:$K$49,MATCH($A7&amp;"|"&amp;J$5,Dados!$A$2:$A$49,0))="","",INDEX(Dados!$K$2:$K$49,MATCH($A7&amp;"|"&amp;J$5,Dados!$A$2:$A$49,0))),"")</f>
        <v>1.2812433987895859E-2</v>
      </c>
      <c r="K7" s="10">
        <f>IFERROR(IF(INDEX(Dados!$N$2:$N$49,MATCH($A7&amp;"|"&amp;J$5,Dados!$A$2:$A$49,0))=0,"—",INDEX(Dados!$N$2:$N$49,MATCH($A7&amp;"|"&amp;J$5,Dados!$A$2:$A$49,0))),"—")</f>
        <v>1.6799999999999999E-2</v>
      </c>
      <c r="L7" s="9" t="str">
        <f>IFERROR(IF(INDEX(Dados!$T$2:$T$49,MATCH($A7&amp;"|"&amp;J$5,Dados!$A$2:$A$49,0))="","—",INDEX(Dados!$T$2:$T$49,MATCH($A7&amp;"|"&amp;J$5,Dados!$A$2:$A$49,0))),"—")</f>
        <v>Abaixo do limite de alerta</v>
      </c>
    </row>
    <row r="8" spans="1:12" x14ac:dyDescent="0.25">
      <c r="A8" s="8" t="s">
        <v>19</v>
      </c>
      <c r="B8" s="9" t="s">
        <v>20</v>
      </c>
      <c r="C8" s="10">
        <f>IFERROR(IF(INDEX(Dados!$K$2:$K$49,MATCH($A8&amp;"|"&amp;C$5,Dados!$A$2:$A$49,0))="","",INDEX(Dados!$K$2:$K$49,MATCH($A8&amp;"|"&amp;C$5,Dados!$A$2:$A$49,0))),"")</f>
        <v>4.8540188705101066E-2</v>
      </c>
      <c r="D8" s="10">
        <f>IFERROR(IF(INDEX(Dados!$K$2:$K$49,MATCH($A8&amp;"|"&amp;D$5,Dados!$A$2:$A$49,0))="","",INDEX(Dados!$K$2:$K$49,MATCH($A8&amp;"|"&amp;D$5,Dados!$A$2:$A$49,0))),"")</f>
        <v>4.9829491635873489E-2</v>
      </c>
      <c r="E8" s="10">
        <f>IFERROR(IF(INDEX(Dados!$K$2:$K$49,MATCH($A8&amp;"|"&amp;E$5,Dados!$A$2:$A$49,0))="","",INDEX(Dados!$K$2:$K$49,MATCH($A8&amp;"|"&amp;E$5,Dados!$A$2:$A$49,0))),"")</f>
        <v>5.1199552824151846E-2</v>
      </c>
      <c r="F8" s="10">
        <f>IFERROR(IF(INDEX(Dados!$K$2:$K$49,MATCH($A8&amp;"|"&amp;F$5,Dados!$A$2:$A$49,0))="","",INDEX(Dados!$K$2:$K$49,MATCH($A8&amp;"|"&amp;F$5,Dados!$A$2:$A$49,0))),"")</f>
        <v>5.1349751395874395E-2</v>
      </c>
      <c r="G8" s="10">
        <f>IFERROR(IF(INDEX(Dados!$K$2:$K$49,MATCH($A8&amp;"|"&amp;G$5,Dados!$A$2:$A$49,0))="","",INDEX(Dados!$K$2:$K$49,MATCH($A8&amp;"|"&amp;G$5,Dados!$A$2:$A$49,0))),"")</f>
        <v>5.2018307668696945E-2</v>
      </c>
      <c r="H8" s="10">
        <f>IFERROR(IF(INDEX(Dados!$K$2:$K$49,MATCH($A8&amp;"|"&amp;H$5,Dados!$A$2:$A$49,0))="","",INDEX(Dados!$K$2:$K$49,MATCH($A8&amp;"|"&amp;H$5,Dados!$A$2:$A$49,0))),"")</f>
        <v>5.191061138006018E-2</v>
      </c>
      <c r="I8" s="10">
        <f>IFERROR(IF(INDEX(Dados!$K$2:$K$49,MATCH($A8&amp;"|"&amp;I$5,Dados!$A$2:$A$49,0))="","",INDEX(Dados!$K$2:$K$49,MATCH($A8&amp;"|"&amp;I$5,Dados!$A$2:$A$49,0))),"")</f>
        <v>5.1390569622689848E-2</v>
      </c>
      <c r="J8" s="10">
        <f>IFERROR(IF(INDEX(Dados!$K$2:$K$49,MATCH($A8&amp;"|"&amp;J$5,Dados!$A$2:$A$49,0))="","",INDEX(Dados!$K$2:$K$49,MATCH($A8&amp;"|"&amp;J$5,Dados!$A$2:$A$49,0))),"")</f>
        <v>4.937895162464559E-2</v>
      </c>
      <c r="K8" s="10">
        <f>IFERROR(IF(INDEX(Dados!$N$2:$N$49,MATCH($A8&amp;"|"&amp;J$5,Dados!$A$2:$A$49,0))=0,"—",INDEX(Dados!$N$2:$N$49,MATCH($A8&amp;"|"&amp;J$5,Dados!$A$2:$A$49,0))),"—")</f>
        <v>0.06</v>
      </c>
      <c r="L8" s="9" t="str">
        <f>IFERROR(IF(INDEX(Dados!$T$2:$T$49,MATCH($A8&amp;"|"&amp;J$5,Dados!$A$2:$A$49,0))="","—",INDEX(Dados!$T$2:$T$49,MATCH($A8&amp;"|"&amp;J$5,Dados!$A$2:$A$49,0))),"—")</f>
        <v>Abaixo do limite de alerta</v>
      </c>
    </row>
    <row r="9" spans="1:12" x14ac:dyDescent="0.25">
      <c r="A9" s="8" t="s">
        <v>21</v>
      </c>
      <c r="B9" s="9" t="s">
        <v>21</v>
      </c>
      <c r="C9" s="10">
        <f>IFERROR(IF(INDEX(Dados!$K$2:$K$49,MATCH($A9&amp;"|"&amp;C$5,Dados!$A$2:$A$49,0))="","",INDEX(Dados!$K$2:$K$49,MATCH($A9&amp;"|"&amp;C$5,Dados!$A$2:$A$49,0))),"")</f>
        <v>9.229181748759736E-3</v>
      </c>
      <c r="D9" s="10">
        <f>IFERROR(IF(INDEX(Dados!$K$2:$K$49,MATCH($A9&amp;"|"&amp;D$5,Dados!$A$2:$A$49,0))="","",INDEX(Dados!$K$2:$K$49,MATCH($A9&amp;"|"&amp;D$5,Dados!$A$2:$A$49,0))),"")</f>
        <v>9.5127404728889715E-3</v>
      </c>
      <c r="E9" s="10">
        <f>IFERROR(IF(INDEX(Dados!$K$2:$K$49,MATCH($A9&amp;"|"&amp;E$5,Dados!$A$2:$A$49,0))="","",INDEX(Dados!$K$2:$K$49,MATCH($A9&amp;"|"&amp;E$5,Dados!$A$2:$A$49,0))),"")</f>
        <v>1.008664120315852E-2</v>
      </c>
      <c r="F9" s="10">
        <f>IFERROR(IF(INDEX(Dados!$K$2:$K$49,MATCH($A9&amp;"|"&amp;F$5,Dados!$A$2:$A$49,0))="","",INDEX(Dados!$K$2:$K$49,MATCH($A9&amp;"|"&amp;F$5,Dados!$A$2:$A$49,0))),"")</f>
        <v>1.0301706570916036E-2</v>
      </c>
      <c r="G9" s="10">
        <f>IFERROR(IF(INDEX(Dados!$K$2:$K$49,MATCH($A9&amp;"|"&amp;G$5,Dados!$A$2:$A$49,0))="","",INDEX(Dados!$K$2:$K$49,MATCH($A9&amp;"|"&amp;G$5,Dados!$A$2:$A$49,0))),"")</f>
        <v>1.021440687536339E-2</v>
      </c>
      <c r="H9" s="10">
        <f>IFERROR(IF(INDEX(Dados!$K$2:$K$49,MATCH($A9&amp;"|"&amp;H$5,Dados!$A$2:$A$49,0))="","",INDEX(Dados!$K$2:$K$49,MATCH($A9&amp;"|"&amp;H$5,Dados!$A$2:$A$49,0))),"")</f>
        <v>9.9373918543328253E-3</v>
      </c>
      <c r="I9" s="10">
        <f>IFERROR(IF(INDEX(Dados!$K$2:$K$49,MATCH($A9&amp;"|"&amp;I$5,Dados!$A$2:$A$49,0))="","",INDEX(Dados!$K$2:$K$49,MATCH($A9&amp;"|"&amp;I$5,Dados!$A$2:$A$49,0))),"")</f>
        <v>9.9693738607554046E-3</v>
      </c>
      <c r="J9" s="10">
        <f>IFERROR(IF(INDEX(Dados!$K$2:$K$49,MATCH($A9&amp;"|"&amp;J$5,Dados!$A$2:$A$49,0))="","",INDEX(Dados!$K$2:$K$49,MATCH($A9&amp;"|"&amp;J$5,Dados!$A$2:$A$49,0))),"")</f>
        <v>1.0833255960988764E-2</v>
      </c>
      <c r="K9" s="10">
        <f>IFERROR(IF(INDEX(Dados!$N$2:$N$49,MATCH($A9&amp;"|"&amp;J$5,Dados!$A$2:$A$49,0))=0,"—",INDEX(Dados!$N$2:$N$49,MATCH($A9&amp;"|"&amp;J$5,Dados!$A$2:$A$49,0))),"—")</f>
        <v>1.32E-2</v>
      </c>
      <c r="L9" s="9" t="str">
        <f>IFERROR(IF(INDEX(Dados!$T$2:$T$49,MATCH($A9&amp;"|"&amp;J$5,Dados!$A$2:$A$49,0))="","—",INDEX(Dados!$T$2:$T$49,MATCH($A9&amp;"|"&amp;J$5,Dados!$A$2:$A$49,0))),"—")</f>
        <v>Abaixo do limite de alerta</v>
      </c>
    </row>
    <row r="10" spans="1:12" x14ac:dyDescent="0.25">
      <c r="A10" s="8" t="s">
        <v>22</v>
      </c>
      <c r="B10" s="9" t="s">
        <v>22</v>
      </c>
      <c r="C10" s="10">
        <f>IFERROR(IF(INDEX(Dados!$K$2:$K$49,MATCH($A10&amp;"|"&amp;C$5,Dados!$A$2:$A$49,0))="","",INDEX(Dados!$K$2:$K$49,MATCH($A10&amp;"|"&amp;C$5,Dados!$A$2:$A$49,0))),"")</f>
        <v>1.0052209186034238E-2</v>
      </c>
      <c r="D10" s="10">
        <f>IFERROR(IF(INDEX(Dados!$K$2:$K$49,MATCH($A10&amp;"|"&amp;D$5,Dados!$A$2:$A$49,0))="","",INDEX(Dados!$K$2:$K$49,MATCH($A10&amp;"|"&amp;D$5,Dados!$A$2:$A$49,0))),"")</f>
        <v>1.0092234497433211E-2</v>
      </c>
      <c r="E10" s="10">
        <f>IFERROR(IF(INDEX(Dados!$K$2:$K$49,MATCH($A10&amp;"|"&amp;E$5,Dados!$A$2:$A$49,0))="","",INDEX(Dados!$K$2:$K$49,MATCH($A10&amp;"|"&amp;E$5,Dados!$A$2:$A$49,0))),"")</f>
        <v>9.9353460752670975E-3</v>
      </c>
      <c r="F10" s="10">
        <f>IFERROR(IF(INDEX(Dados!$K$2:$K$49,MATCH($A10&amp;"|"&amp;F$5,Dados!$A$2:$A$49,0))="","",INDEX(Dados!$K$2:$K$49,MATCH($A10&amp;"|"&amp;F$5,Dados!$A$2:$A$49,0))),"")</f>
        <v>1.0140895359790483E-2</v>
      </c>
      <c r="G10" s="10">
        <f>IFERROR(IF(INDEX(Dados!$K$2:$K$49,MATCH($A10&amp;"|"&amp;G$5,Dados!$A$2:$A$49,0))="","",INDEX(Dados!$K$2:$K$49,MATCH($A10&amp;"|"&amp;G$5,Dados!$A$2:$A$49,0))),"")</f>
        <v>1.0339452366875546E-2</v>
      </c>
      <c r="H10" s="10">
        <f>IFERROR(IF(INDEX(Dados!$K$2:$K$49,MATCH($A10&amp;"|"&amp;H$5,Dados!$A$2:$A$49,0))="","",INDEX(Dados!$K$2:$K$49,MATCH($A10&amp;"|"&amp;H$5,Dados!$A$2:$A$49,0))),"")</f>
        <v>1.0545474106642874E-2</v>
      </c>
      <c r="I10" s="10">
        <f>IFERROR(IF(INDEX(Dados!$K$2:$K$49,MATCH($A10&amp;"|"&amp;I$5,Dados!$A$2:$A$49,0))="","",INDEX(Dados!$K$2:$K$49,MATCH($A10&amp;"|"&amp;I$5,Dados!$A$2:$A$49,0))),"")</f>
        <v>1.0743841306621304E-2</v>
      </c>
      <c r="J10" s="10">
        <f>IFERROR(IF(INDEX(Dados!$K$2:$K$49,MATCH($A10&amp;"|"&amp;J$5,Dados!$A$2:$A$49,0))="","",INDEX(Dados!$K$2:$K$49,MATCH($A10&amp;"|"&amp;J$5,Dados!$A$2:$A$49,0))),"")</f>
        <v>1.1008553188412928E-2</v>
      </c>
      <c r="K10" s="10" t="str">
        <f>IFERROR(IF(INDEX(Dados!$N$2:$N$49,MATCH($A10&amp;"|"&amp;J$5,Dados!$A$2:$A$49,0))=0,"—",INDEX(Dados!$N$2:$N$49,MATCH($A10&amp;"|"&amp;J$5,Dados!$A$2:$A$49,0))),"—")</f>
        <v>—</v>
      </c>
      <c r="L10" s="9" t="str">
        <f>IFERROR(IF(INDEX(Dados!$T$2:$T$49,MATCH($A10&amp;"|"&amp;J$5,Dados!$A$2:$A$49,0))="","—",INDEX(Dados!$T$2:$T$49,MATCH($A10&amp;"|"&amp;J$5,Dados!$A$2:$A$49,0))),"—")</f>
        <v>Sem limite próprio na LRF</v>
      </c>
    </row>
    <row r="11" spans="1:12" x14ac:dyDescent="0.25">
      <c r="A11" s="8" t="s">
        <v>23</v>
      </c>
      <c r="B11" s="9" t="s">
        <v>23</v>
      </c>
      <c r="C11" s="10">
        <f>IFERROR(IF(INDEX(Dados!$K$2:$K$49,MATCH($A11&amp;"|"&amp;C$5,Dados!$A$2:$A$49,0))="","",INDEX(Dados!$K$2:$K$49,MATCH($A11&amp;"|"&amp;C$5,Dados!$A$2:$A$49,0))),"")</f>
        <v>1.4435736936215356E-2</v>
      </c>
      <c r="D11" s="10">
        <f>IFERROR(IF(INDEX(Dados!$K$2:$K$49,MATCH($A11&amp;"|"&amp;D$5,Dados!$A$2:$A$49,0))="","",INDEX(Dados!$K$2:$K$49,MATCH($A11&amp;"|"&amp;D$5,Dados!$A$2:$A$49,0))),"")</f>
        <v>1.4524972230959785E-2</v>
      </c>
      <c r="E11" s="10">
        <f>IFERROR(IF(INDEX(Dados!$K$2:$K$49,MATCH($A11&amp;"|"&amp;E$5,Dados!$A$2:$A$49,0))="","",INDEX(Dados!$K$2:$K$49,MATCH($A11&amp;"|"&amp;E$5,Dados!$A$2:$A$49,0))),"")</f>
        <v>1.501326037789695E-2</v>
      </c>
      <c r="F11" s="10">
        <f>IFERROR(IF(INDEX(Dados!$K$2:$K$49,MATCH($A11&amp;"|"&amp;F$5,Dados!$A$2:$A$49,0))="","",INDEX(Dados!$K$2:$K$49,MATCH($A11&amp;"|"&amp;F$5,Dados!$A$2:$A$49,0))),"")</f>
        <v>1.5274796996642356E-2</v>
      </c>
      <c r="G11" s="10">
        <f>IFERROR(IF(INDEX(Dados!$K$2:$K$49,MATCH($A11&amp;"|"&amp;G$5,Dados!$A$2:$A$49,0))="","",INDEX(Dados!$K$2:$K$49,MATCH($A11&amp;"|"&amp;G$5,Dados!$A$2:$A$49,0))),"")</f>
        <v>1.5532025813347514E-2</v>
      </c>
      <c r="H11" s="10">
        <f>IFERROR(IF(INDEX(Dados!$K$2:$K$49,MATCH($A11&amp;"|"&amp;H$5,Dados!$A$2:$A$49,0))="","",INDEX(Dados!$K$2:$K$49,MATCH($A11&amp;"|"&amp;H$5,Dados!$A$2:$A$49,0))),"")</f>
        <v>1.5625113852276534E-2</v>
      </c>
      <c r="I11" s="10">
        <f>IFERROR(IF(INDEX(Dados!$K$2:$K$49,MATCH($A11&amp;"|"&amp;I$5,Dados!$A$2:$A$49,0))="","",INDEX(Dados!$K$2:$K$49,MATCH($A11&amp;"|"&amp;I$5,Dados!$A$2:$A$49,0))),"")</f>
        <v>1.7598224221536871E-2</v>
      </c>
      <c r="J11" s="10">
        <f>IFERROR(IF(INDEX(Dados!$K$2:$K$49,MATCH($A11&amp;"|"&amp;J$5,Dados!$A$2:$A$49,0))="","",INDEX(Dados!$K$2:$K$49,MATCH($A11&amp;"|"&amp;J$5,Dados!$A$2:$A$49,0))),"")</f>
        <v>1.6182182841814937E-2</v>
      </c>
      <c r="K11" s="10">
        <f>IFERROR(IF(INDEX(Dados!$N$2:$N$49,MATCH($A11&amp;"|"&amp;J$5,Dados!$A$2:$A$49,0))=0,"—",INDEX(Dados!$N$2:$N$49,MATCH($A11&amp;"|"&amp;J$5,Dados!$A$2:$A$49,0))),"—")</f>
        <v>0.02</v>
      </c>
      <c r="L11" s="9" t="str">
        <f>IFERROR(IF(INDEX(Dados!$T$2:$T$49,MATCH($A11&amp;"|"&amp;J$5,Dados!$A$2:$A$49,0))="","—",INDEX(Dados!$T$2:$T$49,MATCH($A11&amp;"|"&amp;J$5,Dados!$A$2:$A$49,0))),"—")</f>
        <v>Abaixo do limite de alerta</v>
      </c>
    </row>
    <row r="12" spans="1:12" x14ac:dyDescent="0.25">
      <c r="A12" s="3" t="s">
        <v>24</v>
      </c>
      <c r="B12" s="11" t="s">
        <v>25</v>
      </c>
      <c r="C12" s="12">
        <f>IFERROR(INDEX(Dados!$J$2:$J$49,MATCH("Governo|"&amp;C$5,Dados!$A$2:$A$49,0))/1000000,"")</f>
        <v>20028.37142901</v>
      </c>
      <c r="D12" s="12">
        <f>IFERROR(INDEX(Dados!$J$2:$J$49,MATCH("Governo|"&amp;D$5,Dados!$A$2:$A$49,0))/1000000,"")</f>
        <v>20288.167646330003</v>
      </c>
      <c r="E12" s="12">
        <f>IFERROR(INDEX(Dados!$J$2:$J$49,MATCH("Governo|"&amp;E$5,Dados!$A$2:$A$49,0))/1000000,"")</f>
        <v>20253.12726659</v>
      </c>
      <c r="F12" s="12">
        <f>IFERROR(INDEX(Dados!$J$2:$J$49,MATCH("Governo|"&amp;F$5,Dados!$A$2:$A$49,0))/1000000,"")</f>
        <v>20632.008905209997</v>
      </c>
      <c r="G12" s="12">
        <f>IFERROR(INDEX(Dados!$J$2:$J$49,MATCH("Governo|"&amp;G$5,Dados!$A$2:$A$49,0))/1000000,"")</f>
        <v>21161.450029110001</v>
      </c>
      <c r="H12" s="12">
        <f>IFERROR(INDEX(Dados!$J$2:$J$49,MATCH("Governo|"&amp;H$5,Dados!$A$2:$A$49,0))/1000000,"")</f>
        <v>22108.659805359999</v>
      </c>
      <c r="I12" s="12">
        <f>IFERROR(INDEX(Dados!$J$2:$J$49,MATCH("Governo|"&amp;I$5,Dados!$A$2:$A$49,0))/1000000,"")</f>
        <v>22737.534487730001</v>
      </c>
      <c r="J12" s="12">
        <f>IFERROR(INDEX(Dados!$J$2:$J$49,MATCH("Governo|"&amp;J$5,Dados!$A$2:$A$49,0))/1000000,"")</f>
        <v>23108.9858609</v>
      </c>
    </row>
    <row r="14" spans="1:12" x14ac:dyDescent="0.25">
      <c r="A14" s="3" t="s">
        <v>26</v>
      </c>
    </row>
    <row r="15" spans="1:12" ht="44.1" customHeight="1" x14ac:dyDescent="0.25">
      <c r="A15" s="4" t="s">
        <v>3</v>
      </c>
      <c r="B15" s="4" t="s">
        <v>4</v>
      </c>
      <c r="C15" s="4" t="s">
        <v>5</v>
      </c>
      <c r="D15" s="4" t="s">
        <v>6</v>
      </c>
      <c r="E15" s="4" t="s">
        <v>7</v>
      </c>
      <c r="F15" s="4" t="s">
        <v>8</v>
      </c>
      <c r="G15" s="4" t="s">
        <v>9</v>
      </c>
      <c r="H15" s="4" t="s">
        <v>10</v>
      </c>
      <c r="I15" s="4" t="s">
        <v>11</v>
      </c>
      <c r="J15" s="4" t="s">
        <v>12</v>
      </c>
    </row>
    <row r="16" spans="1:12" x14ac:dyDescent="0.25">
      <c r="A16" s="5" t="s">
        <v>15</v>
      </c>
      <c r="B16" s="6" t="s">
        <v>16</v>
      </c>
      <c r="C16" s="13">
        <f>IFERROR(IF(INDEX(Dados!$I$2:$I$49,MATCH($A16&amp;"|"&amp;C$15,Dados!$A$2:$A$49,0))="","",INDEX(Dados!$I$2:$I$49,MATCH($A16&amp;"|"&amp;C$15,Dados!$A$2:$A$49,0))/1000000),"")</f>
        <v>8915.4229100200009</v>
      </c>
      <c r="D16" s="13">
        <f>IFERROR(IF(INDEX(Dados!$I$2:$I$49,MATCH($A16&amp;"|"&amp;D$15,Dados!$A$2:$A$49,0))="","",INDEX(Dados!$I$2:$I$49,MATCH($A16&amp;"|"&amp;D$15,Dados!$A$2:$A$49,0))/1000000),"")</f>
        <v>9301.4435151800008</v>
      </c>
      <c r="E16" s="13">
        <f>IFERROR(IF(INDEX(Dados!$I$2:$I$49,MATCH($A16&amp;"|"&amp;E$15,Dados!$A$2:$A$49,0))="","",INDEX(Dados!$I$2:$I$49,MATCH($A16&amp;"|"&amp;E$15,Dados!$A$2:$A$49,0))/1000000),"")</f>
        <v>9153.7188829400002</v>
      </c>
      <c r="F16" s="13">
        <f>IFERROR(IF(INDEX(Dados!$I$2:$I$49,MATCH($A16&amp;"|"&amp;F$15,Dados!$A$2:$A$49,0))="","",INDEX(Dados!$I$2:$I$49,MATCH($A16&amp;"|"&amp;F$15,Dados!$A$2:$A$49,0))/1000000),"")</f>
        <v>9681.3435827999983</v>
      </c>
      <c r="G16" s="13">
        <f>IFERROR(IF(INDEX(Dados!$I$2:$I$49,MATCH($A16&amp;"|"&amp;G$15,Dados!$A$2:$A$49,0))="","",INDEX(Dados!$I$2:$I$49,MATCH($A16&amp;"|"&amp;G$15,Dados!$A$2:$A$49,0))/1000000),"")</f>
        <v>9925.631797940001</v>
      </c>
      <c r="H16" s="13">
        <f>IFERROR(IF(INDEX(Dados!$I$2:$I$49,MATCH($A16&amp;"|"&amp;H$15,Dados!$A$2:$A$49,0))="","",INDEX(Dados!$I$2:$I$49,MATCH($A16&amp;"|"&amp;H$15,Dados!$A$2:$A$49,0))/1000000),"")</f>
        <v>9772.2197919800001</v>
      </c>
      <c r="I16" s="13">
        <f>IFERROR(IF(INDEX(Dados!$I$2:$I$49,MATCH($A16&amp;"|"&amp;I$15,Dados!$A$2:$A$49,0))="","",INDEX(Dados!$I$2:$I$49,MATCH($A16&amp;"|"&amp;I$15,Dados!$A$2:$A$49,0))/1000000),"")</f>
        <v>10599.372858530001</v>
      </c>
      <c r="J16" s="13">
        <f>IFERROR(IF(INDEX(Dados!$I$2:$I$49,MATCH($A16&amp;"|"&amp;J$15,Dados!$A$2:$A$49,0))="","",INDEX(Dados!$I$2:$I$49,MATCH($A16&amp;"|"&amp;J$15,Dados!$A$2:$A$49,0))/1000000),"")</f>
        <v>10865.145395290001</v>
      </c>
    </row>
    <row r="17" spans="1:10" x14ac:dyDescent="0.25">
      <c r="A17" s="8" t="s">
        <v>17</v>
      </c>
      <c r="B17" s="9" t="s">
        <v>18</v>
      </c>
      <c r="C17" s="14">
        <f>IFERROR(IF(INDEX(Dados!$I$2:$I$49,MATCH($A17&amp;"|"&amp;C$15,Dados!$A$2:$A$49,0))="","",INDEX(Dados!$I$2:$I$49,MATCH($A17&amp;"|"&amp;C$15,Dados!$A$2:$A$49,0))/1000000),"")</f>
        <v>196.4755949</v>
      </c>
      <c r="D17" s="14">
        <f>IFERROR(IF(INDEX(Dados!$I$2:$I$49,MATCH($A17&amp;"|"&amp;D$15,Dados!$A$2:$A$49,0))="","",INDEX(Dados!$I$2:$I$49,MATCH($A17&amp;"|"&amp;D$15,Dados!$A$2:$A$49,0))/1000000),"")</f>
        <v>204.05838781999998</v>
      </c>
      <c r="E17" s="14">
        <f>IFERROR(IF(INDEX(Dados!$I$2:$I$49,MATCH($A17&amp;"|"&amp;E$15,Dados!$A$2:$A$49,0))="","",INDEX(Dados!$I$2:$I$49,MATCH($A17&amp;"|"&amp;E$15,Dados!$A$2:$A$49,0))/1000000),"")</f>
        <v>216.48456388999998</v>
      </c>
      <c r="F17" s="14">
        <f>IFERROR(IF(INDEX(Dados!$I$2:$I$49,MATCH($A17&amp;"|"&amp;F$15,Dados!$A$2:$A$49,0))="","",INDEX(Dados!$I$2:$I$49,MATCH($A17&amp;"|"&amp;F$15,Dados!$A$2:$A$49,0))/1000000),"")</f>
        <v>227.79402231999998</v>
      </c>
      <c r="G17" s="14">
        <f>IFERROR(IF(INDEX(Dados!$I$2:$I$49,MATCH($A17&amp;"|"&amp;G$15,Dados!$A$2:$A$49,0))="","",INDEX(Dados!$I$2:$I$49,MATCH($A17&amp;"|"&amp;G$15,Dados!$A$2:$A$49,0))/1000000),"")</f>
        <v>241.37762315999998</v>
      </c>
      <c r="H17" s="14">
        <f>IFERROR(IF(INDEX(Dados!$I$2:$I$49,MATCH($A17&amp;"|"&amp;H$15,Dados!$A$2:$A$49,0))="","",INDEX(Dados!$I$2:$I$49,MATCH($A17&amp;"|"&amp;H$15,Dados!$A$2:$A$49,0))/1000000),"")</f>
        <v>250.63541078999998</v>
      </c>
      <c r="I17" s="14">
        <f>IFERROR(IF(INDEX(Dados!$I$2:$I$49,MATCH($A17&amp;"|"&amp;I$15,Dados!$A$2:$A$49,0))="","",INDEX(Dados!$I$2:$I$49,MATCH($A17&amp;"|"&amp;I$15,Dados!$A$2:$A$49,0))/1000000),"")</f>
        <v>258.81244942000001</v>
      </c>
      <c r="J17" s="14">
        <f>IFERROR(IF(INDEX(Dados!$I$2:$I$49,MATCH($A17&amp;"|"&amp;J$15,Dados!$A$2:$A$49,0))="","",INDEX(Dados!$I$2:$I$49,MATCH($A17&amp;"|"&amp;J$15,Dados!$A$2:$A$49,0))/1000000),"")</f>
        <v>296.08235587000001</v>
      </c>
    </row>
    <row r="18" spans="1:10" x14ac:dyDescent="0.25">
      <c r="A18" s="8" t="s">
        <v>19</v>
      </c>
      <c r="B18" s="9" t="s">
        <v>20</v>
      </c>
      <c r="C18" s="14">
        <f>IFERROR(IF(INDEX(Dados!$I$2:$I$49,MATCH($A18&amp;"|"&amp;C$15,Dados!$A$2:$A$49,0))="","",INDEX(Dados!$I$2:$I$49,MATCH($A18&amp;"|"&amp;C$15,Dados!$A$2:$A$49,0))/1000000),"")</f>
        <v>972.18092862000003</v>
      </c>
      <c r="D18" s="14">
        <f>IFERROR(IF(INDEX(Dados!$I$2:$I$49,MATCH($A18&amp;"|"&amp;D$15,Dados!$A$2:$A$49,0))="","",INDEX(Dados!$I$2:$I$49,MATCH($A18&amp;"|"&amp;D$15,Dados!$A$2:$A$49,0))/1000000),"")</f>
        <v>1010.94908004</v>
      </c>
      <c r="E18" s="14">
        <f>IFERROR(IF(INDEX(Dados!$I$2:$I$49,MATCH($A18&amp;"|"&amp;E$15,Dados!$A$2:$A$49,0))="","",INDEX(Dados!$I$2:$I$49,MATCH($A18&amp;"|"&amp;E$15,Dados!$A$2:$A$49,0))/1000000),"")</f>
        <v>1036.95106446</v>
      </c>
      <c r="F18" s="14">
        <f>IFERROR(IF(INDEX(Dados!$I$2:$I$49,MATCH($A18&amp;"|"&amp;F$15,Dados!$A$2:$A$49,0))="","",INDEX(Dados!$I$2:$I$49,MATCH($A18&amp;"|"&amp;F$15,Dados!$A$2:$A$49,0))/1000000),"")</f>
        <v>1059.44852808</v>
      </c>
      <c r="G18" s="14">
        <f>IFERROR(IF(INDEX(Dados!$I$2:$I$49,MATCH($A18&amp;"|"&amp;G$15,Dados!$A$2:$A$49,0))="","",INDEX(Dados!$I$2:$I$49,MATCH($A18&amp;"|"&amp;G$15,Dados!$A$2:$A$49,0))/1000000),"")</f>
        <v>1100.7828183299998</v>
      </c>
      <c r="H18" s="14">
        <f>IFERROR(IF(INDEX(Dados!$I$2:$I$49,MATCH($A18&amp;"|"&amp;H$15,Dados!$A$2:$A$49,0))="","",INDEX(Dados!$I$2:$I$49,MATCH($A18&amp;"|"&amp;H$15,Dados!$A$2:$A$49,0))/1000000),"")</f>
        <v>1147.6740472899999</v>
      </c>
      <c r="I18" s="14">
        <f>IFERROR(IF(INDEX(Dados!$I$2:$I$49,MATCH($A18&amp;"|"&amp;I$15,Dados!$A$2:$A$49,0))="","",INDEX(Dados!$I$2:$I$49,MATCH($A18&amp;"|"&amp;I$15,Dados!$A$2:$A$49,0))/1000000),"")</f>
        <v>1168.49484914</v>
      </c>
      <c r="J18" s="14">
        <f>IFERROR(IF(INDEX(Dados!$I$2:$I$49,MATCH($A18&amp;"|"&amp;J$15,Dados!$A$2:$A$49,0))="","",INDEX(Dados!$I$2:$I$49,MATCH($A18&amp;"|"&amp;J$15,Dados!$A$2:$A$49,0))/1000000),"")</f>
        <v>1141.0974949200001</v>
      </c>
    </row>
    <row r="19" spans="1:10" x14ac:dyDescent="0.25">
      <c r="A19" s="8" t="s">
        <v>21</v>
      </c>
      <c r="B19" s="9" t="s">
        <v>21</v>
      </c>
      <c r="C19" s="14">
        <f>IFERROR(IF(INDEX(Dados!$I$2:$I$49,MATCH($A19&amp;"|"&amp;C$15,Dados!$A$2:$A$49,0))="","",INDEX(Dados!$I$2:$I$49,MATCH($A19&amp;"|"&amp;C$15,Dados!$A$2:$A$49,0))/1000000),"")</f>
        <v>184.84548005000002</v>
      </c>
      <c r="D19" s="14">
        <f>IFERROR(IF(INDEX(Dados!$I$2:$I$49,MATCH($A19&amp;"|"&amp;D$15,Dados!$A$2:$A$49,0))="","",INDEX(Dados!$I$2:$I$49,MATCH($A19&amp;"|"&amp;D$15,Dados!$A$2:$A$49,0))/1000000),"")</f>
        <v>192.99607349000001</v>
      </c>
      <c r="E19" s="14">
        <f>IFERROR(IF(INDEX(Dados!$I$2:$I$49,MATCH($A19&amp;"|"&amp;E$15,Dados!$A$2:$A$49,0))="","",INDEX(Dados!$I$2:$I$49,MATCH($A19&amp;"|"&amp;E$15,Dados!$A$2:$A$49,0))/1000000),"")</f>
        <v>204.28602798</v>
      </c>
      <c r="F19" s="14">
        <f>IFERROR(IF(INDEX(Dados!$I$2:$I$49,MATCH($A19&amp;"|"&amp;F$15,Dados!$A$2:$A$49,0))="","",INDEX(Dados!$I$2:$I$49,MATCH($A19&amp;"|"&amp;F$15,Dados!$A$2:$A$49,0))/1000000),"")</f>
        <v>212.54490171</v>
      </c>
      <c r="G19" s="14">
        <f>IFERROR(IF(INDEX(Dados!$I$2:$I$49,MATCH($A19&amp;"|"&amp;G$15,Dados!$A$2:$A$49,0))="","",INDEX(Dados!$I$2:$I$49,MATCH($A19&amp;"|"&amp;G$15,Dados!$A$2:$A$49,0))/1000000),"")</f>
        <v>216.15166066999998</v>
      </c>
      <c r="H19" s="14">
        <f>IFERROR(IF(INDEX(Dados!$I$2:$I$49,MATCH($A19&amp;"|"&amp;H$15,Dados!$A$2:$A$49,0))="","",INDEX(Dados!$I$2:$I$49,MATCH($A19&amp;"|"&amp;H$15,Dados!$A$2:$A$49,0))/1000000),"")</f>
        <v>219.70241586</v>
      </c>
      <c r="I19" s="14">
        <f>IFERROR(IF(INDEX(Dados!$I$2:$I$49,MATCH($A19&amp;"|"&amp;I$15,Dados!$A$2:$A$49,0))="","",INDEX(Dados!$I$2:$I$49,MATCH($A19&amp;"|"&amp;I$15,Dados!$A$2:$A$49,0))/1000000),"")</f>
        <v>226.67898198</v>
      </c>
      <c r="J19" s="14">
        <f>IFERROR(IF(INDEX(Dados!$I$2:$I$49,MATCH($A19&amp;"|"&amp;J$15,Dados!$A$2:$A$49,0))="","",INDEX(Dados!$I$2:$I$49,MATCH($A19&amp;"|"&amp;J$15,Dados!$A$2:$A$49,0))/1000000),"")</f>
        <v>250.34555883000002</v>
      </c>
    </row>
    <row r="20" spans="1:10" x14ac:dyDescent="0.25">
      <c r="A20" s="8" t="s">
        <v>22</v>
      </c>
      <c r="B20" s="9" t="s">
        <v>22</v>
      </c>
      <c r="C20" s="14">
        <f>IFERROR(IF(INDEX(Dados!$I$2:$I$49,MATCH($A20&amp;"|"&amp;C$15,Dados!$A$2:$A$49,0))="","",INDEX(Dados!$I$2:$I$49,MATCH($A20&amp;"|"&amp;C$15,Dados!$A$2:$A$49,0))/1000000),"")</f>
        <v>201.32937926</v>
      </c>
      <c r="D20" s="14">
        <f>IFERROR(IF(INDEX(Dados!$I$2:$I$49,MATCH($A20&amp;"|"&amp;D$15,Dados!$A$2:$A$49,0))="","",INDEX(Dados!$I$2:$I$49,MATCH($A20&amp;"|"&amp;D$15,Dados!$A$2:$A$49,0))/1000000),"")</f>
        <v>204.75294541</v>
      </c>
      <c r="E20" s="14">
        <f>IFERROR(IF(INDEX(Dados!$I$2:$I$49,MATCH($A20&amp;"|"&amp;E$15,Dados!$A$2:$A$49,0))="","",INDEX(Dados!$I$2:$I$49,MATCH($A20&amp;"|"&amp;E$15,Dados!$A$2:$A$49,0))/1000000),"")</f>
        <v>201.22182849999999</v>
      </c>
      <c r="F20" s="14">
        <f>IFERROR(IF(INDEX(Dados!$I$2:$I$49,MATCH($A20&amp;"|"&amp;F$15,Dados!$A$2:$A$49,0))="","",INDEX(Dados!$I$2:$I$49,MATCH($A20&amp;"|"&amp;F$15,Dados!$A$2:$A$49,0))/1000000),"")</f>
        <v>209.22704337000002</v>
      </c>
      <c r="G20" s="14">
        <f>IFERROR(IF(INDEX(Dados!$I$2:$I$49,MATCH($A20&amp;"|"&amp;G$15,Dados!$A$2:$A$49,0))="","",INDEX(Dados!$I$2:$I$49,MATCH($A20&amp;"|"&amp;G$15,Dados!$A$2:$A$49,0))/1000000),"")</f>
        <v>218.79780459</v>
      </c>
      <c r="H20" s="14">
        <f>IFERROR(IF(INDEX(Dados!$I$2:$I$49,MATCH($A20&amp;"|"&amp;H$15,Dados!$A$2:$A$49,0))="","",INDEX(Dados!$I$2:$I$49,MATCH($A20&amp;"|"&amp;H$15,Dados!$A$2:$A$49,0))/1000000),"")</f>
        <v>233.14629950999998</v>
      </c>
      <c r="I20" s="14">
        <f>IFERROR(IF(INDEX(Dados!$I$2:$I$49,MATCH($A20&amp;"|"&amp;I$15,Dados!$A$2:$A$49,0))="","",INDEX(Dados!$I$2:$I$49,MATCH($A20&amp;"|"&amp;I$15,Dados!$A$2:$A$49,0))/1000000),"")</f>
        <v>244.28846224</v>
      </c>
      <c r="J20" s="14">
        <f>IFERROR(IF(INDEX(Dados!$I$2:$I$49,MATCH($A20&amp;"|"&amp;J$15,Dados!$A$2:$A$49,0))="","",INDEX(Dados!$I$2:$I$49,MATCH($A20&amp;"|"&amp;J$15,Dados!$A$2:$A$49,0))/1000000),"")</f>
        <v>254.39649997999999</v>
      </c>
    </row>
    <row r="21" spans="1:10" x14ac:dyDescent="0.25">
      <c r="A21" s="8" t="s">
        <v>23</v>
      </c>
      <c r="B21" s="9" t="s">
        <v>23</v>
      </c>
      <c r="C21" s="14">
        <f>IFERROR(IF(INDEX(Dados!$I$2:$I$49,MATCH($A21&amp;"|"&amp;C$15,Dados!$A$2:$A$49,0))="","",INDEX(Dados!$I$2:$I$49,MATCH($A21&amp;"|"&amp;C$15,Dados!$A$2:$A$49,0))/1000000),"")</f>
        <v>289.12430121</v>
      </c>
      <c r="D21" s="14">
        <f>IFERROR(IF(INDEX(Dados!$I$2:$I$49,MATCH($A21&amp;"|"&amp;D$15,Dados!$A$2:$A$49,0))="","",INDEX(Dados!$I$2:$I$49,MATCH($A21&amp;"|"&amp;D$15,Dados!$A$2:$A$49,0))/1000000),"")</f>
        <v>294.68507168000002</v>
      </c>
      <c r="E21" s="14">
        <f>IFERROR(IF(INDEX(Dados!$I$2:$I$49,MATCH($A21&amp;"|"&amp;E$15,Dados!$A$2:$A$49,0))="","",INDEX(Dados!$I$2:$I$49,MATCH($A21&amp;"|"&amp;E$15,Dados!$A$2:$A$49,0))/1000000),"")</f>
        <v>304.06547311999998</v>
      </c>
      <c r="F21" s="14">
        <f>IFERROR(IF(INDEX(Dados!$I$2:$I$49,MATCH($A21&amp;"|"&amp;F$15,Dados!$A$2:$A$49,0))="","",INDEX(Dados!$I$2:$I$49,MATCH($A21&amp;"|"&amp;F$15,Dados!$A$2:$A$49,0))/1000000),"")</f>
        <v>315.14974766</v>
      </c>
      <c r="G21" s="14">
        <f>IFERROR(IF(INDEX(Dados!$I$2:$I$49,MATCH($A21&amp;"|"&amp;G$15,Dados!$A$2:$A$49,0))="","",INDEX(Dados!$I$2:$I$49,MATCH($A21&amp;"|"&amp;G$15,Dados!$A$2:$A$49,0))/1000000),"")</f>
        <v>328.68018810000001</v>
      </c>
      <c r="H21" s="14">
        <f>IFERROR(IF(INDEX(Dados!$I$2:$I$49,MATCH($A21&amp;"|"&amp;H$15,Dados!$A$2:$A$49,0))="","",INDEX(Dados!$I$2:$I$49,MATCH($A21&amp;"|"&amp;H$15,Dados!$A$2:$A$49,0))/1000000),"")</f>
        <v>345.45032657999997</v>
      </c>
      <c r="I21" s="14">
        <f>IFERROR(IF(INDEX(Dados!$I$2:$I$49,MATCH($A21&amp;"|"&amp;I$15,Dados!$A$2:$A$49,0))="","",INDEX(Dados!$I$2:$I$49,MATCH($A21&amp;"|"&amp;I$15,Dados!$A$2:$A$49,0))/1000000),"")</f>
        <v>400.14023016000004</v>
      </c>
      <c r="J21" s="14">
        <f>IFERROR(IF(INDEX(Dados!$I$2:$I$49,MATCH($A21&amp;"|"&amp;J$15,Dados!$A$2:$A$49,0))="","",INDEX(Dados!$I$2:$I$49,MATCH($A21&amp;"|"&amp;J$15,Dados!$A$2:$A$49,0))/1000000),"")</f>
        <v>373.95383449000002</v>
      </c>
    </row>
    <row r="23" spans="1:10" x14ac:dyDescent="0.25">
      <c r="A23" s="2" t="s">
        <v>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49"/>
  <sheetViews>
    <sheetView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8" hidden="1" customWidth="1"/>
    <col min="2" max="2" width="30" customWidth="1"/>
    <col min="3" max="3" width="20" customWidth="1"/>
    <col min="4" max="4" width="44" customWidth="1"/>
    <col min="5" max="5" width="10" customWidth="1"/>
    <col min="6" max="6" width="12" customWidth="1"/>
    <col min="7" max="7" width="15" customWidth="1"/>
    <col min="8" max="8" width="20" customWidth="1"/>
    <col min="9" max="10" width="22" customWidth="1"/>
    <col min="11" max="12" width="13" customWidth="1"/>
    <col min="13" max="13" width="14" customWidth="1"/>
    <col min="14" max="16" width="11" customWidth="1"/>
    <col min="17" max="19" width="20" customWidth="1"/>
    <col min="20" max="20" width="26" customWidth="1"/>
    <col min="21" max="21" width="44" customWidth="1"/>
  </cols>
  <sheetData>
    <row r="1" spans="1:21" ht="42" customHeight="1" x14ac:dyDescent="0.25">
      <c r="A1" s="4" t="s">
        <v>28</v>
      </c>
      <c r="B1" s="4" t="s">
        <v>3</v>
      </c>
      <c r="C1" s="4" t="s">
        <v>4</v>
      </c>
      <c r="D1" s="4" t="s">
        <v>29</v>
      </c>
      <c r="E1" s="4" t="s">
        <v>30</v>
      </c>
      <c r="F1" s="4" t="s">
        <v>31</v>
      </c>
      <c r="G1" s="4" t="s">
        <v>32</v>
      </c>
      <c r="H1" s="4" t="s">
        <v>33</v>
      </c>
      <c r="I1" s="4" t="s">
        <v>34</v>
      </c>
      <c r="J1" s="4" t="s">
        <v>35</v>
      </c>
      <c r="K1" s="4" t="s">
        <v>36</v>
      </c>
      <c r="L1" s="4" t="s">
        <v>37</v>
      </c>
      <c r="M1" s="4" t="s">
        <v>38</v>
      </c>
      <c r="N1" s="4" t="s">
        <v>39</v>
      </c>
      <c r="O1" s="4" t="s">
        <v>40</v>
      </c>
      <c r="P1" s="4" t="s">
        <v>41</v>
      </c>
      <c r="Q1" s="4" t="s">
        <v>42</v>
      </c>
      <c r="R1" s="4" t="s">
        <v>43</v>
      </c>
      <c r="S1" s="4" t="s">
        <v>44</v>
      </c>
      <c r="T1" s="4" t="s">
        <v>45</v>
      </c>
      <c r="U1" s="4" t="s">
        <v>46</v>
      </c>
    </row>
    <row r="2" spans="1:21" x14ac:dyDescent="0.25">
      <c r="A2" s="9" t="str">
        <f t="shared" ref="A2:A49" si="0">B2&amp;"|"&amp;G2</f>
        <v>Governo|1º quad. 2024</v>
      </c>
      <c r="B2" s="9" t="s">
        <v>15</v>
      </c>
      <c r="C2" s="9" t="s">
        <v>16</v>
      </c>
      <c r="D2" s="9" t="s">
        <v>47</v>
      </c>
      <c r="E2" s="9" t="s">
        <v>48</v>
      </c>
      <c r="F2" s="9">
        <v>1</v>
      </c>
      <c r="G2" s="9" t="s">
        <v>5</v>
      </c>
      <c r="H2" s="9" t="s">
        <v>49</v>
      </c>
      <c r="I2" s="15">
        <v>8915422910.0200005</v>
      </c>
      <c r="J2" s="15">
        <v>20028371429.009998</v>
      </c>
      <c r="K2" s="10">
        <f t="shared" ref="K2:K49" si="1">IF(OR(I2="",J2="",J2=0),"",I2/J2)</f>
        <v>0.44513968305513341</v>
      </c>
      <c r="L2" s="16">
        <v>0.4451</v>
      </c>
      <c r="M2" s="9" t="str">
        <f t="shared" ref="M2:M49" si="2">IF(L2="","Não declarado",IF(K2="","Sem dado",IF(ABS(K2-L2)&lt;=0.00005,"Sim","Não")))</f>
        <v>Sim</v>
      </c>
      <c r="N2" s="16">
        <v>0.49</v>
      </c>
      <c r="O2" s="16">
        <v>0.46550000000000002</v>
      </c>
      <c r="P2" s="16">
        <v>0.441</v>
      </c>
      <c r="Q2" s="15">
        <v>9813902000.2099991</v>
      </c>
      <c r="R2" s="15">
        <v>9323206900.2000008</v>
      </c>
      <c r="S2" s="15">
        <v>8832511800.1900005</v>
      </c>
      <c r="T2" s="9" t="str">
        <f t="shared" ref="T2:T49" si="3">IF(K2="","Sem dado",IF(N2="","Sem limite próprio na LRF",IF(AND(Q2&lt;&gt;"",R2&lt;&gt;"",S2&lt;&gt;""),IF(I2&gt;Q2,"Acima do limite máximo",IF(I2&gt;R2,"Acima do limite prudencial",IF(I2&gt;S2,"Acima do limite de alerta","Abaixo do limite de alerta"))),IF(K2&gt;N2,"Acima do limite máximo",IF(K2&gt;O2,"Acima do limite prudencial",IF(K2&gt;P2,"Acima do limite de alerta","Abaixo do limite de alerta"))))))</f>
        <v>Acima do limite de alerta</v>
      </c>
      <c r="U2" s="9" t="s">
        <v>50</v>
      </c>
    </row>
    <row r="3" spans="1:21" x14ac:dyDescent="0.25">
      <c r="A3" s="9" t="str">
        <f t="shared" si="0"/>
        <v>Governo|2º quad. 2024</v>
      </c>
      <c r="B3" s="9" t="s">
        <v>15</v>
      </c>
      <c r="C3" s="9" t="s">
        <v>16</v>
      </c>
      <c r="D3" s="9" t="s">
        <v>47</v>
      </c>
      <c r="E3" s="9" t="s">
        <v>48</v>
      </c>
      <c r="F3" s="9">
        <v>2</v>
      </c>
      <c r="G3" s="9" t="s">
        <v>6</v>
      </c>
      <c r="H3" s="9" t="s">
        <v>51</v>
      </c>
      <c r="I3" s="15">
        <v>9301443515.1800003</v>
      </c>
      <c r="J3" s="15">
        <v>20288167646.330002</v>
      </c>
      <c r="K3" s="10">
        <f t="shared" si="1"/>
        <v>0.45846641635291158</v>
      </c>
      <c r="L3" s="16">
        <v>0.45850000000000002</v>
      </c>
      <c r="M3" s="9" t="str">
        <f t="shared" si="2"/>
        <v>Sim</v>
      </c>
      <c r="N3" s="16">
        <v>0.49</v>
      </c>
      <c r="O3" s="16">
        <v>0.46550000000000002</v>
      </c>
      <c r="P3" s="16">
        <v>0.441</v>
      </c>
      <c r="Q3" s="15">
        <v>9941202146.7000008</v>
      </c>
      <c r="R3" s="15">
        <v>9444142039.3700008</v>
      </c>
      <c r="S3" s="15">
        <v>8947081932.0300007</v>
      </c>
      <c r="T3" s="9" t="str">
        <f t="shared" si="3"/>
        <v>Acima do limite de alerta</v>
      </c>
      <c r="U3" s="9" t="s">
        <v>50</v>
      </c>
    </row>
    <row r="4" spans="1:21" x14ac:dyDescent="0.25">
      <c r="A4" s="9" t="str">
        <f t="shared" si="0"/>
        <v>Governo|3º quad. 2024</v>
      </c>
      <c r="B4" s="9" t="s">
        <v>15</v>
      </c>
      <c r="C4" s="9" t="s">
        <v>16</v>
      </c>
      <c r="D4" s="9" t="s">
        <v>47</v>
      </c>
      <c r="E4" s="9" t="s">
        <v>48</v>
      </c>
      <c r="F4" s="9">
        <v>3</v>
      </c>
      <c r="G4" s="9" t="s">
        <v>7</v>
      </c>
      <c r="H4" s="9" t="s">
        <v>52</v>
      </c>
      <c r="I4" s="15">
        <v>9153718882.9400005</v>
      </c>
      <c r="J4" s="15">
        <v>20253127266.59</v>
      </c>
      <c r="K4" s="10">
        <f t="shared" si="1"/>
        <v>0.45196570200989034</v>
      </c>
      <c r="L4" s="16">
        <v>0.45200000000000001</v>
      </c>
      <c r="M4" s="9" t="str">
        <f t="shared" si="2"/>
        <v>Sim</v>
      </c>
      <c r="N4" s="16">
        <v>0.49</v>
      </c>
      <c r="O4" s="16">
        <v>0.46550000000000002</v>
      </c>
      <c r="P4" s="16">
        <v>0.441</v>
      </c>
      <c r="Q4" s="15">
        <v>9924032360.6299992</v>
      </c>
      <c r="R4" s="15">
        <v>9427830742.6000004</v>
      </c>
      <c r="S4" s="15">
        <v>8931629124.5699997</v>
      </c>
      <c r="T4" s="9" t="str">
        <f t="shared" si="3"/>
        <v>Acima do limite de alerta</v>
      </c>
      <c r="U4" s="9" t="s">
        <v>50</v>
      </c>
    </row>
    <row r="5" spans="1:21" x14ac:dyDescent="0.25">
      <c r="A5" s="9" t="str">
        <f t="shared" si="0"/>
        <v>Governo|1º quad. 2025</v>
      </c>
      <c r="B5" s="9" t="s">
        <v>15</v>
      </c>
      <c r="C5" s="9" t="s">
        <v>16</v>
      </c>
      <c r="D5" s="9" t="s">
        <v>47</v>
      </c>
      <c r="E5" s="9" t="s">
        <v>53</v>
      </c>
      <c r="F5" s="9">
        <v>1</v>
      </c>
      <c r="G5" s="9" t="s">
        <v>8</v>
      </c>
      <c r="H5" s="9" t="s">
        <v>54</v>
      </c>
      <c r="I5" s="15">
        <v>9681343582.7999992</v>
      </c>
      <c r="J5" s="15">
        <v>20632008905.209999</v>
      </c>
      <c r="K5" s="10">
        <f t="shared" si="1"/>
        <v>0.46923901726095441</v>
      </c>
      <c r="L5" s="16">
        <v>0.46920000000000001</v>
      </c>
      <c r="M5" s="9" t="str">
        <f t="shared" si="2"/>
        <v>Sim</v>
      </c>
      <c r="N5" s="16">
        <v>0.49</v>
      </c>
      <c r="O5" s="16">
        <v>0.46550000000000002</v>
      </c>
      <c r="P5" s="16">
        <v>0.441</v>
      </c>
      <c r="Q5" s="15">
        <v>10109684363.549999</v>
      </c>
      <c r="R5" s="15">
        <v>9604200145.3700008</v>
      </c>
      <c r="S5" s="15">
        <v>9098715927.2000008</v>
      </c>
      <c r="T5" s="9" t="str">
        <f t="shared" si="3"/>
        <v>Acima do limite prudencial</v>
      </c>
      <c r="U5" s="9" t="s">
        <v>50</v>
      </c>
    </row>
    <row r="6" spans="1:21" x14ac:dyDescent="0.25">
      <c r="A6" s="9" t="str">
        <f t="shared" si="0"/>
        <v>Governo|2º quad. 2025</v>
      </c>
      <c r="B6" s="9" t="s">
        <v>15</v>
      </c>
      <c r="C6" s="9" t="s">
        <v>16</v>
      </c>
      <c r="D6" s="9" t="s">
        <v>47</v>
      </c>
      <c r="E6" s="9" t="s">
        <v>53</v>
      </c>
      <c r="F6" s="9">
        <v>2</v>
      </c>
      <c r="G6" s="9" t="s">
        <v>9</v>
      </c>
      <c r="H6" s="9" t="s">
        <v>55</v>
      </c>
      <c r="I6" s="15">
        <v>9925631797.9400005</v>
      </c>
      <c r="J6" s="15">
        <v>21161450029.110001</v>
      </c>
      <c r="K6" s="10">
        <f t="shared" si="1"/>
        <v>0.46904308467927086</v>
      </c>
      <c r="L6" s="16">
        <v>0.46899999999999997</v>
      </c>
      <c r="M6" s="9" t="str">
        <f t="shared" si="2"/>
        <v>Sim</v>
      </c>
      <c r="N6" s="16">
        <v>0.49</v>
      </c>
      <c r="O6" s="16">
        <v>0.46550000000000002</v>
      </c>
      <c r="P6" s="16">
        <v>0.441</v>
      </c>
      <c r="Q6" s="15">
        <v>10369110514.26</v>
      </c>
      <c r="R6" s="15">
        <v>9850654988.5499992</v>
      </c>
      <c r="S6" s="15">
        <v>9332199462.8299999</v>
      </c>
      <c r="T6" s="9" t="str">
        <f t="shared" si="3"/>
        <v>Acima do limite prudencial</v>
      </c>
      <c r="U6" s="9" t="s">
        <v>50</v>
      </c>
    </row>
    <row r="7" spans="1:21" x14ac:dyDescent="0.25">
      <c r="A7" s="9" t="str">
        <f t="shared" si="0"/>
        <v>Governo|3º quad. 2025</v>
      </c>
      <c r="B7" s="9" t="s">
        <v>15</v>
      </c>
      <c r="C7" s="9" t="s">
        <v>16</v>
      </c>
      <c r="D7" s="9" t="s">
        <v>47</v>
      </c>
      <c r="E7" s="9" t="s">
        <v>53</v>
      </c>
      <c r="F7" s="9">
        <v>3</v>
      </c>
      <c r="G7" s="9" t="s">
        <v>10</v>
      </c>
      <c r="H7" s="9" t="s">
        <v>56</v>
      </c>
      <c r="I7" s="15">
        <v>9772219791.9799995</v>
      </c>
      <c r="J7" s="15">
        <v>22108659805.360001</v>
      </c>
      <c r="K7" s="10">
        <f t="shared" si="1"/>
        <v>0.4420086915268755</v>
      </c>
      <c r="L7" s="16">
        <v>0.442</v>
      </c>
      <c r="M7" s="9" t="str">
        <f t="shared" si="2"/>
        <v>Sim</v>
      </c>
      <c r="N7" s="16">
        <v>0.49</v>
      </c>
      <c r="O7" s="16">
        <v>0.46550000000000002</v>
      </c>
      <c r="P7" s="16">
        <v>0.441</v>
      </c>
      <c r="Q7" s="15">
        <v>10833243304.629999</v>
      </c>
      <c r="R7" s="15">
        <v>10291581139.4</v>
      </c>
      <c r="S7" s="15">
        <v>9749918974.1700001</v>
      </c>
      <c r="T7" s="9" t="str">
        <f t="shared" si="3"/>
        <v>Acima do limite de alerta</v>
      </c>
      <c r="U7" s="9" t="s">
        <v>50</v>
      </c>
    </row>
    <row r="8" spans="1:21" x14ac:dyDescent="0.25">
      <c r="A8" s="9" t="str">
        <f t="shared" si="0"/>
        <v>Governo|1º quad. 2026</v>
      </c>
      <c r="B8" s="9" t="s">
        <v>15</v>
      </c>
      <c r="C8" s="9" t="s">
        <v>16</v>
      </c>
      <c r="D8" s="9" t="s">
        <v>47</v>
      </c>
      <c r="E8" s="9" t="s">
        <v>57</v>
      </c>
      <c r="F8" s="9">
        <v>1</v>
      </c>
      <c r="G8" s="9" t="s">
        <v>11</v>
      </c>
      <c r="H8" s="9" t="s">
        <v>58</v>
      </c>
      <c r="I8" s="15">
        <v>10599372858.530001</v>
      </c>
      <c r="J8" s="15">
        <v>22737534487.73</v>
      </c>
      <c r="K8" s="10">
        <f t="shared" si="1"/>
        <v>0.46616192552670155</v>
      </c>
      <c r="L8" s="16">
        <v>0.46619999999999989</v>
      </c>
      <c r="M8" s="9" t="str">
        <f t="shared" si="2"/>
        <v>Sim</v>
      </c>
      <c r="N8" s="16">
        <v>0.49</v>
      </c>
      <c r="O8" s="16">
        <v>0.46550000000000002</v>
      </c>
      <c r="P8" s="16">
        <v>0.441</v>
      </c>
      <c r="Q8" s="15">
        <v>11141391898.99</v>
      </c>
      <c r="R8" s="15">
        <v>10584322304.040001</v>
      </c>
      <c r="S8" s="15">
        <v>10027252709.09</v>
      </c>
      <c r="T8" s="9" t="str">
        <f t="shared" si="3"/>
        <v>Acima do limite prudencial</v>
      </c>
      <c r="U8" s="9" t="s">
        <v>50</v>
      </c>
    </row>
    <row r="9" spans="1:21" x14ac:dyDescent="0.25">
      <c r="A9" s="9" t="str">
        <f t="shared" si="0"/>
        <v>Governo|2º quad. 2026</v>
      </c>
      <c r="B9" s="9" t="s">
        <v>15</v>
      </c>
      <c r="C9" s="9" t="s">
        <v>16</v>
      </c>
      <c r="D9" s="9" t="s">
        <v>47</v>
      </c>
      <c r="E9" s="9" t="s">
        <v>57</v>
      </c>
      <c r="F9" s="9">
        <v>2</v>
      </c>
      <c r="G9" s="9" t="s">
        <v>12</v>
      </c>
      <c r="H9" s="9" t="s">
        <v>59</v>
      </c>
      <c r="I9" s="15">
        <v>10865145395.290001</v>
      </c>
      <c r="J9" s="15">
        <v>23108985860.900002</v>
      </c>
      <c r="K9" s="10">
        <f t="shared" si="1"/>
        <v>0.47016971928974333</v>
      </c>
      <c r="L9" s="16">
        <v>0.47020000000000001</v>
      </c>
      <c r="M9" s="9" t="str">
        <f t="shared" si="2"/>
        <v>Sim</v>
      </c>
      <c r="N9" s="16">
        <v>0.49</v>
      </c>
      <c r="O9" s="16">
        <v>0.46550000000000002</v>
      </c>
      <c r="P9" s="16">
        <v>0.441</v>
      </c>
      <c r="Q9" s="15">
        <v>11323403071.84</v>
      </c>
      <c r="R9" s="15">
        <v>10757232918.25</v>
      </c>
      <c r="S9" s="15">
        <v>10191062764.66</v>
      </c>
      <c r="T9" s="9" t="str">
        <f t="shared" si="3"/>
        <v>Acima do limite prudencial</v>
      </c>
      <c r="U9" s="9" t="s">
        <v>50</v>
      </c>
    </row>
    <row r="10" spans="1:21" x14ac:dyDescent="0.25">
      <c r="A10" s="9" t="str">
        <f t="shared" si="0"/>
        <v>Assembleia Legislativa|1º quad. 2024</v>
      </c>
      <c r="B10" s="9" t="s">
        <v>17</v>
      </c>
      <c r="C10" s="9" t="s">
        <v>18</v>
      </c>
      <c r="D10" s="9" t="s">
        <v>60</v>
      </c>
      <c r="E10" s="9" t="s">
        <v>48</v>
      </c>
      <c r="F10" s="9">
        <v>1</v>
      </c>
      <c r="G10" s="9" t="s">
        <v>5</v>
      </c>
      <c r="H10" s="9" t="s">
        <v>49</v>
      </c>
      <c r="I10" s="15">
        <v>196475594.90000001</v>
      </c>
      <c r="J10" s="15">
        <v>20028371429.009998</v>
      </c>
      <c r="K10" s="10">
        <f t="shared" si="1"/>
        <v>9.8098637523476254E-3</v>
      </c>
      <c r="L10" s="16">
        <v>9.7999999999999997E-3</v>
      </c>
      <c r="M10" s="9" t="str">
        <f t="shared" si="2"/>
        <v>Sim</v>
      </c>
      <c r="N10" s="16">
        <v>1.6799999999999999E-2</v>
      </c>
      <c r="O10" s="16">
        <v>1.6E-2</v>
      </c>
      <c r="P10" s="16">
        <v>1.5100000000000001E-2</v>
      </c>
      <c r="Q10" s="15">
        <v>336476640.00999999</v>
      </c>
      <c r="R10" s="15">
        <v>319652808.00999999</v>
      </c>
      <c r="S10" s="15">
        <v>302828976.00999999</v>
      </c>
      <c r="T10" s="9" t="str">
        <f t="shared" si="3"/>
        <v>Abaixo do limite de alerta</v>
      </c>
      <c r="U10" s="9" t="s">
        <v>50</v>
      </c>
    </row>
    <row r="11" spans="1:21" x14ac:dyDescent="0.25">
      <c r="A11" s="9" t="str">
        <f t="shared" si="0"/>
        <v>Assembleia Legislativa|2º quad. 2024</v>
      </c>
      <c r="B11" s="9" t="s">
        <v>17</v>
      </c>
      <c r="C11" s="9" t="s">
        <v>18</v>
      </c>
      <c r="D11" s="9" t="s">
        <v>60</v>
      </c>
      <c r="E11" s="9" t="s">
        <v>48</v>
      </c>
      <c r="F11" s="9">
        <v>2</v>
      </c>
      <c r="G11" s="9" t="s">
        <v>6</v>
      </c>
      <c r="H11" s="9" t="s">
        <v>51</v>
      </c>
      <c r="I11" s="15">
        <v>204058387.81999999</v>
      </c>
      <c r="J11" s="15">
        <v>20288167646.330002</v>
      </c>
      <c r="K11" s="10">
        <f t="shared" si="1"/>
        <v>1.0057999883341502E-2</v>
      </c>
      <c r="L11" s="16">
        <v>1.01E-2</v>
      </c>
      <c r="M11" s="9" t="str">
        <f t="shared" si="2"/>
        <v>Sim</v>
      </c>
      <c r="N11" s="16">
        <v>1.6799999999999999E-2</v>
      </c>
      <c r="O11" s="16">
        <v>1.6E-2</v>
      </c>
      <c r="P11" s="16">
        <v>1.5100000000000001E-2</v>
      </c>
      <c r="Q11" s="15">
        <v>340841216.45999998</v>
      </c>
      <c r="R11" s="15">
        <v>323799155.63999999</v>
      </c>
      <c r="S11" s="15">
        <v>306757094.81</v>
      </c>
      <c r="T11" s="9" t="str">
        <f t="shared" si="3"/>
        <v>Abaixo do limite de alerta</v>
      </c>
      <c r="U11" s="9" t="s">
        <v>50</v>
      </c>
    </row>
    <row r="12" spans="1:21" x14ac:dyDescent="0.25">
      <c r="A12" s="9" t="str">
        <f t="shared" si="0"/>
        <v>Assembleia Legislativa|3º quad. 2024</v>
      </c>
      <c r="B12" s="9" t="s">
        <v>17</v>
      </c>
      <c r="C12" s="9" t="s">
        <v>18</v>
      </c>
      <c r="D12" s="9" t="s">
        <v>60</v>
      </c>
      <c r="E12" s="9" t="s">
        <v>48</v>
      </c>
      <c r="F12" s="9">
        <v>3</v>
      </c>
      <c r="G12" s="9" t="s">
        <v>7</v>
      </c>
      <c r="H12" s="9" t="s">
        <v>52</v>
      </c>
      <c r="I12" s="15">
        <v>216484563.88999999</v>
      </c>
      <c r="J12" s="15">
        <v>20253127266.59</v>
      </c>
      <c r="K12" s="10">
        <f t="shared" si="1"/>
        <v>1.0688945022683862E-2</v>
      </c>
      <c r="L12" s="16">
        <v>1.0699999999999999E-2</v>
      </c>
      <c r="M12" s="9" t="str">
        <f t="shared" si="2"/>
        <v>Sim</v>
      </c>
      <c r="N12" s="16">
        <v>1.6799999999999999E-2</v>
      </c>
      <c r="O12" s="16">
        <v>1.6E-2</v>
      </c>
      <c r="P12" s="16">
        <v>1.5100000000000001E-2</v>
      </c>
      <c r="Q12" s="15">
        <v>340252538.07999998</v>
      </c>
      <c r="R12" s="15">
        <v>323239911.18000001</v>
      </c>
      <c r="S12" s="15">
        <v>306227284.26999998</v>
      </c>
      <c r="T12" s="9" t="str">
        <f t="shared" si="3"/>
        <v>Abaixo do limite de alerta</v>
      </c>
      <c r="U12" s="9" t="s">
        <v>50</v>
      </c>
    </row>
    <row r="13" spans="1:21" x14ac:dyDescent="0.25">
      <c r="A13" s="9" t="str">
        <f t="shared" si="0"/>
        <v>Assembleia Legislativa|1º quad. 2025</v>
      </c>
      <c r="B13" s="9" t="s">
        <v>17</v>
      </c>
      <c r="C13" s="9" t="s">
        <v>18</v>
      </c>
      <c r="D13" s="9" t="s">
        <v>60</v>
      </c>
      <c r="E13" s="9" t="s">
        <v>53</v>
      </c>
      <c r="F13" s="9">
        <v>1</v>
      </c>
      <c r="G13" s="9" t="s">
        <v>8</v>
      </c>
      <c r="H13" s="9" t="s">
        <v>54</v>
      </c>
      <c r="I13" s="15">
        <v>227794022.31999999</v>
      </c>
      <c r="J13" s="15">
        <v>20632008905.209999</v>
      </c>
      <c r="K13" s="10">
        <f t="shared" si="1"/>
        <v>1.1040806707992328E-2</v>
      </c>
      <c r="L13" s="16">
        <v>1.0999999999999999E-2</v>
      </c>
      <c r="M13" s="9" t="str">
        <f t="shared" si="2"/>
        <v>Sim</v>
      </c>
      <c r="N13" s="16">
        <v>1.6799999999999999E-2</v>
      </c>
      <c r="O13" s="16">
        <v>1.6E-2</v>
      </c>
      <c r="P13" s="16">
        <v>1.5100000000000001E-2</v>
      </c>
      <c r="Q13" s="15">
        <v>346617749.61000001</v>
      </c>
      <c r="R13" s="15">
        <v>329286862.13</v>
      </c>
      <c r="S13" s="15">
        <v>311955974.64999998</v>
      </c>
      <c r="T13" s="9" t="str">
        <f t="shared" si="3"/>
        <v>Abaixo do limite de alerta</v>
      </c>
      <c r="U13" s="9" t="s">
        <v>50</v>
      </c>
    </row>
    <row r="14" spans="1:21" x14ac:dyDescent="0.25">
      <c r="A14" s="9" t="str">
        <f t="shared" si="0"/>
        <v>Assembleia Legislativa|2º quad. 2025</v>
      </c>
      <c r="B14" s="9" t="s">
        <v>17</v>
      </c>
      <c r="C14" s="9" t="s">
        <v>18</v>
      </c>
      <c r="D14" s="9" t="s">
        <v>60</v>
      </c>
      <c r="E14" s="9" t="s">
        <v>53</v>
      </c>
      <c r="F14" s="9">
        <v>2</v>
      </c>
      <c r="G14" s="9" t="s">
        <v>9</v>
      </c>
      <c r="H14" s="9" t="s">
        <v>55</v>
      </c>
      <c r="I14" s="15">
        <v>241377623.16</v>
      </c>
      <c r="J14" s="15">
        <v>21161450029.110001</v>
      </c>
      <c r="K14" s="10">
        <f t="shared" si="1"/>
        <v>1.1406478423168422E-2</v>
      </c>
      <c r="L14" s="16">
        <v>1.14E-2</v>
      </c>
      <c r="M14" s="9" t="str">
        <f t="shared" si="2"/>
        <v>Sim</v>
      </c>
      <c r="N14" s="16">
        <v>1.6799999999999999E-2</v>
      </c>
      <c r="O14" s="16">
        <v>1.6E-2</v>
      </c>
      <c r="P14" s="16">
        <v>1.5100000000000001E-2</v>
      </c>
      <c r="Q14" s="15">
        <v>355512360.49000001</v>
      </c>
      <c r="R14" s="15">
        <v>337736742.47000003</v>
      </c>
      <c r="S14" s="15">
        <v>319961124.44</v>
      </c>
      <c r="T14" s="9" t="str">
        <f t="shared" si="3"/>
        <v>Abaixo do limite de alerta</v>
      </c>
      <c r="U14" s="9" t="s">
        <v>50</v>
      </c>
    </row>
    <row r="15" spans="1:21" x14ac:dyDescent="0.25">
      <c r="A15" s="9" t="str">
        <f t="shared" si="0"/>
        <v>Assembleia Legislativa|3º quad. 2025</v>
      </c>
      <c r="B15" s="9" t="s">
        <v>17</v>
      </c>
      <c r="C15" s="9" t="s">
        <v>18</v>
      </c>
      <c r="D15" s="9" t="s">
        <v>60</v>
      </c>
      <c r="E15" s="9" t="s">
        <v>53</v>
      </c>
      <c r="F15" s="9">
        <v>3</v>
      </c>
      <c r="G15" s="9" t="s">
        <v>10</v>
      </c>
      <c r="H15" s="9" t="s">
        <v>56</v>
      </c>
      <c r="I15" s="15">
        <v>250635410.78999999</v>
      </c>
      <c r="J15" s="15">
        <v>22108659805.360001</v>
      </c>
      <c r="K15" s="10">
        <f t="shared" si="1"/>
        <v>1.1336526636917007E-2</v>
      </c>
      <c r="L15" s="16">
        <v>1.1299999999999999E-2</v>
      </c>
      <c r="M15" s="9" t="str">
        <f t="shared" si="2"/>
        <v>Sim</v>
      </c>
      <c r="N15" s="16">
        <v>1.6799999999999999E-2</v>
      </c>
      <c r="O15" s="16">
        <v>1.6E-2</v>
      </c>
      <c r="P15" s="16">
        <v>1.5100000000000001E-2</v>
      </c>
      <c r="Q15" s="15">
        <v>371425484.73000002</v>
      </c>
      <c r="R15" s="15">
        <v>352854210.49000001</v>
      </c>
      <c r="S15" s="15">
        <v>334282936.25999999</v>
      </c>
      <c r="T15" s="9" t="str">
        <f t="shared" si="3"/>
        <v>Abaixo do limite de alerta</v>
      </c>
      <c r="U15" s="9" t="s">
        <v>50</v>
      </c>
    </row>
    <row r="16" spans="1:21" x14ac:dyDescent="0.25">
      <c r="A16" s="9" t="str">
        <f t="shared" si="0"/>
        <v>Assembleia Legislativa|1º quad. 2026</v>
      </c>
      <c r="B16" s="9" t="s">
        <v>17</v>
      </c>
      <c r="C16" s="9" t="s">
        <v>18</v>
      </c>
      <c r="D16" s="9" t="s">
        <v>60</v>
      </c>
      <c r="E16" s="9" t="s">
        <v>57</v>
      </c>
      <c r="F16" s="9">
        <v>1</v>
      </c>
      <c r="G16" s="9" t="s">
        <v>11</v>
      </c>
      <c r="H16" s="9" t="s">
        <v>58</v>
      </c>
      <c r="I16" s="15">
        <v>258812449.41999999</v>
      </c>
      <c r="J16" s="15">
        <v>22737534487.73</v>
      </c>
      <c r="K16" s="10">
        <f t="shared" si="1"/>
        <v>1.1382608328078164E-2</v>
      </c>
      <c r="L16" s="16">
        <v>1.14E-2</v>
      </c>
      <c r="M16" s="9" t="str">
        <f t="shared" si="2"/>
        <v>Sim</v>
      </c>
      <c r="N16" s="16">
        <v>1.6799999999999999E-2</v>
      </c>
      <c r="O16" s="16">
        <v>1.6E-2</v>
      </c>
      <c r="P16" s="16">
        <v>1.5100000000000001E-2</v>
      </c>
      <c r="Q16" s="15">
        <v>381990579.38999999</v>
      </c>
      <c r="R16" s="15">
        <v>362891050.42000002</v>
      </c>
      <c r="S16" s="15">
        <v>343791521.44999999</v>
      </c>
      <c r="T16" s="9" t="str">
        <f t="shared" si="3"/>
        <v>Abaixo do limite de alerta</v>
      </c>
      <c r="U16" s="9" t="s">
        <v>50</v>
      </c>
    </row>
    <row r="17" spans="1:21" x14ac:dyDescent="0.25">
      <c r="A17" s="9" t="str">
        <f t="shared" si="0"/>
        <v>Assembleia Legislativa|2º quad. 2026</v>
      </c>
      <c r="B17" s="9" t="s">
        <v>17</v>
      </c>
      <c r="C17" s="9" t="s">
        <v>18</v>
      </c>
      <c r="D17" s="9" t="s">
        <v>60</v>
      </c>
      <c r="E17" s="9" t="s">
        <v>57</v>
      </c>
      <c r="F17" s="9">
        <v>2</v>
      </c>
      <c r="G17" s="9" t="s">
        <v>12</v>
      </c>
      <c r="H17" s="9" t="s">
        <v>59</v>
      </c>
      <c r="I17" s="15">
        <v>296082355.87</v>
      </c>
      <c r="J17" s="15">
        <v>23108985860.900002</v>
      </c>
      <c r="K17" s="10">
        <f t="shared" si="1"/>
        <v>1.2812433987895859E-2</v>
      </c>
      <c r="L17" s="16">
        <v>1.2800000000000001E-2</v>
      </c>
      <c r="M17" s="9" t="str">
        <f t="shared" si="2"/>
        <v>Sim</v>
      </c>
      <c r="N17" s="16">
        <v>1.6799999999999999E-2</v>
      </c>
      <c r="O17" s="16">
        <v>1.6E-2</v>
      </c>
      <c r="P17" s="16">
        <v>1.5100000000000001E-2</v>
      </c>
      <c r="Q17" s="15">
        <v>388230962.45999998</v>
      </c>
      <c r="R17" s="15">
        <v>368819414.33999997</v>
      </c>
      <c r="S17" s="15">
        <v>349407866.20999998</v>
      </c>
      <c r="T17" s="9" t="str">
        <f t="shared" si="3"/>
        <v>Abaixo do limite de alerta</v>
      </c>
      <c r="U17" s="9" t="s">
        <v>50</v>
      </c>
    </row>
    <row r="18" spans="1:21" x14ac:dyDescent="0.25">
      <c r="A18" s="9" t="str">
        <f t="shared" si="0"/>
        <v>Tribunal de Justiça|1º quad. 2024</v>
      </c>
      <c r="B18" s="9" t="s">
        <v>19</v>
      </c>
      <c r="C18" s="9" t="s">
        <v>20</v>
      </c>
      <c r="D18" s="9" t="s">
        <v>61</v>
      </c>
      <c r="E18" s="9" t="s">
        <v>48</v>
      </c>
      <c r="F18" s="9">
        <v>1</v>
      </c>
      <c r="G18" s="9" t="s">
        <v>5</v>
      </c>
      <c r="H18" s="9" t="s">
        <v>49</v>
      </c>
      <c r="I18" s="15">
        <v>972180928.62</v>
      </c>
      <c r="J18" s="15">
        <v>20028371429.009998</v>
      </c>
      <c r="K18" s="10">
        <f t="shared" si="1"/>
        <v>4.8540188705101066E-2</v>
      </c>
      <c r="L18" s="16">
        <v>4.8499999999999988E-2</v>
      </c>
      <c r="M18" s="9" t="str">
        <f t="shared" si="2"/>
        <v>Sim</v>
      </c>
      <c r="N18" s="16">
        <v>0.06</v>
      </c>
      <c r="O18" s="16">
        <v>5.7000000000000002E-2</v>
      </c>
      <c r="P18" s="16">
        <v>5.4000000000000013E-2</v>
      </c>
      <c r="Q18" s="15">
        <v>1201702285.74</v>
      </c>
      <c r="R18" s="15">
        <v>1141617171.45</v>
      </c>
      <c r="S18" s="15">
        <v>1081532057.1700001</v>
      </c>
      <c r="T18" s="9" t="str">
        <f t="shared" si="3"/>
        <v>Abaixo do limite de alerta</v>
      </c>
      <c r="U18" s="9" t="s">
        <v>50</v>
      </c>
    </row>
    <row r="19" spans="1:21" x14ac:dyDescent="0.25">
      <c r="A19" s="9" t="str">
        <f t="shared" si="0"/>
        <v>Tribunal de Justiça|2º quad. 2024</v>
      </c>
      <c r="B19" s="9" t="s">
        <v>19</v>
      </c>
      <c r="C19" s="9" t="s">
        <v>20</v>
      </c>
      <c r="D19" s="9" t="s">
        <v>61</v>
      </c>
      <c r="E19" s="9" t="s">
        <v>48</v>
      </c>
      <c r="F19" s="9">
        <v>2</v>
      </c>
      <c r="G19" s="9" t="s">
        <v>6</v>
      </c>
      <c r="H19" s="9" t="s">
        <v>51</v>
      </c>
      <c r="I19" s="15">
        <v>1010949080.04</v>
      </c>
      <c r="J19" s="15">
        <v>20288167646.330002</v>
      </c>
      <c r="K19" s="10">
        <f t="shared" si="1"/>
        <v>4.9829491635873489E-2</v>
      </c>
      <c r="L19" s="16">
        <v>4.9799999999999997E-2</v>
      </c>
      <c r="M19" s="9" t="str">
        <f t="shared" si="2"/>
        <v>Sim</v>
      </c>
      <c r="N19" s="16">
        <v>0.06</v>
      </c>
      <c r="O19" s="16">
        <v>5.7000000000000002E-2</v>
      </c>
      <c r="P19" s="16">
        <v>5.4000000000000013E-2</v>
      </c>
      <c r="Q19" s="15">
        <v>1217290058.78</v>
      </c>
      <c r="R19" s="15">
        <v>1156425555.8399999</v>
      </c>
      <c r="S19" s="15">
        <v>1095561052.9000001</v>
      </c>
      <c r="T19" s="9" t="str">
        <f t="shared" si="3"/>
        <v>Abaixo do limite de alerta</v>
      </c>
      <c r="U19" s="9" t="s">
        <v>50</v>
      </c>
    </row>
    <row r="20" spans="1:21" x14ac:dyDescent="0.25">
      <c r="A20" s="9" t="str">
        <f t="shared" si="0"/>
        <v>Tribunal de Justiça|3º quad. 2024</v>
      </c>
      <c r="B20" s="9" t="s">
        <v>19</v>
      </c>
      <c r="C20" s="9" t="s">
        <v>20</v>
      </c>
      <c r="D20" s="9" t="s">
        <v>61</v>
      </c>
      <c r="E20" s="9" t="s">
        <v>48</v>
      </c>
      <c r="F20" s="9">
        <v>3</v>
      </c>
      <c r="G20" s="9" t="s">
        <v>7</v>
      </c>
      <c r="H20" s="9" t="s">
        <v>52</v>
      </c>
      <c r="I20" s="15">
        <v>1036951064.46</v>
      </c>
      <c r="J20" s="15">
        <v>20253127366.59</v>
      </c>
      <c r="K20" s="10">
        <f t="shared" si="1"/>
        <v>5.1199552824151846E-2</v>
      </c>
      <c r="L20" s="16">
        <v>5.1200000000000002E-2</v>
      </c>
      <c r="M20" s="9" t="str">
        <f t="shared" si="2"/>
        <v>Sim</v>
      </c>
      <c r="N20" s="16">
        <v>0.06</v>
      </c>
      <c r="O20" s="16">
        <v>5.7000000000000002E-2</v>
      </c>
      <c r="P20" s="16">
        <v>5.4000000000000013E-2</v>
      </c>
      <c r="Q20" s="15">
        <v>1215187642</v>
      </c>
      <c r="R20" s="15">
        <v>1154428259.9000001</v>
      </c>
      <c r="S20" s="15">
        <v>1093668877.8</v>
      </c>
      <c r="T20" s="9" t="str">
        <f t="shared" si="3"/>
        <v>Abaixo do limite de alerta</v>
      </c>
      <c r="U20" s="9" t="s">
        <v>50</v>
      </c>
    </row>
    <row r="21" spans="1:21" x14ac:dyDescent="0.25">
      <c r="A21" s="9" t="str">
        <f t="shared" si="0"/>
        <v>Tribunal de Justiça|1º quad. 2025</v>
      </c>
      <c r="B21" s="9" t="s">
        <v>19</v>
      </c>
      <c r="C21" s="9" t="s">
        <v>20</v>
      </c>
      <c r="D21" s="9" t="s">
        <v>61</v>
      </c>
      <c r="E21" s="9" t="s">
        <v>53</v>
      </c>
      <c r="F21" s="9">
        <v>1</v>
      </c>
      <c r="G21" s="9" t="s">
        <v>8</v>
      </c>
      <c r="H21" s="9" t="s">
        <v>54</v>
      </c>
      <c r="I21" s="15">
        <v>1059448528.08</v>
      </c>
      <c r="J21" s="15">
        <v>20632008905.209999</v>
      </c>
      <c r="K21" s="10">
        <f t="shared" si="1"/>
        <v>5.1349751395874395E-2</v>
      </c>
      <c r="L21" s="16">
        <v>5.1299999999999998E-2</v>
      </c>
      <c r="M21" s="9" t="str">
        <f t="shared" si="2"/>
        <v>Sim</v>
      </c>
      <c r="N21" s="16">
        <v>0.06</v>
      </c>
      <c r="O21" s="16">
        <v>5.7000000000000002E-2</v>
      </c>
      <c r="P21" s="16">
        <v>5.4000000000000013E-2</v>
      </c>
      <c r="Q21" s="15">
        <v>1237920534.3099999</v>
      </c>
      <c r="R21" s="15">
        <v>1176024507.5899999</v>
      </c>
      <c r="S21" s="15">
        <v>1114128480.8800001</v>
      </c>
      <c r="T21" s="9" t="str">
        <f t="shared" si="3"/>
        <v>Abaixo do limite de alerta</v>
      </c>
      <c r="U21" s="9" t="s">
        <v>50</v>
      </c>
    </row>
    <row r="22" spans="1:21" x14ac:dyDescent="0.25">
      <c r="A22" s="9" t="str">
        <f t="shared" si="0"/>
        <v>Tribunal de Justiça|2º quad. 2025</v>
      </c>
      <c r="B22" s="9" t="s">
        <v>19</v>
      </c>
      <c r="C22" s="9" t="s">
        <v>20</v>
      </c>
      <c r="D22" s="9" t="s">
        <v>61</v>
      </c>
      <c r="E22" s="9" t="s">
        <v>53</v>
      </c>
      <c r="F22" s="9">
        <v>2</v>
      </c>
      <c r="G22" s="9" t="s">
        <v>9</v>
      </c>
      <c r="H22" s="9" t="s">
        <v>55</v>
      </c>
      <c r="I22" s="15">
        <v>1100782818.3299999</v>
      </c>
      <c r="J22" s="15">
        <v>21161450029.110001</v>
      </c>
      <c r="K22" s="10">
        <f t="shared" si="1"/>
        <v>5.2018307668696945E-2</v>
      </c>
      <c r="L22" s="16">
        <v>5.1999999999999998E-2</v>
      </c>
      <c r="M22" s="9" t="str">
        <f t="shared" si="2"/>
        <v>Sim</v>
      </c>
      <c r="N22" s="16">
        <v>0.06</v>
      </c>
      <c r="O22" s="16">
        <v>5.7000000000000002E-2</v>
      </c>
      <c r="P22" s="16">
        <v>5.4000000000000013E-2</v>
      </c>
      <c r="Q22" s="15">
        <v>1269687001.75</v>
      </c>
      <c r="R22" s="15">
        <v>1206202651.6600001</v>
      </c>
      <c r="S22" s="15">
        <v>1142718301.5799999</v>
      </c>
      <c r="T22" s="9" t="str">
        <f t="shared" si="3"/>
        <v>Abaixo do limite de alerta</v>
      </c>
      <c r="U22" s="9" t="s">
        <v>50</v>
      </c>
    </row>
    <row r="23" spans="1:21" x14ac:dyDescent="0.25">
      <c r="A23" s="9" t="str">
        <f t="shared" si="0"/>
        <v>Tribunal de Justiça|3º quad. 2025</v>
      </c>
      <c r="B23" s="9" t="s">
        <v>19</v>
      </c>
      <c r="C23" s="9" t="s">
        <v>20</v>
      </c>
      <c r="D23" s="9" t="s">
        <v>61</v>
      </c>
      <c r="E23" s="9" t="s">
        <v>53</v>
      </c>
      <c r="F23" s="9">
        <v>3</v>
      </c>
      <c r="G23" s="9" t="s">
        <v>10</v>
      </c>
      <c r="H23" s="9" t="s">
        <v>56</v>
      </c>
      <c r="I23" s="15">
        <v>1147674047.29</v>
      </c>
      <c r="J23" s="15">
        <v>22108659805.360001</v>
      </c>
      <c r="K23" s="10">
        <f t="shared" si="1"/>
        <v>5.191061138006018E-2</v>
      </c>
      <c r="L23" s="16">
        <v>5.1900000000000002E-2</v>
      </c>
      <c r="M23" s="9" t="str">
        <f t="shared" si="2"/>
        <v>Sim</v>
      </c>
      <c r="N23" s="16">
        <v>0.06</v>
      </c>
      <c r="O23" s="16">
        <v>5.7000000000000002E-2</v>
      </c>
      <c r="P23" s="16">
        <v>5.4000000000000013E-2</v>
      </c>
      <c r="Q23" s="15">
        <v>1326519588.3199999</v>
      </c>
      <c r="R23" s="15">
        <v>1260193608.9000001</v>
      </c>
      <c r="S23" s="15">
        <v>1193867629.49</v>
      </c>
      <c r="T23" s="9" t="str">
        <f t="shared" si="3"/>
        <v>Abaixo do limite de alerta</v>
      </c>
      <c r="U23" s="9" t="s">
        <v>50</v>
      </c>
    </row>
    <row r="24" spans="1:21" x14ac:dyDescent="0.25">
      <c r="A24" s="9" t="str">
        <f t="shared" si="0"/>
        <v>Tribunal de Justiça|1º quad. 2026</v>
      </c>
      <c r="B24" s="9" t="s">
        <v>19</v>
      </c>
      <c r="C24" s="9" t="s">
        <v>20</v>
      </c>
      <c r="D24" s="9" t="s">
        <v>61</v>
      </c>
      <c r="E24" s="9" t="s">
        <v>57</v>
      </c>
      <c r="F24" s="9">
        <v>1</v>
      </c>
      <c r="G24" s="9" t="s">
        <v>11</v>
      </c>
      <c r="H24" s="9" t="s">
        <v>58</v>
      </c>
      <c r="I24" s="15">
        <v>1168494849.1400001</v>
      </c>
      <c r="J24" s="15">
        <v>22737534487.73</v>
      </c>
      <c r="K24" s="10">
        <f t="shared" si="1"/>
        <v>5.1390569622689848E-2</v>
      </c>
      <c r="L24" s="16">
        <v>5.1399999999999987E-2</v>
      </c>
      <c r="M24" s="9" t="str">
        <f t="shared" si="2"/>
        <v>Sim</v>
      </c>
      <c r="N24" s="16">
        <v>0.06</v>
      </c>
      <c r="O24" s="16">
        <v>5.7000000000000002E-2</v>
      </c>
      <c r="P24" s="16">
        <v>5.4000000000000013E-2</v>
      </c>
      <c r="Q24" s="15">
        <v>1364252069.26</v>
      </c>
      <c r="R24" s="15">
        <v>1296039465.8</v>
      </c>
      <c r="S24" s="15">
        <v>1227826862.3299999</v>
      </c>
      <c r="T24" s="9" t="str">
        <f t="shared" si="3"/>
        <v>Abaixo do limite de alerta</v>
      </c>
      <c r="U24" s="9" t="s">
        <v>50</v>
      </c>
    </row>
    <row r="25" spans="1:21" x14ac:dyDescent="0.25">
      <c r="A25" s="9" t="str">
        <f t="shared" si="0"/>
        <v>Tribunal de Justiça|2º quad. 2026</v>
      </c>
      <c r="B25" s="9" t="s">
        <v>19</v>
      </c>
      <c r="C25" s="9" t="s">
        <v>20</v>
      </c>
      <c r="D25" s="9" t="s">
        <v>61</v>
      </c>
      <c r="E25" s="9" t="s">
        <v>57</v>
      </c>
      <c r="F25" s="9">
        <v>2</v>
      </c>
      <c r="G25" s="9" t="s">
        <v>12</v>
      </c>
      <c r="H25" s="9" t="s">
        <v>59</v>
      </c>
      <c r="I25" s="15">
        <v>1141097494.9200001</v>
      </c>
      <c r="J25" s="15">
        <v>23108985860.900002</v>
      </c>
      <c r="K25" s="10">
        <f t="shared" si="1"/>
        <v>4.937895162464559E-2</v>
      </c>
      <c r="L25" s="16">
        <v>4.9400000000000013E-2</v>
      </c>
      <c r="M25" s="9" t="str">
        <f t="shared" si="2"/>
        <v>Sim</v>
      </c>
      <c r="N25" s="16">
        <v>0.06</v>
      </c>
      <c r="O25" s="16">
        <v>5.7000000000000002E-2</v>
      </c>
      <c r="P25" s="16">
        <v>5.4000000000000013E-2</v>
      </c>
      <c r="Q25" s="15">
        <v>1386539151.6500001</v>
      </c>
      <c r="R25" s="15">
        <v>1317212194.0699999</v>
      </c>
      <c r="S25" s="15">
        <v>1247885236.49</v>
      </c>
      <c r="T25" s="9" t="str">
        <f t="shared" si="3"/>
        <v>Abaixo do limite de alerta</v>
      </c>
      <c r="U25" s="9" t="s">
        <v>50</v>
      </c>
    </row>
    <row r="26" spans="1:21" x14ac:dyDescent="0.25">
      <c r="A26" s="9" t="str">
        <f t="shared" si="0"/>
        <v>Tribunal de Contas|1º quad. 2024</v>
      </c>
      <c r="B26" s="9" t="s">
        <v>21</v>
      </c>
      <c r="C26" s="9" t="s">
        <v>21</v>
      </c>
      <c r="D26" s="9" t="s">
        <v>62</v>
      </c>
      <c r="E26" s="9" t="s">
        <v>48</v>
      </c>
      <c r="F26" s="9">
        <v>1</v>
      </c>
      <c r="G26" s="9" t="s">
        <v>5</v>
      </c>
      <c r="H26" s="9" t="s">
        <v>49</v>
      </c>
      <c r="I26" s="15">
        <v>184845480.05000001</v>
      </c>
      <c r="J26" s="15">
        <v>20028371429.009998</v>
      </c>
      <c r="K26" s="10">
        <f t="shared" si="1"/>
        <v>9.229181748759736E-3</v>
      </c>
      <c r="L26" s="16">
        <v>9.1999999999999998E-3</v>
      </c>
      <c r="M26" s="9" t="str">
        <f t="shared" si="2"/>
        <v>Sim</v>
      </c>
      <c r="N26" s="16">
        <v>1.32E-2</v>
      </c>
      <c r="O26" s="16">
        <v>1.2500000000000001E-2</v>
      </c>
      <c r="P26" s="16">
        <v>1.1900000000000001E-2</v>
      </c>
      <c r="Q26" s="15">
        <v>264374502.86000001</v>
      </c>
      <c r="R26" s="15">
        <v>251155777.72</v>
      </c>
      <c r="S26" s="15">
        <v>237937052.56999999</v>
      </c>
      <c r="T26" s="9" t="str">
        <f t="shared" si="3"/>
        <v>Abaixo do limite de alerta</v>
      </c>
      <c r="U26" s="9" t="s">
        <v>50</v>
      </c>
    </row>
    <row r="27" spans="1:21" x14ac:dyDescent="0.25">
      <c r="A27" s="9" t="str">
        <f t="shared" si="0"/>
        <v>Tribunal de Contas|2º quad. 2024</v>
      </c>
      <c r="B27" s="9" t="s">
        <v>21</v>
      </c>
      <c r="C27" s="9" t="s">
        <v>21</v>
      </c>
      <c r="D27" s="9" t="s">
        <v>62</v>
      </c>
      <c r="E27" s="9" t="s">
        <v>48</v>
      </c>
      <c r="F27" s="9">
        <v>2</v>
      </c>
      <c r="G27" s="9" t="s">
        <v>6</v>
      </c>
      <c r="H27" s="9" t="s">
        <v>51</v>
      </c>
      <c r="I27" s="15">
        <v>192996073.49000001</v>
      </c>
      <c r="J27" s="15">
        <v>20288167646.330002</v>
      </c>
      <c r="K27" s="10">
        <f t="shared" si="1"/>
        <v>9.5127404728889715E-3</v>
      </c>
      <c r="L27" s="16">
        <v>9.4999999999999998E-3</v>
      </c>
      <c r="M27" s="9" t="str">
        <f t="shared" si="2"/>
        <v>Sim</v>
      </c>
      <c r="N27" s="16">
        <v>1.32E-2</v>
      </c>
      <c r="O27" s="16">
        <v>1.2500000000000001E-2</v>
      </c>
      <c r="P27" s="16">
        <v>1.1900000000000001E-2</v>
      </c>
      <c r="Q27" s="15">
        <v>267803812.93000001</v>
      </c>
      <c r="R27" s="15">
        <v>254413622.28</v>
      </c>
      <c r="S27" s="15">
        <v>241023431.63999999</v>
      </c>
      <c r="T27" s="9" t="str">
        <f t="shared" si="3"/>
        <v>Abaixo do limite de alerta</v>
      </c>
      <c r="U27" s="9" t="s">
        <v>50</v>
      </c>
    </row>
    <row r="28" spans="1:21" x14ac:dyDescent="0.25">
      <c r="A28" s="9" t="str">
        <f t="shared" si="0"/>
        <v>Tribunal de Contas|3º quad. 2024</v>
      </c>
      <c r="B28" s="9" t="s">
        <v>21</v>
      </c>
      <c r="C28" s="9" t="s">
        <v>21</v>
      </c>
      <c r="D28" s="9" t="s">
        <v>62</v>
      </c>
      <c r="E28" s="9" t="s">
        <v>48</v>
      </c>
      <c r="F28" s="9">
        <v>3</v>
      </c>
      <c r="G28" s="9" t="s">
        <v>7</v>
      </c>
      <c r="H28" s="9" t="s">
        <v>52</v>
      </c>
      <c r="I28" s="15">
        <v>204286027.97999999</v>
      </c>
      <c r="J28" s="15">
        <v>20253127266.59</v>
      </c>
      <c r="K28" s="10">
        <f t="shared" si="1"/>
        <v>1.008664120315852E-2</v>
      </c>
      <c r="L28" s="16">
        <v>1.01E-2</v>
      </c>
      <c r="M28" s="9" t="str">
        <f t="shared" si="2"/>
        <v>Sim</v>
      </c>
      <c r="N28" s="16">
        <v>1.32E-2</v>
      </c>
      <c r="O28" s="16">
        <v>1.2500000000000001E-2</v>
      </c>
      <c r="P28" s="16">
        <v>1.1900000000000001E-2</v>
      </c>
      <c r="Q28" s="15">
        <v>267341279.91999999</v>
      </c>
      <c r="R28" s="15">
        <v>253974215.91999999</v>
      </c>
      <c r="S28" s="15">
        <v>240607151.93000001</v>
      </c>
      <c r="T28" s="9" t="str">
        <f t="shared" si="3"/>
        <v>Abaixo do limite de alerta</v>
      </c>
      <c r="U28" s="9" t="s">
        <v>50</v>
      </c>
    </row>
    <row r="29" spans="1:21" x14ac:dyDescent="0.25">
      <c r="A29" s="9" t="str">
        <f t="shared" si="0"/>
        <v>Tribunal de Contas|1º quad. 2025</v>
      </c>
      <c r="B29" s="9" t="s">
        <v>21</v>
      </c>
      <c r="C29" s="9" t="s">
        <v>21</v>
      </c>
      <c r="D29" s="9" t="s">
        <v>62</v>
      </c>
      <c r="E29" s="9" t="s">
        <v>53</v>
      </c>
      <c r="F29" s="9">
        <v>1</v>
      </c>
      <c r="G29" s="9" t="s">
        <v>8</v>
      </c>
      <c r="H29" s="9" t="s">
        <v>54</v>
      </c>
      <c r="I29" s="15">
        <v>212544901.71000001</v>
      </c>
      <c r="J29" s="15">
        <v>20632008905.209999</v>
      </c>
      <c r="K29" s="10">
        <f t="shared" si="1"/>
        <v>1.0301706570916036E-2</v>
      </c>
      <c r="L29" s="16">
        <v>1.03E-2</v>
      </c>
      <c r="M29" s="9" t="str">
        <f t="shared" si="2"/>
        <v>Sim</v>
      </c>
      <c r="N29" s="16">
        <v>1.32E-2</v>
      </c>
      <c r="O29" s="16">
        <v>1.2500000000000001E-2</v>
      </c>
      <c r="P29" s="16">
        <v>1.1900000000000001E-2</v>
      </c>
      <c r="Q29" s="15">
        <v>272342517.55000001</v>
      </c>
      <c r="R29" s="15">
        <v>258725391.66999999</v>
      </c>
      <c r="S29" s="15">
        <v>245108265.80000001</v>
      </c>
      <c r="T29" s="9" t="str">
        <f t="shared" si="3"/>
        <v>Abaixo do limite de alerta</v>
      </c>
      <c r="U29" s="9" t="s">
        <v>50</v>
      </c>
    </row>
    <row r="30" spans="1:21" x14ac:dyDescent="0.25">
      <c r="A30" s="9" t="str">
        <f t="shared" si="0"/>
        <v>Tribunal de Contas|2º quad. 2025</v>
      </c>
      <c r="B30" s="9" t="s">
        <v>21</v>
      </c>
      <c r="C30" s="9" t="s">
        <v>21</v>
      </c>
      <c r="D30" s="9" t="s">
        <v>62</v>
      </c>
      <c r="E30" s="9" t="s">
        <v>53</v>
      </c>
      <c r="F30" s="9">
        <v>2</v>
      </c>
      <c r="G30" s="9" t="s">
        <v>9</v>
      </c>
      <c r="H30" s="9" t="s">
        <v>55</v>
      </c>
      <c r="I30" s="15">
        <v>216151660.66999999</v>
      </c>
      <c r="J30" s="15">
        <v>21161450029.110001</v>
      </c>
      <c r="K30" s="10">
        <f t="shared" si="1"/>
        <v>1.021440687536339E-2</v>
      </c>
      <c r="L30" s="16">
        <v>1.0200000000000001E-2</v>
      </c>
      <c r="M30" s="9" t="str">
        <f t="shared" si="2"/>
        <v>Sim</v>
      </c>
      <c r="N30" s="16">
        <v>1.32E-2</v>
      </c>
      <c r="O30" s="16">
        <v>1.2500000000000001E-2</v>
      </c>
      <c r="P30" s="16">
        <v>1.1900000000000001E-2</v>
      </c>
      <c r="Q30" s="15">
        <v>279331140.38</v>
      </c>
      <c r="R30" s="15">
        <v>265364583.36000001</v>
      </c>
      <c r="S30" s="15">
        <v>251398026.34</v>
      </c>
      <c r="T30" s="9" t="str">
        <f t="shared" si="3"/>
        <v>Abaixo do limite de alerta</v>
      </c>
      <c r="U30" s="9" t="s">
        <v>50</v>
      </c>
    </row>
    <row r="31" spans="1:21" x14ac:dyDescent="0.25">
      <c r="A31" s="9" t="str">
        <f t="shared" si="0"/>
        <v>Tribunal de Contas|3º quad. 2025</v>
      </c>
      <c r="B31" s="9" t="s">
        <v>21</v>
      </c>
      <c r="C31" s="9" t="s">
        <v>21</v>
      </c>
      <c r="D31" s="9" t="s">
        <v>62</v>
      </c>
      <c r="E31" s="9" t="s">
        <v>53</v>
      </c>
      <c r="F31" s="9">
        <v>3</v>
      </c>
      <c r="G31" s="9" t="s">
        <v>10</v>
      </c>
      <c r="H31" s="9" t="s">
        <v>56</v>
      </c>
      <c r="I31" s="15">
        <v>219702415.86000001</v>
      </c>
      <c r="J31" s="15">
        <v>22108659805.360001</v>
      </c>
      <c r="K31" s="10">
        <f t="shared" si="1"/>
        <v>9.9373918543328253E-3</v>
      </c>
      <c r="L31" s="16">
        <v>9.8999999999999991E-3</v>
      </c>
      <c r="M31" s="9" t="str">
        <f t="shared" si="2"/>
        <v>Sim</v>
      </c>
      <c r="N31" s="16">
        <v>1.32E-2</v>
      </c>
      <c r="O31" s="16">
        <v>1.2500000000000001E-2</v>
      </c>
      <c r="P31" s="16">
        <v>1.1900000000000001E-2</v>
      </c>
      <c r="Q31" s="15">
        <v>291834309.43000001</v>
      </c>
      <c r="R31" s="15">
        <v>277242593.95999998</v>
      </c>
      <c r="S31" s="15">
        <v>262650878.49000001</v>
      </c>
      <c r="T31" s="9" t="str">
        <f t="shared" si="3"/>
        <v>Abaixo do limite de alerta</v>
      </c>
      <c r="U31" s="9" t="s">
        <v>50</v>
      </c>
    </row>
    <row r="32" spans="1:21" x14ac:dyDescent="0.25">
      <c r="A32" s="9" t="str">
        <f t="shared" si="0"/>
        <v>Tribunal de Contas|1º quad. 2026</v>
      </c>
      <c r="B32" s="9" t="s">
        <v>21</v>
      </c>
      <c r="C32" s="9" t="s">
        <v>21</v>
      </c>
      <c r="D32" s="9" t="s">
        <v>62</v>
      </c>
      <c r="E32" s="9" t="s">
        <v>57</v>
      </c>
      <c r="F32" s="9">
        <v>1</v>
      </c>
      <c r="G32" s="9" t="s">
        <v>11</v>
      </c>
      <c r="H32" s="9" t="s">
        <v>58</v>
      </c>
      <c r="I32" s="15">
        <v>226678981.97999999</v>
      </c>
      <c r="J32" s="15">
        <v>22737534487.73</v>
      </c>
      <c r="K32" s="10">
        <f t="shared" si="1"/>
        <v>9.9693738607554046E-3</v>
      </c>
      <c r="L32" s="16">
        <v>0.01</v>
      </c>
      <c r="M32" s="9" t="str">
        <f t="shared" si="2"/>
        <v>Sim</v>
      </c>
      <c r="N32" s="16">
        <v>1.32E-2</v>
      </c>
      <c r="O32" s="16">
        <v>1.2500000000000001E-2</v>
      </c>
      <c r="P32" s="16">
        <v>1.1900000000000001E-2</v>
      </c>
      <c r="Q32" s="15">
        <v>300135455.24000001</v>
      </c>
      <c r="R32" s="15">
        <v>285128682.48000002</v>
      </c>
      <c r="S32" s="15">
        <v>270121909.72000003</v>
      </c>
      <c r="T32" s="9" t="str">
        <f t="shared" si="3"/>
        <v>Abaixo do limite de alerta</v>
      </c>
      <c r="U32" s="9" t="s">
        <v>50</v>
      </c>
    </row>
    <row r="33" spans="1:21" x14ac:dyDescent="0.25">
      <c r="A33" s="9" t="str">
        <f t="shared" si="0"/>
        <v>Tribunal de Contas|2º quad. 2026</v>
      </c>
      <c r="B33" s="9" t="s">
        <v>21</v>
      </c>
      <c r="C33" s="9" t="s">
        <v>21</v>
      </c>
      <c r="D33" s="9" t="s">
        <v>62</v>
      </c>
      <c r="E33" s="9" t="s">
        <v>57</v>
      </c>
      <c r="F33" s="9">
        <v>2</v>
      </c>
      <c r="G33" s="9" t="s">
        <v>12</v>
      </c>
      <c r="H33" s="9" t="s">
        <v>59</v>
      </c>
      <c r="I33" s="15">
        <v>250345558.83000001</v>
      </c>
      <c r="J33" s="15">
        <v>23108985860.900002</v>
      </c>
      <c r="K33" s="10">
        <f t="shared" si="1"/>
        <v>1.0833255960988764E-2</v>
      </c>
      <c r="L33" s="16">
        <v>1.0800000000000001E-2</v>
      </c>
      <c r="M33" s="9" t="str">
        <f t="shared" si="2"/>
        <v>Sim</v>
      </c>
      <c r="N33" s="16">
        <v>1.32E-2</v>
      </c>
      <c r="O33" s="16">
        <v>1.2500000000000001E-2</v>
      </c>
      <c r="P33" s="16">
        <v>1.1900000000000001E-2</v>
      </c>
      <c r="Q33" s="15">
        <v>305038613.36000001</v>
      </c>
      <c r="R33" s="15">
        <v>289786682.69</v>
      </c>
      <c r="S33" s="15">
        <v>274534752.01999998</v>
      </c>
      <c r="T33" s="9" t="str">
        <f t="shared" si="3"/>
        <v>Abaixo do limite de alerta</v>
      </c>
      <c r="U33" s="9" t="s">
        <v>50</v>
      </c>
    </row>
    <row r="34" spans="1:21" x14ac:dyDescent="0.25">
      <c r="A34" s="9" t="str">
        <f t="shared" si="0"/>
        <v>Defensoria Pública|1º quad. 2024</v>
      </c>
      <c r="B34" s="9" t="s">
        <v>22</v>
      </c>
      <c r="C34" s="9" t="s">
        <v>22</v>
      </c>
      <c r="D34" s="9" t="s">
        <v>63</v>
      </c>
      <c r="E34" s="9" t="s">
        <v>48</v>
      </c>
      <c r="F34" s="9">
        <v>1</v>
      </c>
      <c r="G34" s="9" t="s">
        <v>5</v>
      </c>
      <c r="H34" s="9" t="s">
        <v>49</v>
      </c>
      <c r="I34" s="15">
        <v>201329379.25999999</v>
      </c>
      <c r="J34" s="15">
        <v>20028371429.009998</v>
      </c>
      <c r="K34" s="10">
        <f t="shared" si="1"/>
        <v>1.0052209186034238E-2</v>
      </c>
      <c r="L34" s="10"/>
      <c r="M34" s="9" t="str">
        <f t="shared" si="2"/>
        <v>Não declarado</v>
      </c>
      <c r="N34" s="10"/>
      <c r="O34" s="10"/>
      <c r="P34" s="10"/>
      <c r="Q34" s="17"/>
      <c r="R34" s="17"/>
      <c r="S34" s="17"/>
      <c r="T34" s="9" t="str">
        <f t="shared" si="3"/>
        <v>Sem limite próprio na LRF</v>
      </c>
      <c r="U34" s="9" t="s">
        <v>64</v>
      </c>
    </row>
    <row r="35" spans="1:21" x14ac:dyDescent="0.25">
      <c r="A35" s="9" t="str">
        <f t="shared" si="0"/>
        <v>Defensoria Pública|2º quad. 2024</v>
      </c>
      <c r="B35" s="9" t="s">
        <v>22</v>
      </c>
      <c r="C35" s="9" t="s">
        <v>22</v>
      </c>
      <c r="D35" s="9" t="s">
        <v>63</v>
      </c>
      <c r="E35" s="9" t="s">
        <v>48</v>
      </c>
      <c r="F35" s="9">
        <v>2</v>
      </c>
      <c r="G35" s="9" t="s">
        <v>6</v>
      </c>
      <c r="H35" s="9" t="s">
        <v>51</v>
      </c>
      <c r="I35" s="15">
        <v>204752945.41</v>
      </c>
      <c r="J35" s="15">
        <v>20288167646.330002</v>
      </c>
      <c r="K35" s="10">
        <f t="shared" si="1"/>
        <v>1.0092234497433211E-2</v>
      </c>
      <c r="L35" s="10"/>
      <c r="M35" s="9" t="str">
        <f t="shared" si="2"/>
        <v>Não declarado</v>
      </c>
      <c r="N35" s="10"/>
      <c r="O35" s="10"/>
      <c r="P35" s="10"/>
      <c r="Q35" s="17"/>
      <c r="R35" s="17"/>
      <c r="S35" s="17"/>
      <c r="T35" s="9" t="str">
        <f t="shared" si="3"/>
        <v>Sem limite próprio na LRF</v>
      </c>
      <c r="U35" s="9" t="s">
        <v>64</v>
      </c>
    </row>
    <row r="36" spans="1:21" x14ac:dyDescent="0.25">
      <c r="A36" s="9" t="str">
        <f t="shared" si="0"/>
        <v>Defensoria Pública|3º quad. 2024</v>
      </c>
      <c r="B36" s="9" t="s">
        <v>22</v>
      </c>
      <c r="C36" s="9" t="s">
        <v>22</v>
      </c>
      <c r="D36" s="9" t="s">
        <v>63</v>
      </c>
      <c r="E36" s="9" t="s">
        <v>48</v>
      </c>
      <c r="F36" s="9">
        <v>3</v>
      </c>
      <c r="G36" s="9" t="s">
        <v>7</v>
      </c>
      <c r="H36" s="9" t="s">
        <v>52</v>
      </c>
      <c r="I36" s="15">
        <v>201221828.5</v>
      </c>
      <c r="J36" s="15">
        <v>20253127266.59</v>
      </c>
      <c r="K36" s="10">
        <f t="shared" si="1"/>
        <v>9.9353460752670975E-3</v>
      </c>
      <c r="L36" s="10"/>
      <c r="M36" s="9" t="str">
        <f t="shared" si="2"/>
        <v>Não declarado</v>
      </c>
      <c r="N36" s="10"/>
      <c r="O36" s="10"/>
      <c r="P36" s="10"/>
      <c r="Q36" s="17"/>
      <c r="R36" s="17"/>
      <c r="S36" s="17"/>
      <c r="T36" s="9" t="str">
        <f t="shared" si="3"/>
        <v>Sem limite próprio na LRF</v>
      </c>
      <c r="U36" s="9" t="s">
        <v>64</v>
      </c>
    </row>
    <row r="37" spans="1:21" x14ac:dyDescent="0.25">
      <c r="A37" s="9" t="str">
        <f t="shared" si="0"/>
        <v>Defensoria Pública|1º quad. 2025</v>
      </c>
      <c r="B37" s="9" t="s">
        <v>22</v>
      </c>
      <c r="C37" s="9" t="s">
        <v>22</v>
      </c>
      <c r="D37" s="9" t="s">
        <v>63</v>
      </c>
      <c r="E37" s="9" t="s">
        <v>53</v>
      </c>
      <c r="F37" s="9">
        <v>1</v>
      </c>
      <c r="G37" s="9" t="s">
        <v>8</v>
      </c>
      <c r="H37" s="9" t="s">
        <v>54</v>
      </c>
      <c r="I37" s="15">
        <v>209227043.37</v>
      </c>
      <c r="J37" s="15">
        <v>20632008905.209999</v>
      </c>
      <c r="K37" s="10">
        <f t="shared" si="1"/>
        <v>1.0140895359790483E-2</v>
      </c>
      <c r="L37" s="10"/>
      <c r="M37" s="9" t="str">
        <f t="shared" si="2"/>
        <v>Não declarado</v>
      </c>
      <c r="N37" s="10"/>
      <c r="O37" s="10"/>
      <c r="P37" s="10"/>
      <c r="Q37" s="17"/>
      <c r="R37" s="17"/>
      <c r="S37" s="17"/>
      <c r="T37" s="9" t="str">
        <f t="shared" si="3"/>
        <v>Sem limite próprio na LRF</v>
      </c>
      <c r="U37" s="9" t="s">
        <v>64</v>
      </c>
    </row>
    <row r="38" spans="1:21" x14ac:dyDescent="0.25">
      <c r="A38" s="9" t="str">
        <f t="shared" si="0"/>
        <v>Defensoria Pública|2º quad. 2025</v>
      </c>
      <c r="B38" s="9" t="s">
        <v>22</v>
      </c>
      <c r="C38" s="9" t="s">
        <v>22</v>
      </c>
      <c r="D38" s="9" t="s">
        <v>63</v>
      </c>
      <c r="E38" s="9" t="s">
        <v>53</v>
      </c>
      <c r="F38" s="9">
        <v>2</v>
      </c>
      <c r="G38" s="9" t="s">
        <v>9</v>
      </c>
      <c r="H38" s="9" t="s">
        <v>55</v>
      </c>
      <c r="I38" s="15">
        <v>218797804.59</v>
      </c>
      <c r="J38" s="15">
        <v>21161450029.110001</v>
      </c>
      <c r="K38" s="10">
        <f t="shared" si="1"/>
        <v>1.0339452366875546E-2</v>
      </c>
      <c r="L38" s="10"/>
      <c r="M38" s="9" t="str">
        <f t="shared" si="2"/>
        <v>Não declarado</v>
      </c>
      <c r="N38" s="10"/>
      <c r="O38" s="10"/>
      <c r="P38" s="10"/>
      <c r="Q38" s="17"/>
      <c r="R38" s="17"/>
      <c r="S38" s="17"/>
      <c r="T38" s="9" t="str">
        <f t="shared" si="3"/>
        <v>Sem limite próprio na LRF</v>
      </c>
      <c r="U38" s="9" t="s">
        <v>64</v>
      </c>
    </row>
    <row r="39" spans="1:21" x14ac:dyDescent="0.25">
      <c r="A39" s="9" t="str">
        <f t="shared" si="0"/>
        <v>Defensoria Pública|3º quad. 2025</v>
      </c>
      <c r="B39" s="9" t="s">
        <v>22</v>
      </c>
      <c r="C39" s="9" t="s">
        <v>22</v>
      </c>
      <c r="D39" s="9" t="s">
        <v>63</v>
      </c>
      <c r="E39" s="9" t="s">
        <v>53</v>
      </c>
      <c r="F39" s="9">
        <v>3</v>
      </c>
      <c r="G39" s="9" t="s">
        <v>10</v>
      </c>
      <c r="H39" s="9" t="s">
        <v>56</v>
      </c>
      <c r="I39" s="15">
        <v>233146299.50999999</v>
      </c>
      <c r="J39" s="15">
        <v>22108659805.360001</v>
      </c>
      <c r="K39" s="10">
        <f t="shared" si="1"/>
        <v>1.0545474106642874E-2</v>
      </c>
      <c r="L39" s="10"/>
      <c r="M39" s="9" t="str">
        <f t="shared" si="2"/>
        <v>Não declarado</v>
      </c>
      <c r="N39" s="10"/>
      <c r="O39" s="10"/>
      <c r="P39" s="10"/>
      <c r="Q39" s="17"/>
      <c r="R39" s="17"/>
      <c r="S39" s="17"/>
      <c r="T39" s="9" t="str">
        <f t="shared" si="3"/>
        <v>Sem limite próprio na LRF</v>
      </c>
      <c r="U39" s="9" t="s">
        <v>64</v>
      </c>
    </row>
    <row r="40" spans="1:21" x14ac:dyDescent="0.25">
      <c r="A40" s="9" t="str">
        <f t="shared" si="0"/>
        <v>Defensoria Pública|1º quad. 2026</v>
      </c>
      <c r="B40" s="9" t="s">
        <v>22</v>
      </c>
      <c r="C40" s="9" t="s">
        <v>22</v>
      </c>
      <c r="D40" s="9" t="s">
        <v>63</v>
      </c>
      <c r="E40" s="9" t="s">
        <v>57</v>
      </c>
      <c r="F40" s="9">
        <v>1</v>
      </c>
      <c r="G40" s="9" t="s">
        <v>11</v>
      </c>
      <c r="H40" s="9" t="s">
        <v>58</v>
      </c>
      <c r="I40" s="15">
        <v>244288462.24000001</v>
      </c>
      <c r="J40" s="15">
        <v>22737534487.73</v>
      </c>
      <c r="K40" s="10">
        <f t="shared" si="1"/>
        <v>1.0743841306621304E-2</v>
      </c>
      <c r="L40" s="10"/>
      <c r="M40" s="9" t="str">
        <f t="shared" si="2"/>
        <v>Não declarado</v>
      </c>
      <c r="N40" s="10"/>
      <c r="O40" s="10"/>
      <c r="P40" s="10"/>
      <c r="Q40" s="17"/>
      <c r="R40" s="17"/>
      <c r="S40" s="17"/>
      <c r="T40" s="9" t="str">
        <f t="shared" si="3"/>
        <v>Sem limite próprio na LRF</v>
      </c>
      <c r="U40" s="9" t="s">
        <v>64</v>
      </c>
    </row>
    <row r="41" spans="1:21" x14ac:dyDescent="0.25">
      <c r="A41" s="9" t="str">
        <f t="shared" si="0"/>
        <v>Defensoria Pública|2º quad. 2026</v>
      </c>
      <c r="B41" s="9" t="s">
        <v>22</v>
      </c>
      <c r="C41" s="9" t="s">
        <v>22</v>
      </c>
      <c r="D41" s="9" t="s">
        <v>63</v>
      </c>
      <c r="E41" s="9" t="s">
        <v>57</v>
      </c>
      <c r="F41" s="9">
        <v>2</v>
      </c>
      <c r="G41" s="9" t="s">
        <v>12</v>
      </c>
      <c r="H41" s="9" t="s">
        <v>59</v>
      </c>
      <c r="I41" s="15">
        <v>254396499.97999999</v>
      </c>
      <c r="J41" s="15">
        <v>23108985860.900002</v>
      </c>
      <c r="K41" s="10">
        <f t="shared" si="1"/>
        <v>1.1008553188412928E-2</v>
      </c>
      <c r="L41" s="10"/>
      <c r="M41" s="9" t="str">
        <f t="shared" si="2"/>
        <v>Não declarado</v>
      </c>
      <c r="N41" s="10"/>
      <c r="O41" s="10"/>
      <c r="P41" s="10"/>
      <c r="Q41" s="17"/>
      <c r="R41" s="17"/>
      <c r="S41" s="17"/>
      <c r="T41" s="9" t="str">
        <f t="shared" si="3"/>
        <v>Sem limite próprio na LRF</v>
      </c>
      <c r="U41" s="9" t="s">
        <v>64</v>
      </c>
    </row>
    <row r="42" spans="1:21" x14ac:dyDescent="0.25">
      <c r="A42" s="9" t="str">
        <f t="shared" si="0"/>
        <v>Ministério Público|1º quad. 2024</v>
      </c>
      <c r="B42" s="9" t="s">
        <v>23</v>
      </c>
      <c r="C42" s="9" t="s">
        <v>23</v>
      </c>
      <c r="D42" s="9" t="s">
        <v>65</v>
      </c>
      <c r="E42" s="9" t="s">
        <v>48</v>
      </c>
      <c r="F42" s="9">
        <v>1</v>
      </c>
      <c r="G42" s="9" t="s">
        <v>5</v>
      </c>
      <c r="H42" s="9" t="s">
        <v>49</v>
      </c>
      <c r="I42" s="15">
        <v>289124301.20999998</v>
      </c>
      <c r="J42" s="15">
        <v>20028371429.009998</v>
      </c>
      <c r="K42" s="10">
        <f t="shared" si="1"/>
        <v>1.4435736936215356E-2</v>
      </c>
      <c r="L42" s="16">
        <v>1.44E-2</v>
      </c>
      <c r="M42" s="9" t="str">
        <f t="shared" si="2"/>
        <v>Sim</v>
      </c>
      <c r="N42" s="16">
        <v>0.02</v>
      </c>
      <c r="O42" s="16">
        <v>1.9E-2</v>
      </c>
      <c r="P42" s="16">
        <v>1.7999999999999999E-2</v>
      </c>
      <c r="Q42" s="15">
        <v>400567428.57999998</v>
      </c>
      <c r="R42" s="15">
        <v>380539057.14999998</v>
      </c>
      <c r="S42" s="15">
        <v>360510685.72000003</v>
      </c>
      <c r="T42" s="9" t="str">
        <f t="shared" si="3"/>
        <v>Abaixo do limite de alerta</v>
      </c>
      <c r="U42" s="9" t="s">
        <v>50</v>
      </c>
    </row>
    <row r="43" spans="1:21" x14ac:dyDescent="0.25">
      <c r="A43" s="9" t="str">
        <f t="shared" si="0"/>
        <v>Ministério Público|2º quad. 2024</v>
      </c>
      <c r="B43" s="9" t="s">
        <v>23</v>
      </c>
      <c r="C43" s="9" t="s">
        <v>23</v>
      </c>
      <c r="D43" s="9" t="s">
        <v>65</v>
      </c>
      <c r="E43" s="9" t="s">
        <v>48</v>
      </c>
      <c r="F43" s="9">
        <v>2</v>
      </c>
      <c r="G43" s="9" t="s">
        <v>6</v>
      </c>
      <c r="H43" s="9" t="s">
        <v>51</v>
      </c>
      <c r="I43" s="15">
        <v>294685071.68000001</v>
      </c>
      <c r="J43" s="15">
        <v>20288167646.330002</v>
      </c>
      <c r="K43" s="10">
        <f t="shared" si="1"/>
        <v>1.4524972230959785E-2</v>
      </c>
      <c r="L43" s="16">
        <v>1.4500000000000001E-2</v>
      </c>
      <c r="M43" s="9" t="str">
        <f t="shared" si="2"/>
        <v>Sim</v>
      </c>
      <c r="N43" s="16">
        <v>0.02</v>
      </c>
      <c r="O43" s="16">
        <v>1.9E-2</v>
      </c>
      <c r="P43" s="16">
        <v>1.7999999999999999E-2</v>
      </c>
      <c r="Q43" s="15">
        <v>405763352.93000001</v>
      </c>
      <c r="R43" s="15">
        <v>385475185.27999997</v>
      </c>
      <c r="S43" s="15">
        <v>365187017.63999999</v>
      </c>
      <c r="T43" s="9" t="str">
        <f t="shared" si="3"/>
        <v>Abaixo do limite de alerta</v>
      </c>
      <c r="U43" s="9" t="s">
        <v>50</v>
      </c>
    </row>
    <row r="44" spans="1:21" x14ac:dyDescent="0.25">
      <c r="A44" s="9" t="str">
        <f t="shared" si="0"/>
        <v>Ministério Público|3º quad. 2024</v>
      </c>
      <c r="B44" s="9" t="s">
        <v>23</v>
      </c>
      <c r="C44" s="9" t="s">
        <v>23</v>
      </c>
      <c r="D44" s="9" t="s">
        <v>65</v>
      </c>
      <c r="E44" s="9" t="s">
        <v>48</v>
      </c>
      <c r="F44" s="9">
        <v>3</v>
      </c>
      <c r="G44" s="9" t="s">
        <v>7</v>
      </c>
      <c r="H44" s="9" t="s">
        <v>52</v>
      </c>
      <c r="I44" s="15">
        <v>304065473.12</v>
      </c>
      <c r="J44" s="15">
        <v>20253127266.59</v>
      </c>
      <c r="K44" s="10">
        <f t="shared" si="1"/>
        <v>1.501326037789695E-2</v>
      </c>
      <c r="L44" s="16">
        <v>1.4999999999999999E-2</v>
      </c>
      <c r="M44" s="9" t="str">
        <f t="shared" si="2"/>
        <v>Sim</v>
      </c>
      <c r="N44" s="16">
        <v>0.02</v>
      </c>
      <c r="O44" s="16">
        <v>1.9E-2</v>
      </c>
      <c r="P44" s="16">
        <v>1.7999999999999999E-2</v>
      </c>
      <c r="Q44" s="15">
        <v>405062545.32999998</v>
      </c>
      <c r="R44" s="15">
        <v>384809418.06</v>
      </c>
      <c r="S44" s="15">
        <v>364556290.80000001</v>
      </c>
      <c r="T44" s="9" t="str">
        <f t="shared" si="3"/>
        <v>Abaixo do limite de alerta</v>
      </c>
      <c r="U44" s="9" t="s">
        <v>50</v>
      </c>
    </row>
    <row r="45" spans="1:21" x14ac:dyDescent="0.25">
      <c r="A45" s="9" t="str">
        <f t="shared" si="0"/>
        <v>Ministério Público|1º quad. 2025</v>
      </c>
      <c r="B45" s="9" t="s">
        <v>23</v>
      </c>
      <c r="C45" s="9" t="s">
        <v>23</v>
      </c>
      <c r="D45" s="9" t="s">
        <v>65</v>
      </c>
      <c r="E45" s="9" t="s">
        <v>53</v>
      </c>
      <c r="F45" s="9">
        <v>1</v>
      </c>
      <c r="G45" s="9" t="s">
        <v>8</v>
      </c>
      <c r="H45" s="9" t="s">
        <v>54</v>
      </c>
      <c r="I45" s="15">
        <v>315149747.66000003</v>
      </c>
      <c r="J45" s="15">
        <v>20632008905.209999</v>
      </c>
      <c r="K45" s="10">
        <f t="shared" si="1"/>
        <v>1.5274796996642356E-2</v>
      </c>
      <c r="L45" s="16">
        <v>1.5299999999999999E-2</v>
      </c>
      <c r="M45" s="9" t="str">
        <f t="shared" si="2"/>
        <v>Sim</v>
      </c>
      <c r="N45" s="16">
        <v>0.02</v>
      </c>
      <c r="O45" s="16">
        <v>1.9E-2</v>
      </c>
      <c r="P45" s="16">
        <v>1.7999999999999999E-2</v>
      </c>
      <c r="Q45" s="15">
        <v>412640178.10000002</v>
      </c>
      <c r="R45" s="15">
        <v>392008169.19999999</v>
      </c>
      <c r="S45" s="15">
        <v>371376160.29000002</v>
      </c>
      <c r="T45" s="9" t="str">
        <f t="shared" si="3"/>
        <v>Abaixo do limite de alerta</v>
      </c>
      <c r="U45" s="9" t="s">
        <v>50</v>
      </c>
    </row>
    <row r="46" spans="1:21" x14ac:dyDescent="0.25">
      <c r="A46" s="9" t="str">
        <f t="shared" si="0"/>
        <v>Ministério Público|2º quad. 2025</v>
      </c>
      <c r="B46" s="9" t="s">
        <v>23</v>
      </c>
      <c r="C46" s="9" t="s">
        <v>23</v>
      </c>
      <c r="D46" s="9" t="s">
        <v>65</v>
      </c>
      <c r="E46" s="9" t="s">
        <v>53</v>
      </c>
      <c r="F46" s="9">
        <v>2</v>
      </c>
      <c r="G46" s="9" t="s">
        <v>9</v>
      </c>
      <c r="H46" s="9" t="s">
        <v>55</v>
      </c>
      <c r="I46" s="15">
        <v>328680188.10000002</v>
      </c>
      <c r="J46" s="15">
        <v>21161450029.110001</v>
      </c>
      <c r="K46" s="10">
        <f t="shared" si="1"/>
        <v>1.5532025813347514E-2</v>
      </c>
      <c r="L46" s="16">
        <v>1.55E-2</v>
      </c>
      <c r="M46" s="9" t="str">
        <f t="shared" si="2"/>
        <v>Sim</v>
      </c>
      <c r="N46" s="16">
        <v>0.02</v>
      </c>
      <c r="O46" s="16">
        <v>1.9E-2</v>
      </c>
      <c r="P46" s="16">
        <v>1.7999999999999999E-2</v>
      </c>
      <c r="Q46" s="15">
        <v>423229000.57999998</v>
      </c>
      <c r="R46" s="15">
        <v>402067550.55000001</v>
      </c>
      <c r="S46" s="15">
        <v>380906100.51999998</v>
      </c>
      <c r="T46" s="9" t="str">
        <f t="shared" si="3"/>
        <v>Abaixo do limite de alerta</v>
      </c>
      <c r="U46" s="9" t="s">
        <v>50</v>
      </c>
    </row>
    <row r="47" spans="1:21" x14ac:dyDescent="0.25">
      <c r="A47" s="9" t="str">
        <f t="shared" si="0"/>
        <v>Ministério Público|3º quad. 2025</v>
      </c>
      <c r="B47" s="9" t="s">
        <v>23</v>
      </c>
      <c r="C47" s="9" t="s">
        <v>23</v>
      </c>
      <c r="D47" s="9" t="s">
        <v>65</v>
      </c>
      <c r="E47" s="9" t="s">
        <v>53</v>
      </c>
      <c r="F47" s="9">
        <v>3</v>
      </c>
      <c r="G47" s="9" t="s">
        <v>10</v>
      </c>
      <c r="H47" s="9" t="s">
        <v>56</v>
      </c>
      <c r="I47" s="15">
        <v>345450326.57999998</v>
      </c>
      <c r="J47" s="15">
        <v>22108659805.360001</v>
      </c>
      <c r="K47" s="10">
        <f t="shared" si="1"/>
        <v>1.5625113852276534E-2</v>
      </c>
      <c r="L47" s="16">
        <v>1.5599999999999999E-2</v>
      </c>
      <c r="M47" s="9" t="str">
        <f t="shared" si="2"/>
        <v>Sim</v>
      </c>
      <c r="N47" s="16">
        <v>0.02</v>
      </c>
      <c r="O47" s="16">
        <v>1.9E-2</v>
      </c>
      <c r="P47" s="16">
        <v>1.7999999999999999E-2</v>
      </c>
      <c r="Q47" s="15">
        <v>442173196.11000001</v>
      </c>
      <c r="R47" s="15">
        <v>420064536.30000001</v>
      </c>
      <c r="S47" s="15">
        <v>397955876.5</v>
      </c>
      <c r="T47" s="9" t="str">
        <f t="shared" si="3"/>
        <v>Abaixo do limite de alerta</v>
      </c>
      <c r="U47" s="9" t="s">
        <v>50</v>
      </c>
    </row>
    <row r="48" spans="1:21" x14ac:dyDescent="0.25">
      <c r="A48" s="9" t="str">
        <f t="shared" si="0"/>
        <v>Ministério Público|1º quad. 2026</v>
      </c>
      <c r="B48" s="9" t="s">
        <v>23</v>
      </c>
      <c r="C48" s="9" t="s">
        <v>23</v>
      </c>
      <c r="D48" s="9" t="s">
        <v>65</v>
      </c>
      <c r="E48" s="9" t="s">
        <v>57</v>
      </c>
      <c r="F48" s="9">
        <v>1</v>
      </c>
      <c r="G48" s="9" t="s">
        <v>11</v>
      </c>
      <c r="H48" s="9" t="s">
        <v>58</v>
      </c>
      <c r="I48" s="15">
        <v>400140230.16000003</v>
      </c>
      <c r="J48" s="15">
        <v>22737534487.73</v>
      </c>
      <c r="K48" s="10">
        <f t="shared" si="1"/>
        <v>1.7598224221536871E-2</v>
      </c>
      <c r="L48" s="16">
        <v>1.7600000000000001E-2</v>
      </c>
      <c r="M48" s="9" t="str">
        <f t="shared" si="2"/>
        <v>Sim</v>
      </c>
      <c r="N48" s="16">
        <v>0.02</v>
      </c>
      <c r="O48" s="16">
        <v>1.9E-2</v>
      </c>
      <c r="P48" s="16">
        <v>1.7999999999999999E-2</v>
      </c>
      <c r="Q48" s="15">
        <v>454750689.75</v>
      </c>
      <c r="R48" s="15">
        <v>432013155.25999999</v>
      </c>
      <c r="S48" s="15">
        <v>409275620.77999997</v>
      </c>
      <c r="T48" s="9" t="str">
        <f t="shared" si="3"/>
        <v>Abaixo do limite de alerta</v>
      </c>
      <c r="U48" s="9" t="s">
        <v>50</v>
      </c>
    </row>
    <row r="49" spans="1:21" x14ac:dyDescent="0.25">
      <c r="A49" s="9" t="str">
        <f t="shared" si="0"/>
        <v>Ministério Público|2º quad. 2026</v>
      </c>
      <c r="B49" s="9" t="s">
        <v>23</v>
      </c>
      <c r="C49" s="9" t="s">
        <v>23</v>
      </c>
      <c r="D49" s="9" t="s">
        <v>65</v>
      </c>
      <c r="E49" s="9" t="s">
        <v>57</v>
      </c>
      <c r="F49" s="9">
        <v>2</v>
      </c>
      <c r="G49" s="9" t="s">
        <v>12</v>
      </c>
      <c r="H49" s="9" t="s">
        <v>59</v>
      </c>
      <c r="I49" s="15">
        <v>373953834.49000001</v>
      </c>
      <c r="J49" s="15">
        <v>23108985860.900002</v>
      </c>
      <c r="K49" s="10">
        <f t="shared" si="1"/>
        <v>1.6182182841814937E-2</v>
      </c>
      <c r="L49" s="16">
        <v>1.6199999999999999E-2</v>
      </c>
      <c r="M49" s="9" t="str">
        <f t="shared" si="2"/>
        <v>Sim</v>
      </c>
      <c r="N49" s="16">
        <v>0.02</v>
      </c>
      <c r="O49" s="16">
        <v>1.9E-2</v>
      </c>
      <c r="P49" s="16">
        <v>1.7999999999999999E-2</v>
      </c>
      <c r="Q49" s="15">
        <v>462179717.22000003</v>
      </c>
      <c r="R49" s="15">
        <v>439070731.36000001</v>
      </c>
      <c r="S49" s="15">
        <v>415961745.5</v>
      </c>
      <c r="T49" s="9" t="str">
        <f t="shared" si="3"/>
        <v>Abaixo do limite de alerta</v>
      </c>
      <c r="U49" s="9" t="s">
        <v>50</v>
      </c>
    </row>
  </sheetData>
  <autoFilter ref="A1:U49" xr:uid="{00000000-0009-0000-0000-000001000000}"/>
  <pageMargins left="0.75" right="0.75" top="1" bottom="1" header="0.5" footer="0.5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"/>
  <sheetViews>
    <sheetView workbookViewId="0"/>
  </sheetViews>
  <sheetFormatPr defaultRowHeight="15" x14ac:dyDescent="0.25"/>
  <cols>
    <col min="1" max="1" width="22" customWidth="1"/>
    <col min="2" max="2" width="100" customWidth="1"/>
  </cols>
  <sheetData>
    <row r="1" spans="1:2" ht="18" x14ac:dyDescent="0.25">
      <c r="A1" s="1" t="s">
        <v>66</v>
      </c>
    </row>
    <row r="3" spans="1:2" ht="30" customHeight="1" x14ac:dyDescent="0.25">
      <c r="A3" s="18" t="s">
        <v>67</v>
      </c>
      <c r="B3" s="19" t="s">
        <v>68</v>
      </c>
    </row>
    <row r="4" spans="1:2" ht="30" customHeight="1" x14ac:dyDescent="0.25">
      <c r="A4" s="18" t="s">
        <v>69</v>
      </c>
      <c r="B4" s="19" t="s">
        <v>70</v>
      </c>
    </row>
    <row r="5" spans="1:2" ht="30" customHeight="1" x14ac:dyDescent="0.25">
      <c r="A5" s="18" t="s">
        <v>71</v>
      </c>
      <c r="B5" s="19" t="s">
        <v>72</v>
      </c>
    </row>
    <row r="6" spans="1:2" ht="30" customHeight="1" x14ac:dyDescent="0.25">
      <c r="A6" s="18" t="s">
        <v>73</v>
      </c>
      <c r="B6" s="19" t="s">
        <v>74</v>
      </c>
    </row>
    <row r="7" spans="1:2" ht="30" customHeight="1" x14ac:dyDescent="0.25">
      <c r="A7" s="18" t="s">
        <v>75</v>
      </c>
      <c r="B7" s="19" t="s">
        <v>76</v>
      </c>
    </row>
    <row r="8" spans="1:2" ht="60" customHeight="1" x14ac:dyDescent="0.25">
      <c r="A8" s="18" t="s">
        <v>77</v>
      </c>
      <c r="B8" s="19" t="s">
        <v>78</v>
      </c>
    </row>
    <row r="9" spans="1:2" ht="45" customHeight="1" x14ac:dyDescent="0.25">
      <c r="A9" s="18" t="s">
        <v>79</v>
      </c>
      <c r="B9" s="19" t="s">
        <v>80</v>
      </c>
    </row>
    <row r="10" spans="1:2" ht="15" customHeight="1" x14ac:dyDescent="0.25">
      <c r="A10" s="18" t="s">
        <v>81</v>
      </c>
      <c r="B10" s="19" t="s">
        <v>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Resumo</vt:lpstr>
      <vt:lpstr>Dados</vt:lpstr>
      <vt:lpstr>Notas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Fernando Medeiros</cp:lastModifiedBy>
  <dcterms:created xsi:type="dcterms:W3CDTF">2026-10-15T09:56:22Z</dcterms:created>
  <dcterms:modified xsi:type="dcterms:W3CDTF">2026-10-15T09:57:06Z</dcterms:modified>
</cp:coreProperties>
</file>