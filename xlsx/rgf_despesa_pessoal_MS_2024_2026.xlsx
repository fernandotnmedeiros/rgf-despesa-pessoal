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FA0791AF218992C1F7E95672A4C8551F77824620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E16" i="1"/>
  <c r="D16" i="1"/>
  <c r="C16" i="1"/>
  <c r="F12" i="1"/>
  <c r="E12" i="1"/>
  <c r="D12" i="1"/>
  <c r="C12" i="1"/>
  <c r="F6" i="1"/>
  <c r="E6" i="1"/>
  <c r="D6" i="1"/>
  <c r="C6" i="1"/>
  <c r="M48" i="2" l="1"/>
  <c r="T48" i="2"/>
  <c r="M43" i="2"/>
  <c r="T43" i="2"/>
  <c r="T24" i="2"/>
  <c r="M24" i="2"/>
  <c r="M11" i="2"/>
  <c r="T11" i="2"/>
  <c r="T49" i="2"/>
  <c r="L11" i="1" s="1"/>
  <c r="M49" i="2"/>
  <c r="M47" i="2"/>
  <c r="T47" i="2"/>
  <c r="M46" i="2"/>
  <c r="T46" i="2"/>
  <c r="T45" i="2"/>
  <c r="M45" i="2"/>
  <c r="T44" i="2"/>
  <c r="M44" i="2"/>
  <c r="T42" i="2"/>
  <c r="M42" i="2"/>
  <c r="T33" i="2"/>
  <c r="L9" i="1" s="1"/>
  <c r="M33" i="2"/>
  <c r="T32" i="2"/>
  <c r="M32" i="2"/>
  <c r="T31" i="2"/>
  <c r="M31" i="2"/>
  <c r="M30" i="2"/>
  <c r="T30" i="2"/>
  <c r="T29" i="2"/>
  <c r="M29" i="2"/>
  <c r="T28" i="2"/>
  <c r="M28" i="2"/>
  <c r="T27" i="2"/>
  <c r="M27" i="2"/>
  <c r="M26" i="2"/>
  <c r="T26" i="2"/>
  <c r="T25" i="2"/>
  <c r="L8" i="1" s="1"/>
  <c r="M25" i="2"/>
  <c r="T23" i="2"/>
  <c r="M23" i="2"/>
  <c r="T22" i="2"/>
  <c r="M22" i="2"/>
  <c r="T21" i="2"/>
  <c r="M21" i="2"/>
  <c r="T20" i="2"/>
  <c r="M20" i="2"/>
  <c r="M19" i="2"/>
  <c r="T19" i="2"/>
  <c r="T18" i="2"/>
  <c r="M18" i="2"/>
  <c r="T17" i="2"/>
  <c r="M17" i="2"/>
  <c r="T16" i="2"/>
  <c r="M16" i="2"/>
  <c r="T15" i="2"/>
  <c r="M15" i="2"/>
  <c r="T14" i="2"/>
  <c r="M14" i="2"/>
  <c r="T13" i="2"/>
  <c r="M13" i="2"/>
  <c r="T12" i="2"/>
  <c r="M12" i="2"/>
  <c r="M10" i="2"/>
  <c r="T10" i="2"/>
  <c r="T9" i="2"/>
  <c r="L6" i="1" s="1"/>
  <c r="M9" i="2"/>
  <c r="M8" i="2"/>
  <c r="T8" i="2"/>
  <c r="T7" i="2"/>
  <c r="M7" i="2"/>
  <c r="T6" i="2"/>
  <c r="M6" i="2"/>
  <c r="E7" i="1"/>
  <c r="J21" i="1"/>
  <c r="D21" i="1"/>
  <c r="H20" i="1"/>
  <c r="F20" i="1"/>
  <c r="C19" i="1"/>
  <c r="H18" i="1"/>
  <c r="I17" i="1"/>
  <c r="E11" i="1"/>
  <c r="F10" i="1"/>
  <c r="K9" i="1"/>
  <c r="C9" i="1"/>
  <c r="F8" i="1"/>
  <c r="J7" i="1"/>
  <c r="C7" i="1"/>
  <c r="H6" i="1"/>
  <c r="E17" i="1"/>
  <c r="G9" i="1"/>
  <c r="K8" i="1"/>
  <c r="I21" i="1"/>
  <c r="E21" i="1"/>
  <c r="I20" i="1"/>
  <c r="I19" i="1"/>
  <c r="J18" i="1"/>
  <c r="G18" i="1"/>
  <c r="J17" i="1"/>
  <c r="D17" i="1"/>
  <c r="D11" i="1"/>
  <c r="G10" i="1"/>
  <c r="E9" i="1"/>
  <c r="H8" i="1"/>
  <c r="C8" i="1"/>
  <c r="D8" i="1"/>
  <c r="J6" i="1"/>
  <c r="G7" i="1"/>
  <c r="G21" i="1"/>
  <c r="J20" i="1"/>
  <c r="G19" i="1"/>
  <c r="D18" i="1"/>
  <c r="F17" i="1"/>
  <c r="J11" i="1"/>
  <c r="K10" i="1"/>
  <c r="E19" i="1"/>
  <c r="K6" i="1"/>
  <c r="F11" i="1"/>
  <c r="H10" i="1"/>
  <c r="C10" i="1"/>
  <c r="D9" i="1"/>
  <c r="G8" i="1"/>
  <c r="L7" i="1"/>
  <c r="D7" i="1"/>
  <c r="I6" i="1"/>
  <c r="H21" i="1"/>
  <c r="F21" i="1"/>
  <c r="C21" i="1"/>
  <c r="G20" i="1"/>
  <c r="H19" i="1"/>
  <c r="D19" i="1"/>
  <c r="I18" i="1"/>
  <c r="F18" i="1"/>
  <c r="C18" i="1"/>
  <c r="H17" i="1"/>
  <c r="G12" i="1"/>
  <c r="H11" i="1"/>
  <c r="C11" i="1"/>
  <c r="I10" i="1"/>
  <c r="E10" i="1"/>
  <c r="J9" i="1"/>
  <c r="F9" i="1"/>
  <c r="E8" i="1"/>
  <c r="K7" i="1"/>
  <c r="F7" i="1"/>
  <c r="G6" i="1"/>
  <c r="I7" i="1"/>
  <c r="I8" i="1"/>
  <c r="H9" i="1"/>
  <c r="D20" i="1"/>
  <c r="C20" i="1"/>
  <c r="J19" i="1"/>
  <c r="F19" i="1"/>
  <c r="E18" i="1"/>
  <c r="G17" i="1"/>
  <c r="I11" i="1"/>
  <c r="L10" i="1"/>
  <c r="I9" i="1"/>
  <c r="J8" i="1"/>
  <c r="H7" i="1"/>
  <c r="J12" i="1"/>
  <c r="I12" i="1"/>
  <c r="H12" i="1"/>
  <c r="K11" i="1"/>
  <c r="G11" i="1"/>
  <c r="J10" i="1"/>
  <c r="D10" i="1"/>
  <c r="M5" i="2"/>
  <c r="T5" i="2"/>
  <c r="T4" i="2"/>
  <c r="M4" i="2"/>
  <c r="T3" i="2"/>
  <c r="M3" i="2"/>
  <c r="M2" i="2"/>
  <c r="T2" i="2"/>
  <c r="J16" i="1"/>
  <c r="I16" i="1"/>
  <c r="H16" i="1"/>
  <c r="G16" i="1"/>
  <c r="F16" i="1"/>
  <c r="E20" i="1"/>
  <c r="C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<sst xmlns="http://schemas.openxmlformats.org/spreadsheetml/2006/main" count="427" uniqueCount="83">
  <si>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Mato Grosso do Sul (MS)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</si>
  <si>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</si>
  <si>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</si>
  <si>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</si>
  <si>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</si>
  <si>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</si>
  <si>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</si>
  <si>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</si>
  <si>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</si>
  <si>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</si>
  <si>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</si>
  <si>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</si>
  <si>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</si>
  <si>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</si>
  <si>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</si>
  <si>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</si>
  <si>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</si>
  <si>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</si>
  <si>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</si>
  <si>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</si>
  <si>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</si>
  <si>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</si>
  <si>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</si>
  <si>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</si>
  <si>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</si>
  <si>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</si>
  <si>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</si>
  <si>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</si>
  <si>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</si>
  <si>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</si>
  <si>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</si>
  <si>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</si>
  <si>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</si>
  <si>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</si>
  <si>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</si>
  <si>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</si>
  <si>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</si>
  <si>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</si>
  <si>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</si>
  <si>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</si>
  <si>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</si>
  <si>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</si>
  <si>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</si>
  <si>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</si>
  <si>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</si>
  <si>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</si>
  <si>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</si>
  <si>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Mato Grosso do Sul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</si>
  <si>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</si>
  <si>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</si>
  <si>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</si>
  <si>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</si>
  <si>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</si>
  <si>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</si>
  <si>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</si>
  <si>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</si>
  <si>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</si>
  <si>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</si>
  <si>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</si>
  <si>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</si>
  <si>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Mato Grosso do Sul</t>
  </si>
  <si>
    <t>Tribunal de Justiça do Estado do Mato Grosso do Sul</t>
  </si>
  <si>
    <t>Tribunal de Contas do Estado do Mato Grosso do Sul</t>
  </si>
  <si>
    <t>Defensoria Pública do Estado do Mato Grosso do Sul</t>
  </si>
  <si>
    <t>Calculado (despesa líquida / RCL Ajustada do Executivo)</t>
  </si>
  <si>
    <t>Ministério Público do Estado do Mato Grosso do Sul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</si>
  <si>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</si>
  <si>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</si>
  <si>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</si>
  <si>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</si>
  <si>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Mato Grosso do Sul (MS).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</si>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</sst>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0.44513968305513341</v>
      </c>
      <c r="D6" s="7">
        <f>IFERROR(IF(INDEX(Dados!$K$2:$K$49,MATCH($A6&amp;"|"&amp;D$5,Dados!$A$2:$A$49,0))="","",INDEX(Dados!$K$2:$K$49,MATCH($A6&amp;"|"&amp;D$5,Dados!$A$2:$A$49,0))),"")</f>
        <v>0.45846641635291158</v>
      </c>
      <c r="E6" s="7">
        <f>IFERROR(IF(INDEX(Dados!$K$2:$K$49,MATCH($A6&amp;"|"&amp;E$5,Dados!$A$2:$A$49,0))="","",INDEX(Dados!$K$2:$K$49,MATCH($A6&amp;"|"&amp;E$5,Dados!$A$2:$A$49,0))),"")</f>
        <v>0.45196570200989034</v>
      </c>
      <c r="F6" s="7">
        <f>IFERROR(IF(INDEX(Dados!$K$2:$K$49,MATCH($A6&amp;"|"&amp;F$5,Dados!$A$2:$A$49,0))="","",INDEX(Dados!$K$2:$K$49,MATCH($A6&amp;"|"&amp;F$5,Dados!$A$2:$A$49,0))),"")</f>
        <v>0.46923901726095441</v>
      </c>
      <c r="G6" s="7">
        <f>IFERROR(IF(INDEX(Dados!$K$2:$K$49,MATCH($A6&amp;"|"&amp;G$5,Dados!$A$2:$A$49,0))="","",INDEX(Dados!$K$2:$K$49,MATCH($A6&amp;"|"&amp;G$5,Dados!$A$2:$A$49,0))),"")</f>
        <v>0.46904308467927086</v>
      </c>
      <c r="H6" s="7">
        <f>IFERROR(IF(INDEX(Dados!$K$2:$K$49,MATCH($A6&amp;"|"&amp;H$5,Dados!$A$2:$A$49,0))="","",INDEX(Dados!$K$2:$K$49,MATCH($A6&amp;"|"&amp;H$5,Dados!$A$2:$A$49,0))),"")</f>
        <v>0.4420086915268755</v>
      </c>
      <c r="I6" s="7">
        <f>IFERROR(IF(INDEX(Dados!$K$2:$K$49,MATCH($A6&amp;"|"&amp;I$5,Dados!$A$2:$A$49,0))="","",INDEX(Dados!$K$2:$K$49,MATCH($A6&amp;"|"&amp;I$5,Dados!$A$2:$A$49,0))),"")</f>
        <v>0.46616192552670155</v>
      </c>
      <c r="J6" s="7">
        <f>IFERROR(IF(INDEX(Dados!$K$2:$K$49,MATCH($A6&amp;"|"&amp;J$5,Dados!$A$2:$A$49,0))="","",INDEX(Dados!$K$2:$K$49,MATCH($A6&amp;"|"&amp;J$5,Dados!$A$2:$A$49,0))),"")</f>
        <v>0.47016971928974333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Acima do limite prudencial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9.8098637523476254E-3</v>
      </c>
      <c r="D7" s="10">
        <f>IFERROR(IF(INDEX(Dados!$K$2:$K$49,MATCH($A7&amp;"|"&amp;D$5,Dados!$A$2:$A$49,0))="","",INDEX(Dados!$K$2:$K$49,MATCH($A7&amp;"|"&amp;D$5,Dados!$A$2:$A$49,0))),"")</f>
        <v>1.0057999883341502E-2</v>
      </c>
      <c r="E7" s="10">
        <f>IFERROR(IF(INDEX(Dados!$K$2:$K$49,MATCH($A7&amp;"|"&amp;E$5,Dados!$A$2:$A$49,0))="","",INDEX(Dados!$K$2:$K$49,MATCH($A7&amp;"|"&amp;E$5,Dados!$A$2:$A$49,0))),"")</f>
        <v>1.0688945022683862E-2</v>
      </c>
      <c r="F7" s="10">
        <f>IFERROR(IF(INDEX(Dados!$K$2:$K$49,MATCH($A7&amp;"|"&amp;F$5,Dados!$A$2:$A$49,0))="","",INDEX(Dados!$K$2:$K$49,MATCH($A7&amp;"|"&amp;F$5,Dados!$A$2:$A$49,0))),"")</f>
        <v>1.1040806707992328E-2</v>
      </c>
      <c r="G7" s="10">
        <f>IFERROR(IF(INDEX(Dados!$K$2:$K$49,MATCH($A7&amp;"|"&amp;G$5,Dados!$A$2:$A$49,0))="","",INDEX(Dados!$K$2:$K$49,MATCH($A7&amp;"|"&amp;G$5,Dados!$A$2:$A$49,0))),"")</f>
        <v>1.1406478423168422E-2</v>
      </c>
      <c r="H7" s="10">
        <f>IFERROR(IF(INDEX(Dados!$K$2:$K$49,MATCH($A7&amp;"|"&amp;H$5,Dados!$A$2:$A$49,0))="","",INDEX(Dados!$K$2:$K$49,MATCH($A7&amp;"|"&amp;H$5,Dados!$A$2:$A$49,0))),"")</f>
        <v>1.1336526636917007E-2</v>
      </c>
      <c r="I7" s="10">
        <f>IFERROR(IF(INDEX(Dados!$K$2:$K$49,MATCH($A7&amp;"|"&amp;I$5,Dados!$A$2:$A$49,0))="","",INDEX(Dados!$K$2:$K$49,MATCH($A7&amp;"|"&amp;I$5,Dados!$A$2:$A$49,0))),"")</f>
        <v>1.1382608328078164E-2</v>
      </c>
      <c r="J7" s="10">
        <f>IFERROR(IF(INDEX(Dados!$K$2:$K$49,MATCH($A7&amp;"|"&amp;J$5,Dados!$A$2:$A$49,0))="","",INDEX(Dados!$K$2:$K$49,MATCH($A7&amp;"|"&amp;J$5,Dados!$A$2:$A$49,0))),"")</f>
        <v>1.2812433987895859E-2</v>
      </c>
      <c r="K7" s="10">
        <f>IFERROR(IF(INDEX(Dados!$N$2:$N$49,MATCH($A7&amp;"|"&amp;J$5,Dados!$A$2:$A$49,0))=0,"—",INDEX(Dados!$N$2:$N$49,MATCH($A7&amp;"|"&amp;J$5,Dados!$A$2:$A$49,0))),"—")</f>
        <v>1.6799999999999999E-2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4.8540188705101066E-2</v>
      </c>
      <c r="D8" s="10">
        <f>IFERROR(IF(INDEX(Dados!$K$2:$K$49,MATCH($A8&amp;"|"&amp;D$5,Dados!$A$2:$A$49,0))="","",INDEX(Dados!$K$2:$K$49,MATCH($A8&amp;"|"&amp;D$5,Dados!$A$2:$A$49,0))),"")</f>
        <v>4.9829491635873489E-2</v>
      </c>
      <c r="E8" s="10">
        <f>IFERROR(IF(INDEX(Dados!$K$2:$K$49,MATCH($A8&amp;"|"&amp;E$5,Dados!$A$2:$A$49,0))="","",INDEX(Dados!$K$2:$K$49,MATCH($A8&amp;"|"&amp;E$5,Dados!$A$2:$A$49,0))),"")</f>
        <v>5.1199552824151846E-2</v>
      </c>
      <c r="F8" s="10">
        <f>IFERROR(IF(INDEX(Dados!$K$2:$K$49,MATCH($A8&amp;"|"&amp;F$5,Dados!$A$2:$A$49,0))="","",INDEX(Dados!$K$2:$K$49,MATCH($A8&amp;"|"&amp;F$5,Dados!$A$2:$A$49,0))),"")</f>
        <v>5.1349751395874395E-2</v>
      </c>
      <c r="G8" s="10">
        <f>IFERROR(IF(INDEX(Dados!$K$2:$K$49,MATCH($A8&amp;"|"&amp;G$5,Dados!$A$2:$A$49,0))="","",INDEX(Dados!$K$2:$K$49,MATCH($A8&amp;"|"&amp;G$5,Dados!$A$2:$A$49,0))),"")</f>
        <v>5.2018307668696945E-2</v>
      </c>
      <c r="H8" s="10">
        <f>IFERROR(IF(INDEX(Dados!$K$2:$K$49,MATCH($A8&amp;"|"&amp;H$5,Dados!$A$2:$A$49,0))="","",INDEX(Dados!$K$2:$K$49,MATCH($A8&amp;"|"&amp;H$5,Dados!$A$2:$A$49,0))),"")</f>
        <v>5.191061138006018E-2</v>
      </c>
      <c r="I8" s="10">
        <f>IFERROR(IF(INDEX(Dados!$K$2:$K$49,MATCH($A8&amp;"|"&amp;I$5,Dados!$A$2:$A$49,0))="","",INDEX(Dados!$K$2:$K$49,MATCH($A8&amp;"|"&amp;I$5,Dados!$A$2:$A$49,0))),"")</f>
        <v>5.1390569622689848E-2</v>
      </c>
      <c r="J8" s="10">
        <f>IFERROR(IF(INDEX(Dados!$K$2:$K$49,MATCH($A8&amp;"|"&amp;J$5,Dados!$A$2:$A$49,0))="","",INDEX(Dados!$K$2:$K$49,MATCH($A8&amp;"|"&amp;J$5,Dados!$A$2:$A$49,0))),"")</f>
        <v>4.937895162464559E-2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9.229181748759736E-3</v>
      </c>
      <c r="D9" s="10">
        <f>IFERROR(IF(INDEX(Dados!$K$2:$K$49,MATCH($A9&amp;"|"&amp;D$5,Dados!$A$2:$A$49,0))="","",INDEX(Dados!$K$2:$K$49,MATCH($A9&amp;"|"&amp;D$5,Dados!$A$2:$A$49,0))),"")</f>
        <v>9.5127404728889715E-3</v>
      </c>
      <c r="E9" s="10">
        <f>IFERROR(IF(INDEX(Dados!$K$2:$K$49,MATCH($A9&amp;"|"&amp;E$5,Dados!$A$2:$A$49,0))="","",INDEX(Dados!$K$2:$K$49,MATCH($A9&amp;"|"&amp;E$5,Dados!$A$2:$A$49,0))),"")</f>
        <v>1.008664120315852E-2</v>
      </c>
      <c r="F9" s="10">
        <f>IFERROR(IF(INDEX(Dados!$K$2:$K$49,MATCH($A9&amp;"|"&amp;F$5,Dados!$A$2:$A$49,0))="","",INDEX(Dados!$K$2:$K$49,MATCH($A9&amp;"|"&amp;F$5,Dados!$A$2:$A$49,0))),"")</f>
        <v>1.0301706570916036E-2</v>
      </c>
      <c r="G9" s="10">
        <f>IFERROR(IF(INDEX(Dados!$K$2:$K$49,MATCH($A9&amp;"|"&amp;G$5,Dados!$A$2:$A$49,0))="","",INDEX(Dados!$K$2:$K$49,MATCH($A9&amp;"|"&amp;G$5,Dados!$A$2:$A$49,0))),"")</f>
        <v>1.021440687536339E-2</v>
      </c>
      <c r="H9" s="10">
        <f>IFERROR(IF(INDEX(Dados!$K$2:$K$49,MATCH($A9&amp;"|"&amp;H$5,Dados!$A$2:$A$49,0))="","",INDEX(Dados!$K$2:$K$49,MATCH($A9&amp;"|"&amp;H$5,Dados!$A$2:$A$49,0))),"")</f>
        <v>9.9373918543328253E-3</v>
      </c>
      <c r="I9" s="10">
        <f>IFERROR(IF(INDEX(Dados!$K$2:$K$49,MATCH($A9&amp;"|"&amp;I$5,Dados!$A$2:$A$49,0))="","",INDEX(Dados!$K$2:$K$49,MATCH($A9&amp;"|"&amp;I$5,Dados!$A$2:$A$49,0))),"")</f>
        <v>9.9693738607554046E-3</v>
      </c>
      <c r="J9" s="10">
        <f>IFERROR(IF(INDEX(Dados!$K$2:$K$49,MATCH($A9&amp;"|"&amp;J$5,Dados!$A$2:$A$49,0))="","",INDEX(Dados!$K$2:$K$49,MATCH($A9&amp;"|"&amp;J$5,Dados!$A$2:$A$49,0))),"")</f>
        <v>1.0833255960988764E-2</v>
      </c>
      <c r="K9" s="10">
        <f>IFERROR(IF(INDEX(Dados!$N$2:$N$49,MATCH($A9&amp;"|"&amp;J$5,Dados!$A$2:$A$49,0))=0,"—",INDEX(Dados!$N$2:$N$49,MATCH($A9&amp;"|"&amp;J$5,Dados!$A$2:$A$49,0))),"—")</f>
        <v>1.32E-2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1.0052209186034238E-2</v>
      </c>
      <c r="D10" s="10">
        <f>IFERROR(IF(INDEX(Dados!$K$2:$K$49,MATCH($A10&amp;"|"&amp;D$5,Dados!$A$2:$A$49,0))="","",INDEX(Dados!$K$2:$K$49,MATCH($A10&amp;"|"&amp;D$5,Dados!$A$2:$A$49,0))),"")</f>
        <v>1.0092234497433211E-2</v>
      </c>
      <c r="E10" s="10">
        <f>IFERROR(IF(INDEX(Dados!$K$2:$K$49,MATCH($A10&amp;"|"&amp;E$5,Dados!$A$2:$A$49,0))="","",INDEX(Dados!$K$2:$K$49,MATCH($A10&amp;"|"&amp;E$5,Dados!$A$2:$A$49,0))),"")</f>
        <v>9.9353460752670975E-3</v>
      </c>
      <c r="F10" s="10">
        <f>IFERROR(IF(INDEX(Dados!$K$2:$K$49,MATCH($A10&amp;"|"&amp;F$5,Dados!$A$2:$A$49,0))="","",INDEX(Dados!$K$2:$K$49,MATCH($A10&amp;"|"&amp;F$5,Dados!$A$2:$A$49,0))),"")</f>
        <v>1.0140895359790483E-2</v>
      </c>
      <c r="G10" s="10">
        <f>IFERROR(IF(INDEX(Dados!$K$2:$K$49,MATCH($A10&amp;"|"&amp;G$5,Dados!$A$2:$A$49,0))="","",INDEX(Dados!$K$2:$K$49,MATCH($A10&amp;"|"&amp;G$5,Dados!$A$2:$A$49,0))),"")</f>
        <v>1.0339452366875546E-2</v>
      </c>
      <c r="H10" s="10">
        <f>IFERROR(IF(INDEX(Dados!$K$2:$K$49,MATCH($A10&amp;"|"&amp;H$5,Dados!$A$2:$A$49,0))="","",INDEX(Dados!$K$2:$K$49,MATCH($A10&amp;"|"&amp;H$5,Dados!$A$2:$A$49,0))),"")</f>
        <v>1.0545474106642874E-2</v>
      </c>
      <c r="I10" s="10">
        <f>IFERROR(IF(INDEX(Dados!$K$2:$K$49,MATCH($A10&amp;"|"&amp;I$5,Dados!$A$2:$A$49,0))="","",INDEX(Dados!$K$2:$K$49,MATCH($A10&amp;"|"&amp;I$5,Dados!$A$2:$A$49,0))),"")</f>
        <v>1.0743841306621304E-2</v>
      </c>
      <c r="J10" s="10">
        <f>IFERROR(IF(INDEX(Dados!$K$2:$K$49,MATCH($A10&amp;"|"&amp;J$5,Dados!$A$2:$A$49,0))="","",INDEX(Dados!$K$2:$K$49,MATCH($A10&amp;"|"&amp;J$5,Dados!$A$2:$A$49,0))),"")</f>
        <v>1.1008553188412928E-2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1.4435736936215356E-2</v>
      </c>
      <c r="D11" s="10">
        <f>IFERROR(IF(INDEX(Dados!$K$2:$K$49,MATCH($A11&amp;"|"&amp;D$5,Dados!$A$2:$A$49,0))="","",INDEX(Dados!$K$2:$K$49,MATCH($A11&amp;"|"&amp;D$5,Dados!$A$2:$A$49,0))),"")</f>
        <v>1.4524972230959785E-2</v>
      </c>
      <c r="E11" s="10">
        <f>IFERROR(IF(INDEX(Dados!$K$2:$K$49,MATCH($A11&amp;"|"&amp;E$5,Dados!$A$2:$A$49,0))="","",INDEX(Dados!$K$2:$K$49,MATCH($A11&amp;"|"&amp;E$5,Dados!$A$2:$A$49,0))),"")</f>
        <v>1.501326037789695E-2</v>
      </c>
      <c r="F11" s="10">
        <f>IFERROR(IF(INDEX(Dados!$K$2:$K$49,MATCH($A11&amp;"|"&amp;F$5,Dados!$A$2:$A$49,0))="","",INDEX(Dados!$K$2:$K$49,MATCH($A11&amp;"|"&amp;F$5,Dados!$A$2:$A$49,0))),"")</f>
        <v>1.5274796996642356E-2</v>
      </c>
      <c r="G11" s="10">
        <f>IFERROR(IF(INDEX(Dados!$K$2:$K$49,MATCH($A11&amp;"|"&amp;G$5,Dados!$A$2:$A$49,0))="","",INDEX(Dados!$K$2:$K$49,MATCH($A11&amp;"|"&amp;G$5,Dados!$A$2:$A$49,0))),"")</f>
        <v>1.5532025813347514E-2</v>
      </c>
      <c r="H11" s="10">
        <f>IFERROR(IF(INDEX(Dados!$K$2:$K$49,MATCH($A11&amp;"|"&amp;H$5,Dados!$A$2:$A$49,0))="","",INDEX(Dados!$K$2:$K$49,MATCH($A11&amp;"|"&amp;H$5,Dados!$A$2:$A$49,0))),"")</f>
        <v>1.5625113852276534E-2</v>
      </c>
      <c r="I11" s="10">
        <f>IFERROR(IF(INDEX(Dados!$K$2:$K$49,MATCH($A11&amp;"|"&amp;I$5,Dados!$A$2:$A$49,0))="","",INDEX(Dados!$K$2:$K$49,MATCH($A11&amp;"|"&amp;I$5,Dados!$A$2:$A$49,0))),"")</f>
        <v>1.7598224221536871E-2</v>
      </c>
      <c r="J11" s="10">
        <f>IFERROR(IF(INDEX(Dados!$K$2:$K$49,MATCH($A11&amp;"|"&amp;J$5,Dados!$A$2:$A$49,0))="","",INDEX(Dados!$K$2:$K$49,MATCH($A11&amp;"|"&amp;J$5,Dados!$A$2:$A$49,0))),"")</f>
        <v>1.6182182841814937E-2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20028.37142901</v>
      </c>
      <c r="D12" s="12">
        <f>IFERROR(INDEX(Dados!$J$2:$J$49,MATCH("Governo|"&amp;D$5,Dados!$A$2:$A$49,0))/1000000,"")</f>
        <v>20288.167646330003</v>
      </c>
      <c r="E12" s="12">
        <f>IFERROR(INDEX(Dados!$J$2:$J$49,MATCH("Governo|"&amp;E$5,Dados!$A$2:$A$49,0))/1000000,"")</f>
        <v>20253.12726659</v>
      </c>
      <c r="F12" s="12">
        <f>IFERROR(INDEX(Dados!$J$2:$J$49,MATCH("Governo|"&amp;F$5,Dados!$A$2:$A$49,0))/1000000,"")</f>
        <v>20632.008905209997</v>
      </c>
      <c r="G12" s="12">
        <f>IFERROR(INDEX(Dados!$J$2:$J$49,MATCH("Governo|"&amp;G$5,Dados!$A$2:$A$49,0))/1000000,"")</f>
        <v>21161.450029110001</v>
      </c>
      <c r="H12" s="12">
        <f>IFERROR(INDEX(Dados!$J$2:$J$49,MATCH("Governo|"&amp;H$5,Dados!$A$2:$A$49,0))/1000000,"")</f>
        <v>22108.659805359999</v>
      </c>
      <c r="I12" s="12">
        <f>IFERROR(INDEX(Dados!$J$2:$J$49,MATCH("Governo|"&amp;I$5,Dados!$A$2:$A$49,0))/1000000,"")</f>
        <v>22737.534487730001</v>
      </c>
      <c r="J12" s="12">
        <f>IFERROR(INDEX(Dados!$J$2:$J$49,MATCH("Governo|"&amp;J$5,Dados!$A$2:$A$49,0))/1000000,"")</f>
        <v>23108.9858609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8915.4229100200009</v>
      </c>
      <c r="D16" s="13">
        <f>IFERROR(IF(INDEX(Dados!$I$2:$I$49,MATCH($A16&amp;"|"&amp;D$15,Dados!$A$2:$A$49,0))="","",INDEX(Dados!$I$2:$I$49,MATCH($A16&amp;"|"&amp;D$15,Dados!$A$2:$A$49,0))/1000000),"")</f>
        <v>9301.4435151800008</v>
      </c>
      <c r="E16" s="13">
        <f>IFERROR(IF(INDEX(Dados!$I$2:$I$49,MATCH($A16&amp;"|"&amp;E$15,Dados!$A$2:$A$49,0))="","",INDEX(Dados!$I$2:$I$49,MATCH($A16&amp;"|"&amp;E$15,Dados!$A$2:$A$49,0))/1000000),"")</f>
        <v>9153.7188829400002</v>
      </c>
      <c r="F16" s="13">
        <f>IFERROR(IF(INDEX(Dados!$I$2:$I$49,MATCH($A16&amp;"|"&amp;F$15,Dados!$A$2:$A$49,0))="","",INDEX(Dados!$I$2:$I$49,MATCH($A16&amp;"|"&amp;F$15,Dados!$A$2:$A$49,0))/1000000),"")</f>
        <v>9681.3435827999983</v>
      </c>
      <c r="G16" s="13">
        <f>IFERROR(IF(INDEX(Dados!$I$2:$I$49,MATCH($A16&amp;"|"&amp;G$15,Dados!$A$2:$A$49,0))="","",INDEX(Dados!$I$2:$I$49,MATCH($A16&amp;"|"&amp;G$15,Dados!$A$2:$A$49,0))/1000000),"")</f>
        <v>9925.631797940001</v>
      </c>
      <c r="H16" s="13">
        <f>IFERROR(IF(INDEX(Dados!$I$2:$I$49,MATCH($A16&amp;"|"&amp;H$15,Dados!$A$2:$A$49,0))="","",INDEX(Dados!$I$2:$I$49,MATCH($A16&amp;"|"&amp;H$15,Dados!$A$2:$A$49,0))/1000000),"")</f>
        <v>9772.2197919800001</v>
      </c>
      <c r="I16" s="13">
        <f>IFERROR(IF(INDEX(Dados!$I$2:$I$49,MATCH($A16&amp;"|"&amp;I$15,Dados!$A$2:$A$49,0))="","",INDEX(Dados!$I$2:$I$49,MATCH($A16&amp;"|"&amp;I$15,Dados!$A$2:$A$49,0))/1000000),"")</f>
        <v>10599.372858530001</v>
      </c>
      <c r="J16" s="13">
        <f>IFERROR(IF(INDEX(Dados!$I$2:$I$49,MATCH($A16&amp;"|"&amp;J$15,Dados!$A$2:$A$49,0))="","",INDEX(Dados!$I$2:$I$49,MATCH($A16&amp;"|"&amp;J$15,Dados!$A$2:$A$49,0))/1000000),"")</f>
        <v>10865.145395290001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196.4755949</v>
      </c>
      <c r="D17" s="14">
        <f>IFERROR(IF(INDEX(Dados!$I$2:$I$49,MATCH($A17&amp;"|"&amp;D$15,Dados!$A$2:$A$49,0))="","",INDEX(Dados!$I$2:$I$49,MATCH($A17&amp;"|"&amp;D$15,Dados!$A$2:$A$49,0))/1000000),"")</f>
        <v>204.05838781999998</v>
      </c>
      <c r="E17" s="14">
        <f>IFERROR(IF(INDEX(Dados!$I$2:$I$49,MATCH($A17&amp;"|"&amp;E$15,Dados!$A$2:$A$49,0))="","",INDEX(Dados!$I$2:$I$49,MATCH($A17&amp;"|"&amp;E$15,Dados!$A$2:$A$49,0))/1000000),"")</f>
        <v>216.48456388999998</v>
      </c>
      <c r="F17" s="14">
        <f>IFERROR(IF(INDEX(Dados!$I$2:$I$49,MATCH($A17&amp;"|"&amp;F$15,Dados!$A$2:$A$49,0))="","",INDEX(Dados!$I$2:$I$49,MATCH($A17&amp;"|"&amp;F$15,Dados!$A$2:$A$49,0))/1000000),"")</f>
        <v>227.79402231999998</v>
      </c>
      <c r="G17" s="14">
        <f>IFERROR(IF(INDEX(Dados!$I$2:$I$49,MATCH($A17&amp;"|"&amp;G$15,Dados!$A$2:$A$49,0))="","",INDEX(Dados!$I$2:$I$49,MATCH($A17&amp;"|"&amp;G$15,Dados!$A$2:$A$49,0))/1000000),"")</f>
        <v>241.37762315999998</v>
      </c>
      <c r="H17" s="14">
        <f>IFERROR(IF(INDEX(Dados!$I$2:$I$49,MATCH($A17&amp;"|"&amp;H$15,Dados!$A$2:$A$49,0))="","",INDEX(Dados!$I$2:$I$49,MATCH($A17&amp;"|"&amp;H$15,Dados!$A$2:$A$49,0))/1000000),"")</f>
        <v>250.63541078999998</v>
      </c>
      <c r="I17" s="14">
        <f>IFERROR(IF(INDEX(Dados!$I$2:$I$49,MATCH($A17&amp;"|"&amp;I$15,Dados!$A$2:$A$49,0))="","",INDEX(Dados!$I$2:$I$49,MATCH($A17&amp;"|"&amp;I$15,Dados!$A$2:$A$49,0))/1000000),"")</f>
        <v>258.81244942000001</v>
      </c>
      <c r="J17" s="14">
        <f>IFERROR(IF(INDEX(Dados!$I$2:$I$49,MATCH($A17&amp;"|"&amp;J$15,Dados!$A$2:$A$49,0))="","",INDEX(Dados!$I$2:$I$49,MATCH($A17&amp;"|"&amp;J$15,Dados!$A$2:$A$49,0))/1000000),"")</f>
        <v>296.08235587000001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972.18092862000003</v>
      </c>
      <c r="D18" s="14">
        <f>IFERROR(IF(INDEX(Dados!$I$2:$I$49,MATCH($A18&amp;"|"&amp;D$15,Dados!$A$2:$A$49,0))="","",INDEX(Dados!$I$2:$I$49,MATCH($A18&amp;"|"&amp;D$15,Dados!$A$2:$A$49,0))/1000000),"")</f>
        <v>1010.94908004</v>
      </c>
      <c r="E18" s="14">
        <f>IFERROR(IF(INDEX(Dados!$I$2:$I$49,MATCH($A18&amp;"|"&amp;E$15,Dados!$A$2:$A$49,0))="","",INDEX(Dados!$I$2:$I$49,MATCH($A18&amp;"|"&amp;E$15,Dados!$A$2:$A$49,0))/1000000),"")</f>
        <v>1036.95106446</v>
      </c>
      <c r="F18" s="14">
        <f>IFERROR(IF(INDEX(Dados!$I$2:$I$49,MATCH($A18&amp;"|"&amp;F$15,Dados!$A$2:$A$49,0))="","",INDEX(Dados!$I$2:$I$49,MATCH($A18&amp;"|"&amp;F$15,Dados!$A$2:$A$49,0))/1000000),"")</f>
        <v>1059.44852808</v>
      </c>
      <c r="G18" s="14">
        <f>IFERROR(IF(INDEX(Dados!$I$2:$I$49,MATCH($A18&amp;"|"&amp;G$15,Dados!$A$2:$A$49,0))="","",INDEX(Dados!$I$2:$I$49,MATCH($A18&amp;"|"&amp;G$15,Dados!$A$2:$A$49,0))/1000000),"")</f>
        <v>1100.7828183299998</v>
      </c>
      <c r="H18" s="14">
        <f>IFERROR(IF(INDEX(Dados!$I$2:$I$49,MATCH($A18&amp;"|"&amp;H$15,Dados!$A$2:$A$49,0))="","",INDEX(Dados!$I$2:$I$49,MATCH($A18&amp;"|"&amp;H$15,Dados!$A$2:$A$49,0))/1000000),"")</f>
        <v>1147.6740472899999</v>
      </c>
      <c r="I18" s="14">
        <f>IFERROR(IF(INDEX(Dados!$I$2:$I$49,MATCH($A18&amp;"|"&amp;I$15,Dados!$A$2:$A$49,0))="","",INDEX(Dados!$I$2:$I$49,MATCH($A18&amp;"|"&amp;I$15,Dados!$A$2:$A$49,0))/1000000),"")</f>
        <v>1168.49484914</v>
      </c>
      <c r="J18" s="14">
        <f>IFERROR(IF(INDEX(Dados!$I$2:$I$49,MATCH($A18&amp;"|"&amp;J$15,Dados!$A$2:$A$49,0))="","",INDEX(Dados!$I$2:$I$49,MATCH($A18&amp;"|"&amp;J$15,Dados!$A$2:$A$49,0))/1000000),"")</f>
        <v>1141.0974949200001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184.84548005000002</v>
      </c>
      <c r="D19" s="14">
        <f>IFERROR(IF(INDEX(Dados!$I$2:$I$49,MATCH($A19&amp;"|"&amp;D$15,Dados!$A$2:$A$49,0))="","",INDEX(Dados!$I$2:$I$49,MATCH($A19&amp;"|"&amp;D$15,Dados!$A$2:$A$49,0))/1000000),"")</f>
        <v>192.99607349000001</v>
      </c>
      <c r="E19" s="14">
        <f>IFERROR(IF(INDEX(Dados!$I$2:$I$49,MATCH($A19&amp;"|"&amp;E$15,Dados!$A$2:$A$49,0))="","",INDEX(Dados!$I$2:$I$49,MATCH($A19&amp;"|"&amp;E$15,Dados!$A$2:$A$49,0))/1000000),"")</f>
        <v>204.28602798</v>
      </c>
      <c r="F19" s="14">
        <f>IFERROR(IF(INDEX(Dados!$I$2:$I$49,MATCH($A19&amp;"|"&amp;F$15,Dados!$A$2:$A$49,0))="","",INDEX(Dados!$I$2:$I$49,MATCH($A19&amp;"|"&amp;F$15,Dados!$A$2:$A$49,0))/1000000),"")</f>
        <v>212.54490171</v>
      </c>
      <c r="G19" s="14">
        <f>IFERROR(IF(INDEX(Dados!$I$2:$I$49,MATCH($A19&amp;"|"&amp;G$15,Dados!$A$2:$A$49,0))="","",INDEX(Dados!$I$2:$I$49,MATCH($A19&amp;"|"&amp;G$15,Dados!$A$2:$A$49,0))/1000000),"")</f>
        <v>216.15166066999998</v>
      </c>
      <c r="H19" s="14">
        <f>IFERROR(IF(INDEX(Dados!$I$2:$I$49,MATCH($A19&amp;"|"&amp;H$15,Dados!$A$2:$A$49,0))="","",INDEX(Dados!$I$2:$I$49,MATCH($A19&amp;"|"&amp;H$15,Dados!$A$2:$A$49,0))/1000000),"")</f>
        <v>219.70241586</v>
      </c>
      <c r="I19" s="14">
        <f>IFERROR(IF(INDEX(Dados!$I$2:$I$49,MATCH($A19&amp;"|"&amp;I$15,Dados!$A$2:$A$49,0))="","",INDEX(Dados!$I$2:$I$49,MATCH($A19&amp;"|"&amp;I$15,Dados!$A$2:$A$49,0))/1000000),"")</f>
        <v>226.67898198</v>
      </c>
      <c r="J19" s="14">
        <f>IFERROR(IF(INDEX(Dados!$I$2:$I$49,MATCH($A19&amp;"|"&amp;J$15,Dados!$A$2:$A$49,0))="","",INDEX(Dados!$I$2:$I$49,MATCH($A19&amp;"|"&amp;J$15,Dados!$A$2:$A$49,0))/1000000),"")</f>
        <v>250.34555883000002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201.32937926</v>
      </c>
      <c r="D20" s="14">
        <f>IFERROR(IF(INDEX(Dados!$I$2:$I$49,MATCH($A20&amp;"|"&amp;D$15,Dados!$A$2:$A$49,0))="","",INDEX(Dados!$I$2:$I$49,MATCH($A20&amp;"|"&amp;D$15,Dados!$A$2:$A$49,0))/1000000),"")</f>
        <v>204.75294541</v>
      </c>
      <c r="E20" s="14">
        <f>IFERROR(IF(INDEX(Dados!$I$2:$I$49,MATCH($A20&amp;"|"&amp;E$15,Dados!$A$2:$A$49,0))="","",INDEX(Dados!$I$2:$I$49,MATCH($A20&amp;"|"&amp;E$15,Dados!$A$2:$A$49,0))/1000000),"")</f>
        <v>201.22182849999999</v>
      </c>
      <c r="F20" s="14">
        <f>IFERROR(IF(INDEX(Dados!$I$2:$I$49,MATCH($A20&amp;"|"&amp;F$15,Dados!$A$2:$A$49,0))="","",INDEX(Dados!$I$2:$I$49,MATCH($A20&amp;"|"&amp;F$15,Dados!$A$2:$A$49,0))/1000000),"")</f>
        <v>209.22704337000002</v>
      </c>
      <c r="G20" s="14">
        <f>IFERROR(IF(INDEX(Dados!$I$2:$I$49,MATCH($A20&amp;"|"&amp;G$15,Dados!$A$2:$A$49,0))="","",INDEX(Dados!$I$2:$I$49,MATCH($A20&amp;"|"&amp;G$15,Dados!$A$2:$A$49,0))/1000000),"")</f>
        <v>218.79780459</v>
      </c>
      <c r="H20" s="14">
        <f>IFERROR(IF(INDEX(Dados!$I$2:$I$49,MATCH($A20&amp;"|"&amp;H$15,Dados!$A$2:$A$49,0))="","",INDEX(Dados!$I$2:$I$49,MATCH($A20&amp;"|"&amp;H$15,Dados!$A$2:$A$49,0))/1000000),"")</f>
        <v>233.14629950999998</v>
      </c>
      <c r="I20" s="14">
        <f>IFERROR(IF(INDEX(Dados!$I$2:$I$49,MATCH($A20&amp;"|"&amp;I$15,Dados!$A$2:$A$49,0))="","",INDEX(Dados!$I$2:$I$49,MATCH($A20&amp;"|"&amp;I$15,Dados!$A$2:$A$49,0))/1000000),"")</f>
        <v>244.28846224</v>
      </c>
      <c r="J20" s="14">
        <f>IFERROR(IF(INDEX(Dados!$I$2:$I$49,MATCH($A20&amp;"|"&amp;J$15,Dados!$A$2:$A$49,0))="","",INDEX(Dados!$I$2:$I$49,MATCH($A20&amp;"|"&amp;J$15,Dados!$A$2:$A$49,0))/1000000),"")</f>
        <v>254.39649997999999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289.12430121</v>
      </c>
      <c r="D21" s="14">
        <f>IFERROR(IF(INDEX(Dados!$I$2:$I$49,MATCH($A21&amp;"|"&amp;D$15,Dados!$A$2:$A$49,0))="","",INDEX(Dados!$I$2:$I$49,MATCH($A21&amp;"|"&amp;D$15,Dados!$A$2:$A$49,0))/1000000),"")</f>
        <v>294.68507168000002</v>
      </c>
      <c r="E21" s="14">
        <f>IFERROR(IF(INDEX(Dados!$I$2:$I$49,MATCH($A21&amp;"|"&amp;E$15,Dados!$A$2:$A$49,0))="","",INDEX(Dados!$I$2:$I$49,MATCH($A21&amp;"|"&amp;E$15,Dados!$A$2:$A$49,0))/1000000),"")</f>
        <v>304.06547311999998</v>
      </c>
      <c r="F21" s="14">
        <f>IFERROR(IF(INDEX(Dados!$I$2:$I$49,MATCH($A21&amp;"|"&amp;F$15,Dados!$A$2:$A$49,0))="","",INDEX(Dados!$I$2:$I$49,MATCH($A21&amp;"|"&amp;F$15,Dados!$A$2:$A$49,0))/1000000),"")</f>
        <v>315.14974766</v>
      </c>
      <c r="G21" s="14">
        <f>IFERROR(IF(INDEX(Dados!$I$2:$I$49,MATCH($A21&amp;"|"&amp;G$15,Dados!$A$2:$A$49,0))="","",INDEX(Dados!$I$2:$I$49,MATCH($A21&amp;"|"&amp;G$15,Dados!$A$2:$A$49,0))/1000000),"")</f>
        <v>328.68018810000001</v>
      </c>
      <c r="H21" s="14">
        <f>IFERROR(IF(INDEX(Dados!$I$2:$I$49,MATCH($A21&amp;"|"&amp;H$15,Dados!$A$2:$A$49,0))="","",INDEX(Dados!$I$2:$I$49,MATCH($A21&amp;"|"&amp;H$15,Dados!$A$2:$A$49,0))/1000000),"")</f>
        <v>345.45032657999997</v>
      </c>
      <c r="I21" s="14">
        <f>IFERROR(IF(INDEX(Dados!$I$2:$I$49,MATCH($A21&amp;"|"&amp;I$15,Dados!$A$2:$A$49,0))="","",INDEX(Dados!$I$2:$I$49,MATCH($A21&amp;"|"&amp;I$15,Dados!$A$2:$A$49,0))/1000000),"")</f>
        <v>400.14023016000004</v>
      </c>
      <c r="J21" s="14">
        <f>IFERROR(IF(INDEX(Dados!$I$2:$I$49,MATCH($A21&amp;"|"&amp;J$15,Dados!$A$2:$A$49,0))="","",INDEX(Dados!$I$2:$I$49,MATCH($A21&amp;"|"&amp;J$15,Dados!$A$2:$A$49,0))/1000000),"")</f>
        <v>373.95383449000002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8915422910.0200005</v>
      </c>
      <c r="J2" s="15">
        <v>20028371429.009998</v>
      </c>
      <c r="K2" s="10">
        <f t="shared" ref="K2:K49" si="1">IF(OR(I2="",J2="",J2=0),"",I2/J2)</f>
        <v>0.44513968305513341</v>
      </c>
      <c r="L2" s="16">
        <v>0.4451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9813902000.2099991</v>
      </c>
      <c r="R2" s="15">
        <v>9323206900.2000008</v>
      </c>
      <c r="S2" s="15">
        <v>8832511800.1900005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Acima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9301443515.1800003</v>
      </c>
      <c r="J3" s="15">
        <v>20288167646.330002</v>
      </c>
      <c r="K3" s="10">
        <f t="shared" si="1"/>
        <v>0.45846641635291158</v>
      </c>
      <c r="L3" s="16">
        <v>0.45850000000000002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9941202146.7000008</v>
      </c>
      <c r="R3" s="15">
        <v>9444142039.3700008</v>
      </c>
      <c r="S3" s="15">
        <v>8947081932.0300007</v>
      </c>
      <c r="T3" s="9" t="str">
        <f t="shared" si="3"/>
        <v>Acima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9153718882.9400005</v>
      </c>
      <c r="J4" s="15">
        <v>20253127266.59</v>
      </c>
      <c r="K4" s="10">
        <f t="shared" si="1"/>
        <v>0.45196570200989034</v>
      </c>
      <c r="L4" s="16">
        <v>0.45200000000000001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9924032360.6299992</v>
      </c>
      <c r="R4" s="15">
        <v>9427830742.6000004</v>
      </c>
      <c r="S4" s="15">
        <v>8931629124.5699997</v>
      </c>
      <c r="T4" s="9" t="str">
        <f t="shared" si="3"/>
        <v>Acima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9681343582.7999992</v>
      </c>
      <c r="J5" s="15">
        <v>20632008905.209999</v>
      </c>
      <c r="K5" s="10">
        <f t="shared" si="1"/>
        <v>0.46923901726095441</v>
      </c>
      <c r="L5" s="16">
        <v>0.46920000000000001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10109684363.549999</v>
      </c>
      <c r="R5" s="15">
        <v>9604200145.3700008</v>
      </c>
      <c r="S5" s="15">
        <v>9098715927.2000008</v>
      </c>
      <c r="T5" s="9" t="str">
        <f t="shared" si="3"/>
        <v>Acima do limite prudencial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9925631797.9400005</v>
      </c>
      <c r="J6" s="15">
        <v>21161450029.110001</v>
      </c>
      <c r="K6" s="10">
        <f t="shared" si="1"/>
        <v>0.46904308467927086</v>
      </c>
      <c r="L6" s="16">
        <v>0.46899999999999997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10369110514.26</v>
      </c>
      <c r="R6" s="15">
        <v>9850654988.5499992</v>
      </c>
      <c r="S6" s="15">
        <v>9332199462.8299999</v>
      </c>
      <c r="T6" s="9" t="str">
        <f t="shared" si="3"/>
        <v>Acima do limite prudencial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9772219791.9799995</v>
      </c>
      <c r="J7" s="15">
        <v>22108659805.360001</v>
      </c>
      <c r="K7" s="10">
        <f t="shared" si="1"/>
        <v>0.4420086915268755</v>
      </c>
      <c r="L7" s="16">
        <v>0.442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10833243304.629999</v>
      </c>
      <c r="R7" s="15">
        <v>10291581139.4</v>
      </c>
      <c r="S7" s="15">
        <v>9749918974.1700001</v>
      </c>
      <c r="T7" s="9" t="str">
        <f t="shared" si="3"/>
        <v>Acima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10599372858.530001</v>
      </c>
      <c r="J8" s="15">
        <v>22737534487.73</v>
      </c>
      <c r="K8" s="10">
        <f t="shared" si="1"/>
        <v>0.46616192552670155</v>
      </c>
      <c r="L8" s="16">
        <v>0.46619999999999989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11141391898.99</v>
      </c>
      <c r="R8" s="15">
        <v>10584322304.040001</v>
      </c>
      <c r="S8" s="15">
        <v>10027252709.09</v>
      </c>
      <c r="T8" s="9" t="str">
        <f t="shared" si="3"/>
        <v>Acima do limite prudencial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10865145395.290001</v>
      </c>
      <c r="J9" s="15">
        <v>23108985860.900002</v>
      </c>
      <c r="K9" s="10">
        <f t="shared" si="1"/>
        <v>0.47016971928974333</v>
      </c>
      <c r="L9" s="16">
        <v>0.47020000000000001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11323403071.84</v>
      </c>
      <c r="R9" s="15">
        <v>10757232918.25</v>
      </c>
      <c r="S9" s="15">
        <v>10191062764.66</v>
      </c>
      <c r="T9" s="9" t="str">
        <f t="shared" si="3"/>
        <v>Acima do limite prudencial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196475594.90000001</v>
      </c>
      <c r="J10" s="15">
        <v>20028371429.009998</v>
      </c>
      <c r="K10" s="10">
        <f t="shared" si="1"/>
        <v>9.8098637523476254E-3</v>
      </c>
      <c r="L10" s="16">
        <v>9.7999999999999997E-3</v>
      </c>
      <c r="M10" s="9" t="str">
        <f t="shared" si="2"/>
        <v>Sim</v>
      </c>
      <c r="N10" s="16">
        <v>1.6799999999999999E-2</v>
      </c>
      <c r="O10" s="16">
        <v>1.6E-2</v>
      </c>
      <c r="P10" s="16">
        <v>1.5100000000000001E-2</v>
      </c>
      <c r="Q10" s="15">
        <v>336476640.00999999</v>
      </c>
      <c r="R10" s="15">
        <v>319652808.00999999</v>
      </c>
      <c r="S10" s="15">
        <v>302828976.00999999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204058387.81999999</v>
      </c>
      <c r="J11" s="15">
        <v>20288167646.330002</v>
      </c>
      <c r="K11" s="10">
        <f t="shared" si="1"/>
        <v>1.0057999883341502E-2</v>
      </c>
      <c r="L11" s="16">
        <v>1.01E-2</v>
      </c>
      <c r="M11" s="9" t="str">
        <f t="shared" si="2"/>
        <v>Sim</v>
      </c>
      <c r="N11" s="16">
        <v>1.6799999999999999E-2</v>
      </c>
      <c r="O11" s="16">
        <v>1.6E-2</v>
      </c>
      <c r="P11" s="16">
        <v>1.5100000000000001E-2</v>
      </c>
      <c r="Q11" s="15">
        <v>340841216.45999998</v>
      </c>
      <c r="R11" s="15">
        <v>323799155.63999999</v>
      </c>
      <c r="S11" s="15">
        <v>306757094.81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216484563.88999999</v>
      </c>
      <c r="J12" s="15">
        <v>20253127266.59</v>
      </c>
      <c r="K12" s="10">
        <f t="shared" si="1"/>
        <v>1.0688945022683862E-2</v>
      </c>
      <c r="L12" s="16">
        <v>1.0699999999999999E-2</v>
      </c>
      <c r="M12" s="9" t="str">
        <f t="shared" si="2"/>
        <v>Sim</v>
      </c>
      <c r="N12" s="16">
        <v>1.6799999999999999E-2</v>
      </c>
      <c r="O12" s="16">
        <v>1.6E-2</v>
      </c>
      <c r="P12" s="16">
        <v>1.5100000000000001E-2</v>
      </c>
      <c r="Q12" s="15">
        <v>340252538.07999998</v>
      </c>
      <c r="R12" s="15">
        <v>323239911.18000001</v>
      </c>
      <c r="S12" s="15">
        <v>306227284.26999998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227794022.31999999</v>
      </c>
      <c r="J13" s="15">
        <v>20632008905.209999</v>
      </c>
      <c r="K13" s="10">
        <f t="shared" si="1"/>
        <v>1.1040806707992328E-2</v>
      </c>
      <c r="L13" s="16">
        <v>1.0999999999999999E-2</v>
      </c>
      <c r="M13" s="9" t="str">
        <f t="shared" si="2"/>
        <v>Sim</v>
      </c>
      <c r="N13" s="16">
        <v>1.6799999999999999E-2</v>
      </c>
      <c r="O13" s="16">
        <v>1.6E-2</v>
      </c>
      <c r="P13" s="16">
        <v>1.5100000000000001E-2</v>
      </c>
      <c r="Q13" s="15">
        <v>346617749.61000001</v>
      </c>
      <c r="R13" s="15">
        <v>329286862.13</v>
      </c>
      <c r="S13" s="15">
        <v>311955974.64999998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241377623.16</v>
      </c>
      <c r="J14" s="15">
        <v>21161450029.110001</v>
      </c>
      <c r="K14" s="10">
        <f t="shared" si="1"/>
        <v>1.1406478423168422E-2</v>
      </c>
      <c r="L14" s="16">
        <v>1.14E-2</v>
      </c>
      <c r="M14" s="9" t="str">
        <f t="shared" si="2"/>
        <v>Sim</v>
      </c>
      <c r="N14" s="16">
        <v>1.6799999999999999E-2</v>
      </c>
      <c r="O14" s="16">
        <v>1.6E-2</v>
      </c>
      <c r="P14" s="16">
        <v>1.5100000000000001E-2</v>
      </c>
      <c r="Q14" s="15">
        <v>355512360.49000001</v>
      </c>
      <c r="R14" s="15">
        <v>337736742.47000003</v>
      </c>
      <c r="S14" s="15">
        <v>319961124.44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250635410.78999999</v>
      </c>
      <c r="J15" s="15">
        <v>22108659805.360001</v>
      </c>
      <c r="K15" s="10">
        <f t="shared" si="1"/>
        <v>1.1336526636917007E-2</v>
      </c>
      <c r="L15" s="16">
        <v>1.1299999999999999E-2</v>
      </c>
      <c r="M15" s="9" t="str">
        <f t="shared" si="2"/>
        <v>Sim</v>
      </c>
      <c r="N15" s="16">
        <v>1.6799999999999999E-2</v>
      </c>
      <c r="O15" s="16">
        <v>1.6E-2</v>
      </c>
      <c r="P15" s="16">
        <v>1.5100000000000001E-2</v>
      </c>
      <c r="Q15" s="15">
        <v>371425484.73000002</v>
      </c>
      <c r="R15" s="15">
        <v>352854210.49000001</v>
      </c>
      <c r="S15" s="15">
        <v>334282936.25999999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258812449.41999999</v>
      </c>
      <c r="J16" s="15">
        <v>22737534487.73</v>
      </c>
      <c r="K16" s="10">
        <f t="shared" si="1"/>
        <v>1.1382608328078164E-2</v>
      </c>
      <c r="L16" s="16">
        <v>1.14E-2</v>
      </c>
      <c r="M16" s="9" t="str">
        <f t="shared" si="2"/>
        <v>Sim</v>
      </c>
      <c r="N16" s="16">
        <v>1.6799999999999999E-2</v>
      </c>
      <c r="O16" s="16">
        <v>1.6E-2</v>
      </c>
      <c r="P16" s="16">
        <v>1.5100000000000001E-2</v>
      </c>
      <c r="Q16" s="15">
        <v>381990579.38999999</v>
      </c>
      <c r="R16" s="15">
        <v>362891050.42000002</v>
      </c>
      <c r="S16" s="15">
        <v>343791521.44999999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296082355.87</v>
      </c>
      <c r="J17" s="15">
        <v>23108985860.900002</v>
      </c>
      <c r="K17" s="10">
        <f t="shared" si="1"/>
        <v>1.2812433987895859E-2</v>
      </c>
      <c r="L17" s="16">
        <v>1.2800000000000001E-2</v>
      </c>
      <c r="M17" s="9" t="str">
        <f t="shared" si="2"/>
        <v>Sim</v>
      </c>
      <c r="N17" s="16">
        <v>1.6799999999999999E-2</v>
      </c>
      <c r="O17" s="16">
        <v>1.6E-2</v>
      </c>
      <c r="P17" s="16">
        <v>1.5100000000000001E-2</v>
      </c>
      <c r="Q17" s="15">
        <v>388230962.45999998</v>
      </c>
      <c r="R17" s="15">
        <v>368819414.33999997</v>
      </c>
      <c r="S17" s="15">
        <v>349407866.20999998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972180928.62</v>
      </c>
      <c r="J18" s="15">
        <v>20028371429.009998</v>
      </c>
      <c r="K18" s="10">
        <f t="shared" si="1"/>
        <v>4.8540188705101066E-2</v>
      </c>
      <c r="L18" s="16">
        <v>4.8499999999999988E-2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1201702285.74</v>
      </c>
      <c r="R18" s="15">
        <v>1141617171.45</v>
      </c>
      <c r="S18" s="15">
        <v>1081532057.1700001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1010949080.04</v>
      </c>
      <c r="J19" s="15">
        <v>20288167646.330002</v>
      </c>
      <c r="K19" s="10">
        <f t="shared" si="1"/>
        <v>4.9829491635873489E-2</v>
      </c>
      <c r="L19" s="16">
        <v>4.9799999999999997E-2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1217290058.78</v>
      </c>
      <c r="R19" s="15">
        <v>1156425555.8399999</v>
      </c>
      <c r="S19" s="15">
        <v>1095561052.9000001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1036951064.46</v>
      </c>
      <c r="J20" s="15">
        <v>20253127366.59</v>
      </c>
      <c r="K20" s="10">
        <f t="shared" si="1"/>
        <v>5.1199552824151846E-2</v>
      </c>
      <c r="L20" s="16">
        <v>5.1200000000000002E-2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1215187642</v>
      </c>
      <c r="R20" s="15">
        <v>1154428259.9000001</v>
      </c>
      <c r="S20" s="15">
        <v>1093668877.8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1059448528.08</v>
      </c>
      <c r="J21" s="15">
        <v>20632008905.209999</v>
      </c>
      <c r="K21" s="10">
        <f t="shared" si="1"/>
        <v>5.1349751395874395E-2</v>
      </c>
      <c r="L21" s="16">
        <v>5.1299999999999998E-2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1237920534.3099999</v>
      </c>
      <c r="R21" s="15">
        <v>1176024507.5899999</v>
      </c>
      <c r="S21" s="15">
        <v>1114128480.8800001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1100782818.3299999</v>
      </c>
      <c r="J22" s="15">
        <v>21161450029.110001</v>
      </c>
      <c r="K22" s="10">
        <f t="shared" si="1"/>
        <v>5.2018307668696945E-2</v>
      </c>
      <c r="L22" s="16">
        <v>5.1999999999999998E-2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1269687001.75</v>
      </c>
      <c r="R22" s="15">
        <v>1206202651.6600001</v>
      </c>
      <c r="S22" s="15">
        <v>1142718301.5799999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1147674047.29</v>
      </c>
      <c r="J23" s="15">
        <v>22108659805.360001</v>
      </c>
      <c r="K23" s="10">
        <f t="shared" si="1"/>
        <v>5.191061138006018E-2</v>
      </c>
      <c r="L23" s="16">
        <v>5.1900000000000002E-2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1326519588.3199999</v>
      </c>
      <c r="R23" s="15">
        <v>1260193608.9000001</v>
      </c>
      <c r="S23" s="15">
        <v>1193867629.49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1168494849.1400001</v>
      </c>
      <c r="J24" s="15">
        <v>22737534487.73</v>
      </c>
      <c r="K24" s="10">
        <f t="shared" si="1"/>
        <v>5.1390569622689848E-2</v>
      </c>
      <c r="L24" s="16">
        <v>5.1399999999999987E-2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1364252069.26</v>
      </c>
      <c r="R24" s="15">
        <v>1296039465.8</v>
      </c>
      <c r="S24" s="15">
        <v>1227826862.3299999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1141097494.9200001</v>
      </c>
      <c r="J25" s="15">
        <v>23108985860.900002</v>
      </c>
      <c r="K25" s="10">
        <f t="shared" si="1"/>
        <v>4.937895162464559E-2</v>
      </c>
      <c r="L25" s="16">
        <v>4.9400000000000013E-2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1386539151.6500001</v>
      </c>
      <c r="R25" s="15">
        <v>1317212194.0699999</v>
      </c>
      <c r="S25" s="15">
        <v>1247885236.49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184845480.05000001</v>
      </c>
      <c r="J26" s="15">
        <v>20028371429.009998</v>
      </c>
      <c r="K26" s="10">
        <f t="shared" si="1"/>
        <v>9.229181748759736E-3</v>
      </c>
      <c r="L26" s="16">
        <v>9.1999999999999998E-3</v>
      </c>
      <c r="M26" s="9" t="str">
        <f t="shared" si="2"/>
        <v>Sim</v>
      </c>
      <c r="N26" s="16">
        <v>1.32E-2</v>
      </c>
      <c r="O26" s="16">
        <v>1.2500000000000001E-2</v>
      </c>
      <c r="P26" s="16">
        <v>1.1900000000000001E-2</v>
      </c>
      <c r="Q26" s="15">
        <v>264374502.86000001</v>
      </c>
      <c r="R26" s="15">
        <v>251155777.72</v>
      </c>
      <c r="S26" s="15">
        <v>237937052.56999999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192996073.49000001</v>
      </c>
      <c r="J27" s="15">
        <v>20288167646.330002</v>
      </c>
      <c r="K27" s="10">
        <f t="shared" si="1"/>
        <v>9.5127404728889715E-3</v>
      </c>
      <c r="L27" s="16">
        <v>9.4999999999999998E-3</v>
      </c>
      <c r="M27" s="9" t="str">
        <f t="shared" si="2"/>
        <v>Sim</v>
      </c>
      <c r="N27" s="16">
        <v>1.32E-2</v>
      </c>
      <c r="O27" s="16">
        <v>1.2500000000000001E-2</v>
      </c>
      <c r="P27" s="16">
        <v>1.1900000000000001E-2</v>
      </c>
      <c r="Q27" s="15">
        <v>267803812.93000001</v>
      </c>
      <c r="R27" s="15">
        <v>254413622.28</v>
      </c>
      <c r="S27" s="15">
        <v>241023431.63999999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204286027.97999999</v>
      </c>
      <c r="J28" s="15">
        <v>20253127266.59</v>
      </c>
      <c r="K28" s="10">
        <f t="shared" si="1"/>
        <v>1.008664120315852E-2</v>
      </c>
      <c r="L28" s="16">
        <v>1.01E-2</v>
      </c>
      <c r="M28" s="9" t="str">
        <f t="shared" si="2"/>
        <v>Sim</v>
      </c>
      <c r="N28" s="16">
        <v>1.32E-2</v>
      </c>
      <c r="O28" s="16">
        <v>1.2500000000000001E-2</v>
      </c>
      <c r="P28" s="16">
        <v>1.1900000000000001E-2</v>
      </c>
      <c r="Q28" s="15">
        <v>267341279.91999999</v>
      </c>
      <c r="R28" s="15">
        <v>253974215.91999999</v>
      </c>
      <c r="S28" s="15">
        <v>240607151.93000001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212544901.71000001</v>
      </c>
      <c r="J29" s="15">
        <v>20632008905.209999</v>
      </c>
      <c r="K29" s="10">
        <f t="shared" si="1"/>
        <v>1.0301706570916036E-2</v>
      </c>
      <c r="L29" s="16">
        <v>1.03E-2</v>
      </c>
      <c r="M29" s="9" t="str">
        <f t="shared" si="2"/>
        <v>Sim</v>
      </c>
      <c r="N29" s="16">
        <v>1.32E-2</v>
      </c>
      <c r="O29" s="16">
        <v>1.2500000000000001E-2</v>
      </c>
      <c r="P29" s="16">
        <v>1.1900000000000001E-2</v>
      </c>
      <c r="Q29" s="15">
        <v>272342517.55000001</v>
      </c>
      <c r="R29" s="15">
        <v>258725391.66999999</v>
      </c>
      <c r="S29" s="15">
        <v>245108265.80000001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216151660.66999999</v>
      </c>
      <c r="J30" s="15">
        <v>21161450029.110001</v>
      </c>
      <c r="K30" s="10">
        <f t="shared" si="1"/>
        <v>1.021440687536339E-2</v>
      </c>
      <c r="L30" s="16">
        <v>1.0200000000000001E-2</v>
      </c>
      <c r="M30" s="9" t="str">
        <f t="shared" si="2"/>
        <v>Sim</v>
      </c>
      <c r="N30" s="16">
        <v>1.32E-2</v>
      </c>
      <c r="O30" s="16">
        <v>1.2500000000000001E-2</v>
      </c>
      <c r="P30" s="16">
        <v>1.1900000000000001E-2</v>
      </c>
      <c r="Q30" s="15">
        <v>279331140.38</v>
      </c>
      <c r="R30" s="15">
        <v>265364583.36000001</v>
      </c>
      <c r="S30" s="15">
        <v>251398026.34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219702415.86000001</v>
      </c>
      <c r="J31" s="15">
        <v>22108659805.360001</v>
      </c>
      <c r="K31" s="10">
        <f t="shared" si="1"/>
        <v>9.9373918543328253E-3</v>
      </c>
      <c r="L31" s="16">
        <v>9.8999999999999991E-3</v>
      </c>
      <c r="M31" s="9" t="str">
        <f t="shared" si="2"/>
        <v>Sim</v>
      </c>
      <c r="N31" s="16">
        <v>1.32E-2</v>
      </c>
      <c r="O31" s="16">
        <v>1.2500000000000001E-2</v>
      </c>
      <c r="P31" s="16">
        <v>1.1900000000000001E-2</v>
      </c>
      <c r="Q31" s="15">
        <v>291834309.43000001</v>
      </c>
      <c r="R31" s="15">
        <v>277242593.95999998</v>
      </c>
      <c r="S31" s="15">
        <v>262650878.49000001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226678981.97999999</v>
      </c>
      <c r="J32" s="15">
        <v>22737534487.73</v>
      </c>
      <c r="K32" s="10">
        <f t="shared" si="1"/>
        <v>9.9693738607554046E-3</v>
      </c>
      <c r="L32" s="16">
        <v>0.01</v>
      </c>
      <c r="M32" s="9" t="str">
        <f t="shared" si="2"/>
        <v>Sim</v>
      </c>
      <c r="N32" s="16">
        <v>1.32E-2</v>
      </c>
      <c r="O32" s="16">
        <v>1.2500000000000001E-2</v>
      </c>
      <c r="P32" s="16">
        <v>1.1900000000000001E-2</v>
      </c>
      <c r="Q32" s="15">
        <v>300135455.24000001</v>
      </c>
      <c r="R32" s="15">
        <v>285128682.48000002</v>
      </c>
      <c r="S32" s="15">
        <v>270121909.72000003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250345558.83000001</v>
      </c>
      <c r="J33" s="15">
        <v>23108985860.900002</v>
      </c>
      <c r="K33" s="10">
        <f t="shared" si="1"/>
        <v>1.0833255960988764E-2</v>
      </c>
      <c r="L33" s="16">
        <v>1.0800000000000001E-2</v>
      </c>
      <c r="M33" s="9" t="str">
        <f t="shared" si="2"/>
        <v>Sim</v>
      </c>
      <c r="N33" s="16">
        <v>1.32E-2</v>
      </c>
      <c r="O33" s="16">
        <v>1.2500000000000001E-2</v>
      </c>
      <c r="P33" s="16">
        <v>1.1900000000000001E-2</v>
      </c>
      <c r="Q33" s="15">
        <v>305038613.36000001</v>
      </c>
      <c r="R33" s="15">
        <v>289786682.69</v>
      </c>
      <c r="S33" s="15">
        <v>274534752.01999998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201329379.25999999</v>
      </c>
      <c r="J34" s="15">
        <v>20028371429.009998</v>
      </c>
      <c r="K34" s="10">
        <f t="shared" si="1"/>
        <v>1.0052209186034238E-2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204752945.41</v>
      </c>
      <c r="J35" s="15">
        <v>20288167646.330002</v>
      </c>
      <c r="K35" s="10">
        <f t="shared" si="1"/>
        <v>1.0092234497433211E-2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201221828.5</v>
      </c>
      <c r="J36" s="15">
        <v>20253127266.59</v>
      </c>
      <c r="K36" s="10">
        <f t="shared" si="1"/>
        <v>9.9353460752670975E-3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209227043.37</v>
      </c>
      <c r="J37" s="15">
        <v>20632008905.209999</v>
      </c>
      <c r="K37" s="10">
        <f t="shared" si="1"/>
        <v>1.0140895359790483E-2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218797804.59</v>
      </c>
      <c r="J38" s="15">
        <v>21161450029.110001</v>
      </c>
      <c r="K38" s="10">
        <f t="shared" si="1"/>
        <v>1.0339452366875546E-2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233146299.50999999</v>
      </c>
      <c r="J39" s="15">
        <v>22108659805.360001</v>
      </c>
      <c r="K39" s="10">
        <f t="shared" si="1"/>
        <v>1.0545474106642874E-2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244288462.24000001</v>
      </c>
      <c r="J40" s="15">
        <v>22737534487.73</v>
      </c>
      <c r="K40" s="10">
        <f t="shared" si="1"/>
        <v>1.0743841306621304E-2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254396499.97999999</v>
      </c>
      <c r="J41" s="15">
        <v>23108985860.900002</v>
      </c>
      <c r="K41" s="10">
        <f t="shared" si="1"/>
        <v>1.1008553188412928E-2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289124301.20999998</v>
      </c>
      <c r="J42" s="15">
        <v>20028371429.009998</v>
      </c>
      <c r="K42" s="10">
        <f t="shared" si="1"/>
        <v>1.4435736936215356E-2</v>
      </c>
      <c r="L42" s="16">
        <v>1.44E-2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400567428.57999998</v>
      </c>
      <c r="R42" s="15">
        <v>380539057.14999998</v>
      </c>
      <c r="S42" s="15">
        <v>360510685.72000003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294685071.68000001</v>
      </c>
      <c r="J43" s="15">
        <v>20288167646.330002</v>
      </c>
      <c r="K43" s="10">
        <f t="shared" si="1"/>
        <v>1.4524972230959785E-2</v>
      </c>
      <c r="L43" s="16">
        <v>1.4500000000000001E-2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405763352.93000001</v>
      </c>
      <c r="R43" s="15">
        <v>385475185.27999997</v>
      </c>
      <c r="S43" s="15">
        <v>365187017.63999999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304065473.12</v>
      </c>
      <c r="J44" s="15">
        <v>20253127266.59</v>
      </c>
      <c r="K44" s="10">
        <f t="shared" si="1"/>
        <v>1.501326037789695E-2</v>
      </c>
      <c r="L44" s="16">
        <v>1.4999999999999999E-2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405062545.32999998</v>
      </c>
      <c r="R44" s="15">
        <v>384809418.06</v>
      </c>
      <c r="S44" s="15">
        <v>364556290.80000001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315149747.66000003</v>
      </c>
      <c r="J45" s="15">
        <v>20632008905.209999</v>
      </c>
      <c r="K45" s="10">
        <f t="shared" si="1"/>
        <v>1.5274796996642356E-2</v>
      </c>
      <c r="L45" s="16">
        <v>1.5299999999999999E-2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412640178.10000002</v>
      </c>
      <c r="R45" s="15">
        <v>392008169.19999999</v>
      </c>
      <c r="S45" s="15">
        <v>371376160.29000002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328680188.10000002</v>
      </c>
      <c r="J46" s="15">
        <v>21161450029.110001</v>
      </c>
      <c r="K46" s="10">
        <f t="shared" si="1"/>
        <v>1.5532025813347514E-2</v>
      </c>
      <c r="L46" s="16">
        <v>1.55E-2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423229000.57999998</v>
      </c>
      <c r="R46" s="15">
        <v>402067550.55000001</v>
      </c>
      <c r="S46" s="15">
        <v>380906100.51999998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345450326.57999998</v>
      </c>
      <c r="J47" s="15">
        <v>22108659805.360001</v>
      </c>
      <c r="K47" s="10">
        <f t="shared" si="1"/>
        <v>1.5625113852276534E-2</v>
      </c>
      <c r="L47" s="16">
        <v>1.5599999999999999E-2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442173196.11000001</v>
      </c>
      <c r="R47" s="15">
        <v>420064536.30000001</v>
      </c>
      <c r="S47" s="15">
        <v>397955876.5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400140230.16000003</v>
      </c>
      <c r="J48" s="15">
        <v>22737534487.73</v>
      </c>
      <c r="K48" s="10">
        <f t="shared" si="1"/>
        <v>1.7598224221536871E-2</v>
      </c>
      <c r="L48" s="16">
        <v>1.7600000000000001E-2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454750689.75</v>
      </c>
      <c r="R48" s="15">
        <v>432013155.25999999</v>
      </c>
      <c r="S48" s="15">
        <v>409275620.77999997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373953834.49000001</v>
      </c>
      <c r="J49" s="15">
        <v>23108985860.900002</v>
      </c>
      <c r="K49" s="10">
        <f t="shared" si="1"/>
        <v>1.6182182841814937E-2</v>
      </c>
      <c r="L49" s="16">
        <v>1.6199999999999999E-2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462179717.22000003</v>
      </c>
      <c r="R49" s="15">
        <v>439070731.36000001</v>
      </c>
      <c r="S49" s="15">
        <v>415961745.5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30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2026-10-15T10:08:06Z</dcterms:created>
  <dcterms:modified xsi:type="dcterms:W3CDTF">2026-10-15T10:08:32Z</dcterms:modified>
</cp:coreProperties>
</file>